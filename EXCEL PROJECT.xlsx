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6.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7.xml" ContentType="application/vnd.openxmlformats-officedocument.drawing+xml"/>
  <Override PartName="/xl/charts/chartEx2.xml" ContentType="application/vnd.ms-office.chartex+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a6b97c9581c9ed36/Desktop/"/>
    </mc:Choice>
  </mc:AlternateContent>
  <xr:revisionPtr revIDLastSave="0" documentId="14_{C9FD24D2-73DF-468F-B58D-A3337904FF2E}" xr6:coauthVersionLast="47" xr6:coauthVersionMax="47" xr10:uidLastSave="{00000000-0000-0000-0000-000000000000}"/>
  <bookViews>
    <workbookView xWindow="-108" yWindow="-108" windowWidth="23256" windowHeight="12456" firstSheet="3" activeTab="6" xr2:uid="{9FCDB1AF-2B67-4142-867D-4AFF69C64A2F}"/>
  </bookViews>
  <sheets>
    <sheet name="MASTERDATA" sheetId="1" r:id="rId1"/>
    <sheet name="PIVOT TABLE" sheetId="4" r:id="rId2"/>
    <sheet name="OVERVIEW" sheetId="10" r:id="rId3"/>
    <sheet name="WORKFORCE" sheetId="6" r:id="rId4"/>
    <sheet name="RECUITMENT" sheetId="8" r:id="rId5"/>
    <sheet name="COMPENSATION" sheetId="7" r:id="rId6"/>
    <sheet name="PRODUCTIVITY" sheetId="9" r:id="rId7"/>
  </sheets>
  <definedNames>
    <definedName name="_xlchart.v1.0" hidden="1">MASTERDATA!$M$1</definedName>
    <definedName name="_xlchart.v1.1" hidden="1">MASTERDATA!$M$2:$M$801</definedName>
    <definedName name="_xlchart.v1.2" hidden="1">MASTERDATA!$M$1</definedName>
    <definedName name="_xlchart.v1.3" hidden="1">MASTERDATA!$M$2:$M$801</definedName>
    <definedName name="Column1">OVERVIEW!$A$6:$A$7</definedName>
    <definedName name="Column10">OVERVIEW!$J$6:$J$7</definedName>
    <definedName name="Column11">OVERVIEW!$K$6:$K$7</definedName>
    <definedName name="Column12">OVERVIEW!$L$6:$L$7</definedName>
    <definedName name="Column2">OVERVIEW!$B$6:$B$7</definedName>
    <definedName name="Column3">OVERVIEW!$C$6:$C$7</definedName>
    <definedName name="Column4">OVERVIEW!$D$6:$D$7</definedName>
    <definedName name="Column5">OVERVIEW!$E$6:$E$7</definedName>
    <definedName name="Column6">OVERVIEW!$F$6:$F$7</definedName>
    <definedName name="Column7">OVERVIEW!$G$6:$G$7</definedName>
    <definedName name="Column8">OVERVIEW!$H$6:$H$7</definedName>
    <definedName name="Column9">OVERVIEW!$I$6:$I$7</definedName>
    <definedName name="NativeTimeline_Joining_Date">#N/A</definedName>
    <definedName name="Slicer_City1">#N/A</definedName>
    <definedName name="Slicer_Department">#N/A</definedName>
    <definedName name="Slicer_Education">#N/A</definedName>
    <definedName name="Slicer_Gender">#N/A</definedName>
    <definedName name="SSA">" "</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10" l="1"/>
  <c r="I7" i="10"/>
  <c r="G7" i="10"/>
  <c r="E7" i="10"/>
  <c r="C7" i="10"/>
  <c r="A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B07093-3046-4988-BF16-55FE7D4D8897}" keepAlive="1" name="Query - employee_analytics_5000" description="Connection to the 'employee_analytics_5000' query in the workbook." type="5" refreshedVersion="0" background="1">
    <dbPr connection="Provider=Microsoft.Mashup.OleDb.1;Data Source=$Workbook$;Location=employee_analytics_5000;Extended Properties=&quot;&quot;" command="SELECT * FROM [employee_analytics_5000]"/>
  </connection>
  <connection id="2" xr16:uid="{DC1DD456-8392-4CC5-9EE6-F1E64806DB99}" keepAlive="1" name="Query - employee_analytics_5000 (2)" description="Connection to the 'employee_analytics_5000 (2)' query in the workbook." type="5" refreshedVersion="8" background="1" saveData="1">
    <dbPr connection="Provider=Microsoft.Mashup.OleDb.1;Data Source=$Workbook$;Location=&quot;employee_analytics_5000 (2)&quot;;Extended Properties=&quot;&quot;" command="SELECT * FROM [employee_analytics_5000 (2)]"/>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<sst xmlns="http://schemas.openxmlformats.org/spreadsheetml/2006/main" count="10701" uniqueCount="1162">
  <si>
    <t>Gender</t>
  </si>
  <si>
    <t>Age</t>
  </si>
  <si>
    <t>City</t>
  </si>
  <si>
    <t>Department</t>
  </si>
  <si>
    <t>Job_Level</t>
  </si>
  <si>
    <t>Employment_Type</t>
  </si>
  <si>
    <t>Education</t>
  </si>
  <si>
    <t>Joining_Date</t>
  </si>
  <si>
    <t>Work_Mode</t>
  </si>
  <si>
    <t>Annual_Salary_INR</t>
  </si>
  <si>
    <t>Experience_Years</t>
  </si>
  <si>
    <t>Attendance_Percent</t>
  </si>
  <si>
    <t>Training_Hours</t>
  </si>
  <si>
    <t>Projects_Completed</t>
  </si>
  <si>
    <t>Promotions</t>
  </si>
  <si>
    <t>Overtime_Hours</t>
  </si>
  <si>
    <t>Leave_Days</t>
  </si>
  <si>
    <t>Recruitment_Source</t>
  </si>
  <si>
    <t>Monthly_Salary_INR</t>
  </si>
  <si>
    <t>Tenure_Years</t>
  </si>
  <si>
    <t>Age_Band</t>
  </si>
  <si>
    <t>Performance_Category</t>
  </si>
  <si>
    <t>EMP10001</t>
  </si>
  <si>
    <t>Kiran Kumar</t>
  </si>
  <si>
    <t>Male</t>
  </si>
  <si>
    <t>Kochi</t>
  </si>
  <si>
    <t>Finance</t>
  </si>
  <si>
    <t>Lead</t>
  </si>
  <si>
    <t>Full-Time</t>
  </si>
  <si>
    <t>BSc</t>
  </si>
  <si>
    <t>Active</t>
  </si>
  <si>
    <t>Hybrid</t>
  </si>
  <si>
    <t>Campus Hiring</t>
  </si>
  <si>
    <t>30-34</t>
  </si>
  <si>
    <t>Poor</t>
  </si>
  <si>
    <t>EMP10002</t>
  </si>
  <si>
    <t>Sneha Joshi</t>
  </si>
  <si>
    <t>Hyderabad</t>
  </si>
  <si>
    <t>Sales</t>
  </si>
  <si>
    <t>Junior</t>
  </si>
  <si>
    <t>BBA</t>
  </si>
  <si>
    <t>Consultancy</t>
  </si>
  <si>
    <t>Good</t>
  </si>
  <si>
    <t>EMP10003</t>
  </si>
  <si>
    <t>Vikram Iyer</t>
  </si>
  <si>
    <t>Bengaluru</t>
  </si>
  <si>
    <t>Senior</t>
  </si>
  <si>
    <t>BCA</t>
  </si>
  <si>
    <t>20-24</t>
  </si>
  <si>
    <t>EMP10004</t>
  </si>
  <si>
    <t>Kiran Das</t>
  </si>
  <si>
    <t>Coimbatore</t>
  </si>
  <si>
    <t>Operations</t>
  </si>
  <si>
    <t>Onsite</t>
  </si>
  <si>
    <t>45+</t>
  </si>
  <si>
    <t>Average</t>
  </si>
  <si>
    <t>EMP10005</t>
  </si>
  <si>
    <t>Aisha Rao</t>
  </si>
  <si>
    <t>Female</t>
  </si>
  <si>
    <t>Delhi</t>
  </si>
  <si>
    <t>Data Analytics</t>
  </si>
  <si>
    <t>Resigned</t>
  </si>
  <si>
    <t>40-44</t>
  </si>
  <si>
    <t>EMP10006</t>
  </si>
  <si>
    <t>Ananya Joshi</t>
  </si>
  <si>
    <t>Mangaluru</t>
  </si>
  <si>
    <t>HR</t>
  </si>
  <si>
    <t>Part-Time</t>
  </si>
  <si>
    <t>BCom</t>
  </si>
  <si>
    <t>EMP10007</t>
  </si>
  <si>
    <t>Arjun Shetty</t>
  </si>
  <si>
    <t>Noida</t>
  </si>
  <si>
    <t>IT</t>
  </si>
  <si>
    <t>MBA</t>
  </si>
  <si>
    <t>Naukri</t>
  </si>
  <si>
    <t>Excellent</t>
  </si>
  <si>
    <t>EMP10008</t>
  </si>
  <si>
    <t>Aditya Nair</t>
  </si>
  <si>
    <t>Mumbai</t>
  </si>
  <si>
    <t>Marketing</t>
  </si>
  <si>
    <t>Associate</t>
  </si>
  <si>
    <t>EMP10009</t>
  </si>
  <si>
    <t>Vivaan Shetty</t>
  </si>
  <si>
    <t>Ahmedabad</t>
  </si>
  <si>
    <t>EMP10010</t>
  </si>
  <si>
    <t>Diya Nair</t>
  </si>
  <si>
    <t>MSc</t>
  </si>
  <si>
    <t>On Leave</t>
  </si>
  <si>
    <t>EMP10011</t>
  </si>
  <si>
    <t>Vivaan Pillai</t>
  </si>
  <si>
    <t>Chennai</t>
  </si>
  <si>
    <t>Customer Support</t>
  </si>
  <si>
    <t>BE/BTech</t>
  </si>
  <si>
    <t>Remote</t>
  </si>
  <si>
    <t>Company Website</t>
  </si>
  <si>
    <t>25-29</t>
  </si>
  <si>
    <t>EMP10012</t>
  </si>
  <si>
    <t>Aarav Pillai</t>
  </si>
  <si>
    <t>Gurugram</t>
  </si>
  <si>
    <t>EMP10013</t>
  </si>
  <si>
    <t>Diya Singh</t>
  </si>
  <si>
    <t>Mysuru</t>
  </si>
  <si>
    <t>EMP10014</t>
  </si>
  <si>
    <t>Pooja Joshi</t>
  </si>
  <si>
    <t>LinkedIn</t>
  </si>
  <si>
    <t>EMP10015</t>
  </si>
  <si>
    <t>Nikhil Pillai</t>
  </si>
  <si>
    <t>MCA</t>
  </si>
  <si>
    <t>35-39</t>
  </si>
  <si>
    <t>EMP10016</t>
  </si>
  <si>
    <t>Kavya Reddy</t>
  </si>
  <si>
    <t>EMP10017</t>
  </si>
  <si>
    <t>Diya Rao</t>
  </si>
  <si>
    <t>EMP10018</t>
  </si>
  <si>
    <t>Neha Singh</t>
  </si>
  <si>
    <t>Contract</t>
  </si>
  <si>
    <t>EMP10019</t>
  </si>
  <si>
    <t>Aditya Iyer</t>
  </si>
  <si>
    <t>Pune</t>
  </si>
  <si>
    <t>EMP10020</t>
  </si>
  <si>
    <t>EMP10021</t>
  </si>
  <si>
    <t>Sanjay Rao</t>
  </si>
  <si>
    <t>Intern</t>
  </si>
  <si>
    <t>Employee Referral</t>
  </si>
  <si>
    <t>EMP10022</t>
  </si>
  <si>
    <t>Meera Kumar</t>
  </si>
  <si>
    <t>EMP10023</t>
  </si>
  <si>
    <t>Priya Patel</t>
  </si>
  <si>
    <t>EMP10024</t>
  </si>
  <si>
    <t>Sanjay Das</t>
  </si>
  <si>
    <t>Indeed</t>
  </si>
  <si>
    <t>EMP10025</t>
  </si>
  <si>
    <t>Vivaan Kumar</t>
  </si>
  <si>
    <t>EMP10026</t>
  </si>
  <si>
    <t>Sneha Pillai</t>
  </si>
  <si>
    <t>EMP10027</t>
  </si>
  <si>
    <t>Kiran Pillai</t>
  </si>
  <si>
    <t>Hubballi</t>
  </si>
  <si>
    <t>EMP10028</t>
  </si>
  <si>
    <t>Vikram Reddy</t>
  </si>
  <si>
    <t>EMP10029</t>
  </si>
  <si>
    <t>Priya Sharma</t>
  </si>
  <si>
    <t>EMP10030</t>
  </si>
  <si>
    <t>Arjun Patel</t>
  </si>
  <si>
    <t>EMP10031</t>
  </si>
  <si>
    <t>Vikram Kumar</t>
  </si>
  <si>
    <t>EMP10032</t>
  </si>
  <si>
    <t>Vivaan Nair</t>
  </si>
  <si>
    <t>EMP10033</t>
  </si>
  <si>
    <t>Nikhil Kumar</t>
  </si>
  <si>
    <t>EMP10034</t>
  </si>
  <si>
    <t>Meera Das</t>
  </si>
  <si>
    <t>EMP10035</t>
  </si>
  <si>
    <t>Diya Patel</t>
  </si>
  <si>
    <t>EMP10036</t>
  </si>
  <si>
    <t>EMP10037</t>
  </si>
  <si>
    <t>Priya Shetty</t>
  </si>
  <si>
    <t>EMP10038</t>
  </si>
  <si>
    <t>Priya Rao</t>
  </si>
  <si>
    <t>EMP10039</t>
  </si>
  <si>
    <t>Kolkata</t>
  </si>
  <si>
    <t>EMP10040</t>
  </si>
  <si>
    <t>Kavya Patel</t>
  </si>
  <si>
    <t>EMP10041</t>
  </si>
  <si>
    <t>Sneha Iyer</t>
  </si>
  <si>
    <t>EMP10042</t>
  </si>
  <si>
    <t>Ishita Singh</t>
  </si>
  <si>
    <t>EMP10043</t>
  </si>
  <si>
    <t>Sneha Sharma</t>
  </si>
  <si>
    <t>EMP10044</t>
  </si>
  <si>
    <t>Kiran Singh</t>
  </si>
  <si>
    <t>Manager</t>
  </si>
  <si>
    <t>EMP10045</t>
  </si>
  <si>
    <t>EMP10046</t>
  </si>
  <si>
    <t>Vikram Shetty</t>
  </si>
  <si>
    <t>EMP10047</t>
  </si>
  <si>
    <t>Ananya Reddy</t>
  </si>
  <si>
    <t>EMP10048</t>
  </si>
  <si>
    <t>Pooja Shetty</t>
  </si>
  <si>
    <t>EMP10049</t>
  </si>
  <si>
    <t>Aditya Reddy</t>
  </si>
  <si>
    <t>EMP10050</t>
  </si>
  <si>
    <t>Aarav Joshi</t>
  </si>
  <si>
    <t>EMP10051</t>
  </si>
  <si>
    <t>Rohan Das</t>
  </si>
  <si>
    <t>EMP10052</t>
  </si>
  <si>
    <t>EMP10053</t>
  </si>
  <si>
    <t>Sanjay Pillai</t>
  </si>
  <si>
    <t>EMP10054</t>
  </si>
  <si>
    <t>EMP10055</t>
  </si>
  <si>
    <t>Vikram Pillai</t>
  </si>
  <si>
    <t>EMP10056</t>
  </si>
  <si>
    <t>Vivaan Sharma</t>
  </si>
  <si>
    <t>EMP10057</t>
  </si>
  <si>
    <t>Kavya Rao</t>
  </si>
  <si>
    <t>EMP10058</t>
  </si>
  <si>
    <t>Rohan Reddy</t>
  </si>
  <si>
    <t>EMP10059</t>
  </si>
  <si>
    <t>Diya Shetty</t>
  </si>
  <si>
    <t>EMP10060</t>
  </si>
  <si>
    <t>Aditya Sharma</t>
  </si>
  <si>
    <t>EMP10061</t>
  </si>
  <si>
    <t>EMP10062</t>
  </si>
  <si>
    <t>Sneha Reddy</t>
  </si>
  <si>
    <t>EMP10063</t>
  </si>
  <si>
    <t>Aarav Iyer</t>
  </si>
  <si>
    <t>EMP10064</t>
  </si>
  <si>
    <t>EMP10065</t>
  </si>
  <si>
    <t>EMP10066</t>
  </si>
  <si>
    <t>EMP10067</t>
  </si>
  <si>
    <t>Ishita Reddy</t>
  </si>
  <si>
    <t>EMP10068</t>
  </si>
  <si>
    <t>Kiran Sharma</t>
  </si>
  <si>
    <t>EMP10069</t>
  </si>
  <si>
    <t>Neha Kumar</t>
  </si>
  <si>
    <t>EMP10070</t>
  </si>
  <si>
    <t>Rohan Rao</t>
  </si>
  <si>
    <t>EMP10071</t>
  </si>
  <si>
    <t>Kiran Joshi</t>
  </si>
  <si>
    <t>EMP10072</t>
  </si>
  <si>
    <t>Arjun Rao</t>
  </si>
  <si>
    <t>EMP10073</t>
  </si>
  <si>
    <t>Aisha Nair</t>
  </si>
  <si>
    <t>EMP10074</t>
  </si>
  <si>
    <t>Vivaan Das</t>
  </si>
  <si>
    <t>EMP10075</t>
  </si>
  <si>
    <t>EMP10076</t>
  </si>
  <si>
    <t>Rahul Pillai</t>
  </si>
  <si>
    <t>EMP10077</t>
  </si>
  <si>
    <t>Diya Pillai</t>
  </si>
  <si>
    <t>EMP10078</t>
  </si>
  <si>
    <t>Neha Joshi</t>
  </si>
  <si>
    <t>EMP10079</t>
  </si>
  <si>
    <t>EMP10080</t>
  </si>
  <si>
    <t>Aarav Singh</t>
  </si>
  <si>
    <t>EMP10081</t>
  </si>
  <si>
    <t>EMP10082</t>
  </si>
  <si>
    <t>Aditya Rao</t>
  </si>
  <si>
    <t>EMP10083</t>
  </si>
  <si>
    <t>Rahul Shetty</t>
  </si>
  <si>
    <t>EMP10084</t>
  </si>
  <si>
    <t>Sanjay Iyer</t>
  </si>
  <si>
    <t>EMP10085</t>
  </si>
  <si>
    <t>Aarav Reddy</t>
  </si>
  <si>
    <t>EMP10086</t>
  </si>
  <si>
    <t>EMP10087</t>
  </si>
  <si>
    <t>EMP10088</t>
  </si>
  <si>
    <t>Sanjay Kumar</t>
  </si>
  <si>
    <t>EMP10089</t>
  </si>
  <si>
    <t>Pooja Sharma</t>
  </si>
  <si>
    <t>EMP10090</t>
  </si>
  <si>
    <t>Neha Pillai</t>
  </si>
  <si>
    <t>EMP10091</t>
  </si>
  <si>
    <t>Kiran Patel</t>
  </si>
  <si>
    <t>EMP10092</t>
  </si>
  <si>
    <t>EMP10093</t>
  </si>
  <si>
    <t>Rohan Sharma</t>
  </si>
  <si>
    <t>EMP10094</t>
  </si>
  <si>
    <t>EMP10095</t>
  </si>
  <si>
    <t>Pooja Patel</t>
  </si>
  <si>
    <t>EMP10096</t>
  </si>
  <si>
    <t>EMP10097</t>
  </si>
  <si>
    <t>EMP10098</t>
  </si>
  <si>
    <t>EMP10099</t>
  </si>
  <si>
    <t>Vivaan Iyer</t>
  </si>
  <si>
    <t>EMP10100</t>
  </si>
  <si>
    <t>Diya Das</t>
  </si>
  <si>
    <t>EMP10101</t>
  </si>
  <si>
    <t>Rahul Rao</t>
  </si>
  <si>
    <t>EMP10102</t>
  </si>
  <si>
    <t>EMP10103</t>
  </si>
  <si>
    <t>Ananya Shetty</t>
  </si>
  <si>
    <t>EMP10104</t>
  </si>
  <si>
    <t>Pooja Nair</t>
  </si>
  <si>
    <t>EMP10105</t>
  </si>
  <si>
    <t>Rohan Kumar</t>
  </si>
  <si>
    <t>EMP10106</t>
  </si>
  <si>
    <t>EMP10107</t>
  </si>
  <si>
    <t>Ananya Sharma</t>
  </si>
  <si>
    <t>EMP10108</t>
  </si>
  <si>
    <t>EMP10109</t>
  </si>
  <si>
    <t>Rahul Reddy</t>
  </si>
  <si>
    <t>EMP10110</t>
  </si>
  <si>
    <t>EMP10111</t>
  </si>
  <si>
    <t>Arjun Reddy</t>
  </si>
  <si>
    <t>EMP10112</t>
  </si>
  <si>
    <t>EMP10113</t>
  </si>
  <si>
    <t>Neha Rao</t>
  </si>
  <si>
    <t>EMP10114</t>
  </si>
  <si>
    <t>EMP10115</t>
  </si>
  <si>
    <t>Aarav Shetty</t>
  </si>
  <si>
    <t>EMP10116</t>
  </si>
  <si>
    <t>EMP10117</t>
  </si>
  <si>
    <t>Vikram Sharma</t>
  </si>
  <si>
    <t>EMP10118</t>
  </si>
  <si>
    <t>Ananya Pillai</t>
  </si>
  <si>
    <t>EMP10119</t>
  </si>
  <si>
    <t>Meera Rao</t>
  </si>
  <si>
    <t>EMP10120</t>
  </si>
  <si>
    <t>Nikhil Reddy</t>
  </si>
  <si>
    <t>EMP10121</t>
  </si>
  <si>
    <t>EMP10122</t>
  </si>
  <si>
    <t>Kavya Das</t>
  </si>
  <si>
    <t>EMP10123</t>
  </si>
  <si>
    <t>Kavya Singh</t>
  </si>
  <si>
    <t>EMP10124</t>
  </si>
  <si>
    <t>EMP10125</t>
  </si>
  <si>
    <t>EMP10126</t>
  </si>
  <si>
    <t>EMP10127</t>
  </si>
  <si>
    <t>Rohan Iyer</t>
  </si>
  <si>
    <t>EMP10128</t>
  </si>
  <si>
    <t>Sanjay Singh</t>
  </si>
  <si>
    <t>EMP10129</t>
  </si>
  <si>
    <t>EMP10130</t>
  </si>
  <si>
    <t>EMP10131</t>
  </si>
  <si>
    <t>Neha Shetty</t>
  </si>
  <si>
    <t>EMP10132</t>
  </si>
  <si>
    <t>EMP10133</t>
  </si>
  <si>
    <t>EMP10134</t>
  </si>
  <si>
    <t>EMP10135</t>
  </si>
  <si>
    <t>Arjun Nair</t>
  </si>
  <si>
    <t>EMP10136</t>
  </si>
  <si>
    <t>EMP10137</t>
  </si>
  <si>
    <t>Aditya Singh</t>
  </si>
  <si>
    <t>EMP10138</t>
  </si>
  <si>
    <t>EMP10139</t>
  </si>
  <si>
    <t>Meera Patel</t>
  </si>
  <si>
    <t>EMP10140</t>
  </si>
  <si>
    <t>EMP10141</t>
  </si>
  <si>
    <t>EMP10142</t>
  </si>
  <si>
    <t>Arjun Sharma</t>
  </si>
  <si>
    <t>EMP10143</t>
  </si>
  <si>
    <t>EMP10144</t>
  </si>
  <si>
    <t>Priya Iyer</t>
  </si>
  <si>
    <t>EMP10145</t>
  </si>
  <si>
    <t>Kavya Kumar</t>
  </si>
  <si>
    <t>EMP10146</t>
  </si>
  <si>
    <t>Vikram Rao</t>
  </si>
  <si>
    <t>EMP10147</t>
  </si>
  <si>
    <t>EMP10148</t>
  </si>
  <si>
    <t>EMP10149</t>
  </si>
  <si>
    <t>EMP10150</t>
  </si>
  <si>
    <t>Priya Nair</t>
  </si>
  <si>
    <t>EMP10151</t>
  </si>
  <si>
    <t>EMP10152</t>
  </si>
  <si>
    <t>Vikram Joshi</t>
  </si>
  <si>
    <t>EMP10153</t>
  </si>
  <si>
    <t>EMP10154</t>
  </si>
  <si>
    <t>EMP10155</t>
  </si>
  <si>
    <t>EMP10156</t>
  </si>
  <si>
    <t>Rohan Pillai</t>
  </si>
  <si>
    <t>EMP10157</t>
  </si>
  <si>
    <t>EMP10158</t>
  </si>
  <si>
    <t>EMP10159</t>
  </si>
  <si>
    <t>EMP10160</t>
  </si>
  <si>
    <t>EMP10161</t>
  </si>
  <si>
    <t>EMP10162</t>
  </si>
  <si>
    <t>EMP10163</t>
  </si>
  <si>
    <t>EMP10164</t>
  </si>
  <si>
    <t>Pooja Iyer</t>
  </si>
  <si>
    <t>EMP10165</t>
  </si>
  <si>
    <t>Aditya Pillai</t>
  </si>
  <si>
    <t>EMP10166</t>
  </si>
  <si>
    <t>Aarav Kumar</t>
  </si>
  <si>
    <t>EMP10167</t>
  </si>
  <si>
    <t>EMP10168</t>
  </si>
  <si>
    <t>Meera Singh</t>
  </si>
  <si>
    <t>EMP10169</t>
  </si>
  <si>
    <t>Nikhil Nair</t>
  </si>
  <si>
    <t>EMP10170</t>
  </si>
  <si>
    <t>Aditya Shetty</t>
  </si>
  <si>
    <t>EMP10171</t>
  </si>
  <si>
    <t>EMP10172</t>
  </si>
  <si>
    <t>Meera Nair</t>
  </si>
  <si>
    <t>EMP10173</t>
  </si>
  <si>
    <t>Vivaan Joshi</t>
  </si>
  <si>
    <t>EMP10174</t>
  </si>
  <si>
    <t>Nikhil Patel</t>
  </si>
  <si>
    <t>EMP10175</t>
  </si>
  <si>
    <t>EMP10176</t>
  </si>
  <si>
    <t>EMP10177</t>
  </si>
  <si>
    <t>Ananya Nair</t>
  </si>
  <si>
    <t>EMP10178</t>
  </si>
  <si>
    <t>EMP10179</t>
  </si>
  <si>
    <t>Nikhil Rao</t>
  </si>
  <si>
    <t>EMP10180</t>
  </si>
  <si>
    <t>Aditya Patel</t>
  </si>
  <si>
    <t>EMP10181</t>
  </si>
  <si>
    <t>Ishita Pillai</t>
  </si>
  <si>
    <t>EMP10182</t>
  </si>
  <si>
    <t>EMP10183</t>
  </si>
  <si>
    <t>Arjun Kumar</t>
  </si>
  <si>
    <t>EMP10184</t>
  </si>
  <si>
    <t>EMP10185</t>
  </si>
  <si>
    <t>Priya Pillai</t>
  </si>
  <si>
    <t>EMP10186</t>
  </si>
  <si>
    <t>EMP10187</t>
  </si>
  <si>
    <t>EMP10188</t>
  </si>
  <si>
    <t>Vivaan Patel</t>
  </si>
  <si>
    <t>EMP10189</t>
  </si>
  <si>
    <t>Aisha Singh</t>
  </si>
  <si>
    <t>EMP10190</t>
  </si>
  <si>
    <t>Pooja Kumar</t>
  </si>
  <si>
    <t>EMP10191</t>
  </si>
  <si>
    <t>EMP10192</t>
  </si>
  <si>
    <t>Sneha Nair</t>
  </si>
  <si>
    <t>EMP10193</t>
  </si>
  <si>
    <t>EMP10194</t>
  </si>
  <si>
    <t>EMP10195</t>
  </si>
  <si>
    <t>EMP10196</t>
  </si>
  <si>
    <t>EMP10197</t>
  </si>
  <si>
    <t>EMP10198</t>
  </si>
  <si>
    <t>EMP10199</t>
  </si>
  <si>
    <t>Ishita Kumar</t>
  </si>
  <si>
    <t>EMP10200</t>
  </si>
  <si>
    <t>EMP10201</t>
  </si>
  <si>
    <t>EMP10202</t>
  </si>
  <si>
    <t>EMP10203</t>
  </si>
  <si>
    <t>EMP10204</t>
  </si>
  <si>
    <t>EMP10205</t>
  </si>
  <si>
    <t>Aisha Pillai</t>
  </si>
  <si>
    <t>EMP10206</t>
  </si>
  <si>
    <t>EMP10207</t>
  </si>
  <si>
    <t>EMP10208</t>
  </si>
  <si>
    <t>Aarav Das</t>
  </si>
  <si>
    <t>EMP10209</t>
  </si>
  <si>
    <t>Aarav Patel</t>
  </si>
  <si>
    <t>EMP10210</t>
  </si>
  <si>
    <t>EMP10211</t>
  </si>
  <si>
    <t>EMP10212</t>
  </si>
  <si>
    <t>Aarav Rao</t>
  </si>
  <si>
    <t>EMP10213</t>
  </si>
  <si>
    <t>Rohan Nair</t>
  </si>
  <si>
    <t>EMP10214</t>
  </si>
  <si>
    <t>EMP10215</t>
  </si>
  <si>
    <t>EMP10216</t>
  </si>
  <si>
    <t>EMP10217</t>
  </si>
  <si>
    <t>EMP10218</t>
  </si>
  <si>
    <t>EMP10219</t>
  </si>
  <si>
    <t>Priya Kumar</t>
  </si>
  <si>
    <t>EMP10220</t>
  </si>
  <si>
    <t>EMP10221</t>
  </si>
  <si>
    <t>EMP10222</t>
  </si>
  <si>
    <t>Kavya Iyer</t>
  </si>
  <si>
    <t>EMP10223</t>
  </si>
  <si>
    <t>EMP10224</t>
  </si>
  <si>
    <t>EMP10225</t>
  </si>
  <si>
    <t>EMP10226</t>
  </si>
  <si>
    <t>EMP10227</t>
  </si>
  <si>
    <t>EMP10228</t>
  </si>
  <si>
    <t>Nikhil Das</t>
  </si>
  <si>
    <t>EMP10229</t>
  </si>
  <si>
    <t>Aisha Das</t>
  </si>
  <si>
    <t>EMP10230</t>
  </si>
  <si>
    <t>EMP10231</t>
  </si>
  <si>
    <t>EMP10232</t>
  </si>
  <si>
    <t>Kavya Shetty</t>
  </si>
  <si>
    <t>EMP10233</t>
  </si>
  <si>
    <t>EMP10234</t>
  </si>
  <si>
    <t>EMP10235</t>
  </si>
  <si>
    <t>EMP10236</t>
  </si>
  <si>
    <t>EMP10237</t>
  </si>
  <si>
    <t>EMP10238</t>
  </si>
  <si>
    <t>Aarav Sharma</t>
  </si>
  <si>
    <t>EMP10239</t>
  </si>
  <si>
    <t>Aisha Joshi</t>
  </si>
  <si>
    <t>EMP10240</t>
  </si>
  <si>
    <t>EMP10241</t>
  </si>
  <si>
    <t>EMP10242</t>
  </si>
  <si>
    <t>EMP10243</t>
  </si>
  <si>
    <t>Nikhil Joshi</t>
  </si>
  <si>
    <t>EMP10244</t>
  </si>
  <si>
    <t>EMP10245</t>
  </si>
  <si>
    <t>EMP10246</t>
  </si>
  <si>
    <t>Aisha Patel</t>
  </si>
  <si>
    <t>EMP10247</t>
  </si>
  <si>
    <t>EMP10248</t>
  </si>
  <si>
    <t>Pooja Das</t>
  </si>
  <si>
    <t>EMP10249</t>
  </si>
  <si>
    <t>Vikram Das</t>
  </si>
  <si>
    <t>EMP10250</t>
  </si>
  <si>
    <t>EMP10251</t>
  </si>
  <si>
    <t>Vivaan Reddy</t>
  </si>
  <si>
    <t>EMP10252</t>
  </si>
  <si>
    <t>EMP10253</t>
  </si>
  <si>
    <t>Arjun Das</t>
  </si>
  <si>
    <t>EMP10254</t>
  </si>
  <si>
    <t>Meera Joshi</t>
  </si>
  <si>
    <t>EMP10255</t>
  </si>
  <si>
    <t>Arjun Singh</t>
  </si>
  <si>
    <t>EMP10256</t>
  </si>
  <si>
    <t>EMP10257</t>
  </si>
  <si>
    <t>Rohan Singh</t>
  </si>
  <si>
    <t>EMP10258</t>
  </si>
  <si>
    <t>EMP10259</t>
  </si>
  <si>
    <t>Aditya Kumar</t>
  </si>
  <si>
    <t>EMP10260</t>
  </si>
  <si>
    <t>Meera Sharma</t>
  </si>
  <si>
    <t>EMP10261</t>
  </si>
  <si>
    <t>Kiran Shetty</t>
  </si>
  <si>
    <t>EMP10262</t>
  </si>
  <si>
    <t>EMP10263</t>
  </si>
  <si>
    <t>Pooja Rao</t>
  </si>
  <si>
    <t>EMP10264</t>
  </si>
  <si>
    <t>Ishita Rao</t>
  </si>
  <si>
    <t>EMP10265</t>
  </si>
  <si>
    <t>EMP10266</t>
  </si>
  <si>
    <t>EMP10267</t>
  </si>
  <si>
    <t>EMP10268</t>
  </si>
  <si>
    <t>Ishita Joshi</t>
  </si>
  <si>
    <t>EMP10269</t>
  </si>
  <si>
    <t>Aisha Sharma</t>
  </si>
  <si>
    <t>EMP10270</t>
  </si>
  <si>
    <t>Arjun Pillai</t>
  </si>
  <si>
    <t>EMP10271</t>
  </si>
  <si>
    <t>Sanjay Reddy</t>
  </si>
  <si>
    <t>EMP10272</t>
  </si>
  <si>
    <t>EMP10273</t>
  </si>
  <si>
    <t>EMP10274</t>
  </si>
  <si>
    <t>EMP10275</t>
  </si>
  <si>
    <t>EMP10276</t>
  </si>
  <si>
    <t>EMP10277</t>
  </si>
  <si>
    <t>EMP10278</t>
  </si>
  <si>
    <t>EMP10279</t>
  </si>
  <si>
    <t>EMP10280</t>
  </si>
  <si>
    <t>Arjun Iyer</t>
  </si>
  <si>
    <t>EMP10281</t>
  </si>
  <si>
    <t>EMP10282</t>
  </si>
  <si>
    <t>Kiran Iyer</t>
  </si>
  <si>
    <t>EMP10283</t>
  </si>
  <si>
    <t>EMP10284</t>
  </si>
  <si>
    <t>EMP10285</t>
  </si>
  <si>
    <t>EMP10286</t>
  </si>
  <si>
    <t>EMP10287</t>
  </si>
  <si>
    <t>Meera Pillai</t>
  </si>
  <si>
    <t>EMP10288</t>
  </si>
  <si>
    <t>EMP10289</t>
  </si>
  <si>
    <t>Diya Sharma</t>
  </si>
  <si>
    <t>EMP10290</t>
  </si>
  <si>
    <t>EMP10291</t>
  </si>
  <si>
    <t>EMP10292</t>
  </si>
  <si>
    <t>Nikhil Singh</t>
  </si>
  <si>
    <t>EMP10293</t>
  </si>
  <si>
    <t>EMP10294</t>
  </si>
  <si>
    <t>EMP10295</t>
  </si>
  <si>
    <t>EMP10296</t>
  </si>
  <si>
    <t>Aisha Shetty</t>
  </si>
  <si>
    <t>EMP10297</t>
  </si>
  <si>
    <t>Kavya Sharma</t>
  </si>
  <si>
    <t>EMP10298</t>
  </si>
  <si>
    <t>Neha Sharma</t>
  </si>
  <si>
    <t>EMP10299</t>
  </si>
  <si>
    <t>EMP10300</t>
  </si>
  <si>
    <t>EMP10301</t>
  </si>
  <si>
    <t>EMP10302</t>
  </si>
  <si>
    <t>EMP10303</t>
  </si>
  <si>
    <t>EMP10304</t>
  </si>
  <si>
    <t>EMP10305</t>
  </si>
  <si>
    <t>EMP10306</t>
  </si>
  <si>
    <t>EMP10307</t>
  </si>
  <si>
    <t>EMP10308</t>
  </si>
  <si>
    <t>Vikram Singh</t>
  </si>
  <si>
    <t>EMP10309</t>
  </si>
  <si>
    <t>EMP10310</t>
  </si>
  <si>
    <t>EMP10311</t>
  </si>
  <si>
    <t>Pooja Singh</t>
  </si>
  <si>
    <t>EMP10312</t>
  </si>
  <si>
    <t>Aarav Nair</t>
  </si>
  <si>
    <t>EMP10313</t>
  </si>
  <si>
    <t>Rahul Das</t>
  </si>
  <si>
    <t>EMP10314</t>
  </si>
  <si>
    <t>Diya Iyer</t>
  </si>
  <si>
    <t>EMP10315</t>
  </si>
  <si>
    <t>Kavya Nair</t>
  </si>
  <si>
    <t>EMP10316</t>
  </si>
  <si>
    <t>EMP10317</t>
  </si>
  <si>
    <t>EMP10318</t>
  </si>
  <si>
    <t>EMP10319</t>
  </si>
  <si>
    <t>EMP10320</t>
  </si>
  <si>
    <t>EMP10321</t>
  </si>
  <si>
    <t>EMP10322</t>
  </si>
  <si>
    <t>EMP10323</t>
  </si>
  <si>
    <t>EMP10324</t>
  </si>
  <si>
    <t>Nikhil Shetty</t>
  </si>
  <si>
    <t>EMP10325</t>
  </si>
  <si>
    <t>EMP10326</t>
  </si>
  <si>
    <t>EMP10327</t>
  </si>
  <si>
    <t>EMP10328</t>
  </si>
  <si>
    <t>EMP10329</t>
  </si>
  <si>
    <t>EMP10330</t>
  </si>
  <si>
    <t>EMP10331</t>
  </si>
  <si>
    <t>Arjun Joshi</t>
  </si>
  <si>
    <t>EMP10332</t>
  </si>
  <si>
    <t>EMP10333</t>
  </si>
  <si>
    <t>EMP10334</t>
  </si>
  <si>
    <t>EMP10335</t>
  </si>
  <si>
    <t>EMP10336</t>
  </si>
  <si>
    <t>Rahul Patel</t>
  </si>
  <si>
    <t>EMP10337</t>
  </si>
  <si>
    <t>Aisha Iyer</t>
  </si>
  <si>
    <t>EMP10338</t>
  </si>
  <si>
    <t>Sneha Singh</t>
  </si>
  <si>
    <t>EMP10339</t>
  </si>
  <si>
    <t>EMP10340</t>
  </si>
  <si>
    <t>EMP10341</t>
  </si>
  <si>
    <t>Ishita Iyer</t>
  </si>
  <si>
    <t>EMP10342</t>
  </si>
  <si>
    <t>EMP10343</t>
  </si>
  <si>
    <t>EMP10344</t>
  </si>
  <si>
    <t>EMP10345</t>
  </si>
  <si>
    <t>Ananya Iyer</t>
  </si>
  <si>
    <t>EMP10346</t>
  </si>
  <si>
    <t>EMP10347</t>
  </si>
  <si>
    <t>Vivaan Singh</t>
  </si>
  <si>
    <t>EMP10348</t>
  </si>
  <si>
    <t>EMP10349</t>
  </si>
  <si>
    <t>EMP10350</t>
  </si>
  <si>
    <t>EMP10351</t>
  </si>
  <si>
    <t>EMP10352</t>
  </si>
  <si>
    <t>EMP10353</t>
  </si>
  <si>
    <t>EMP10354</t>
  </si>
  <si>
    <t>EMP10355</t>
  </si>
  <si>
    <t>EMP10356</t>
  </si>
  <si>
    <t>EMP10357</t>
  </si>
  <si>
    <t>EMP10358</t>
  </si>
  <si>
    <t>Priya Singh</t>
  </si>
  <si>
    <t>EMP10359</t>
  </si>
  <si>
    <t>EMP10360</t>
  </si>
  <si>
    <t>Aisha Kumar</t>
  </si>
  <si>
    <t>EMP10361</t>
  </si>
  <si>
    <t>EMP10362</t>
  </si>
  <si>
    <t>Vikram Patel</t>
  </si>
  <si>
    <t>EMP10363</t>
  </si>
  <si>
    <t>EMP10364</t>
  </si>
  <si>
    <t>EMP10365</t>
  </si>
  <si>
    <t>Aditya Joshi</t>
  </si>
  <si>
    <t>EMP10366</t>
  </si>
  <si>
    <t>EMP10367</t>
  </si>
  <si>
    <t>EMP10368</t>
  </si>
  <si>
    <t>EMP10369</t>
  </si>
  <si>
    <t>EMP10370</t>
  </si>
  <si>
    <t>EMP10371</t>
  </si>
  <si>
    <t>EMP10372</t>
  </si>
  <si>
    <t>EMP10373</t>
  </si>
  <si>
    <t>Kiran Nair</t>
  </si>
  <si>
    <t>EMP10374</t>
  </si>
  <si>
    <t>EMP10375</t>
  </si>
  <si>
    <t>EMP10376</t>
  </si>
  <si>
    <t>EMP10377</t>
  </si>
  <si>
    <t>EMP10378</t>
  </si>
  <si>
    <t>EMP10379</t>
  </si>
  <si>
    <t>Rahul Sharma</t>
  </si>
  <si>
    <t>EMP10380</t>
  </si>
  <si>
    <t>EMP10381</t>
  </si>
  <si>
    <t>EMP10382</t>
  </si>
  <si>
    <t>EMP10383</t>
  </si>
  <si>
    <t>EMP10384</t>
  </si>
  <si>
    <t>EMP10385</t>
  </si>
  <si>
    <t>Pooja Pillai</t>
  </si>
  <si>
    <t>EMP10386</t>
  </si>
  <si>
    <t>EMP10387</t>
  </si>
  <si>
    <t>Rohan Patel</t>
  </si>
  <si>
    <t>EMP10388</t>
  </si>
  <si>
    <t>Rahul Iyer</t>
  </si>
  <si>
    <t>EMP10389</t>
  </si>
  <si>
    <t>EMP10390</t>
  </si>
  <si>
    <t>EMP10391</t>
  </si>
  <si>
    <t>EMP10392</t>
  </si>
  <si>
    <t>Kavya Joshi</t>
  </si>
  <si>
    <t>EMP10393</t>
  </si>
  <si>
    <t>EMP10394</t>
  </si>
  <si>
    <t>EMP10395</t>
  </si>
  <si>
    <t>EMP10396</t>
  </si>
  <si>
    <t>EMP10397</t>
  </si>
  <si>
    <t>EMP10398</t>
  </si>
  <si>
    <t>Aisha Reddy</t>
  </si>
  <si>
    <t>EMP10399</t>
  </si>
  <si>
    <t>EMP10400</t>
  </si>
  <si>
    <t>EMP10401</t>
  </si>
  <si>
    <t>EMP10402</t>
  </si>
  <si>
    <t>EMP10403</t>
  </si>
  <si>
    <t>EMP10404</t>
  </si>
  <si>
    <t>EMP10405</t>
  </si>
  <si>
    <t>EMP10406</t>
  </si>
  <si>
    <t>EMP10407</t>
  </si>
  <si>
    <t>EMP10408</t>
  </si>
  <si>
    <t>EMP10409</t>
  </si>
  <si>
    <t>Sneha Shetty</t>
  </si>
  <si>
    <t>EMP10410</t>
  </si>
  <si>
    <t>EMP10411</t>
  </si>
  <si>
    <t>EMP10412</t>
  </si>
  <si>
    <t>EMP10413</t>
  </si>
  <si>
    <t>EMP10414</t>
  </si>
  <si>
    <t>EMP10415</t>
  </si>
  <si>
    <t>Priya Das</t>
  </si>
  <si>
    <t>EMP10416</t>
  </si>
  <si>
    <t>EMP10417</t>
  </si>
  <si>
    <t>EMP10418</t>
  </si>
  <si>
    <t>Priya Joshi</t>
  </si>
  <si>
    <t>EMP10419</t>
  </si>
  <si>
    <t>EMP10420</t>
  </si>
  <si>
    <t>EMP10421</t>
  </si>
  <si>
    <t>EMP10422</t>
  </si>
  <si>
    <t>EMP10423</t>
  </si>
  <si>
    <t>Ishita Patel</t>
  </si>
  <si>
    <t>EMP10424</t>
  </si>
  <si>
    <t>EMP10425</t>
  </si>
  <si>
    <t>EMP10426</t>
  </si>
  <si>
    <t>EMP10427</t>
  </si>
  <si>
    <t>EMP10428</t>
  </si>
  <si>
    <t>EMP10429</t>
  </si>
  <si>
    <t>EMP10430</t>
  </si>
  <si>
    <t>EMP10431</t>
  </si>
  <si>
    <t>EMP10432</t>
  </si>
  <si>
    <t>EMP10433</t>
  </si>
  <si>
    <t>EMP10434</t>
  </si>
  <si>
    <t>Sneha Kumar</t>
  </si>
  <si>
    <t>EMP10435</t>
  </si>
  <si>
    <t>EMP10436</t>
  </si>
  <si>
    <t>EMP10437</t>
  </si>
  <si>
    <t>EMP10438</t>
  </si>
  <si>
    <t>Diya Reddy</t>
  </si>
  <si>
    <t>EMP10439</t>
  </si>
  <si>
    <t>EMP10440</t>
  </si>
  <si>
    <t>EMP10441</t>
  </si>
  <si>
    <t>Neha Das</t>
  </si>
  <si>
    <t>EMP10442</t>
  </si>
  <si>
    <t>EMP10443</t>
  </si>
  <si>
    <t>Ishita Nair</t>
  </si>
  <si>
    <t>EMP10444</t>
  </si>
  <si>
    <t>EMP10445</t>
  </si>
  <si>
    <t>EMP10446</t>
  </si>
  <si>
    <t>Rahul Nair</t>
  </si>
  <si>
    <t>EMP10447</t>
  </si>
  <si>
    <t>EMP10448</t>
  </si>
  <si>
    <t>EMP10449</t>
  </si>
  <si>
    <t>EMP10450</t>
  </si>
  <si>
    <t>EMP10451</t>
  </si>
  <si>
    <t>EMP10452</t>
  </si>
  <si>
    <t>EMP10453</t>
  </si>
  <si>
    <t>EMP10454</t>
  </si>
  <si>
    <t>EMP10455</t>
  </si>
  <si>
    <t>Ananya Kumar</t>
  </si>
  <si>
    <t>EMP10456</t>
  </si>
  <si>
    <t>EMP10457</t>
  </si>
  <si>
    <t>EMP10458</t>
  </si>
  <si>
    <t>EMP10459</t>
  </si>
  <si>
    <t>EMP10460</t>
  </si>
  <si>
    <t>EMP10461</t>
  </si>
  <si>
    <t>EMP10462</t>
  </si>
  <si>
    <t>EMP10463</t>
  </si>
  <si>
    <t>EMP10464</t>
  </si>
  <si>
    <t>EMP10465</t>
  </si>
  <si>
    <t>EMP10466</t>
  </si>
  <si>
    <t>EMP10467</t>
  </si>
  <si>
    <t>EMP10468</t>
  </si>
  <si>
    <t>Rohan Joshi</t>
  </si>
  <si>
    <t>EMP10469</t>
  </si>
  <si>
    <t>EMP10470</t>
  </si>
  <si>
    <t>EMP10471</t>
  </si>
  <si>
    <t>EMP10472</t>
  </si>
  <si>
    <t>Nikhil Iyer</t>
  </si>
  <si>
    <t>EMP10473</t>
  </si>
  <si>
    <t>EMP10474</t>
  </si>
  <si>
    <t>EMP10475</t>
  </si>
  <si>
    <t>EMP10476</t>
  </si>
  <si>
    <t>EMP10477</t>
  </si>
  <si>
    <t>Sanjay Sharma</t>
  </si>
  <si>
    <t>EMP10478</t>
  </si>
  <si>
    <t>Sanjay Joshi</t>
  </si>
  <si>
    <t>EMP10479</t>
  </si>
  <si>
    <t>EMP10480</t>
  </si>
  <si>
    <t>EMP10481</t>
  </si>
  <si>
    <t>EMP10482</t>
  </si>
  <si>
    <t>EMP10483</t>
  </si>
  <si>
    <t>EMP10484</t>
  </si>
  <si>
    <t>EMP10485</t>
  </si>
  <si>
    <t>Ananya Singh</t>
  </si>
  <si>
    <t>EMP10486</t>
  </si>
  <si>
    <t>EMP10487</t>
  </si>
  <si>
    <t>EMP10488</t>
  </si>
  <si>
    <t>EMP10489</t>
  </si>
  <si>
    <t>EMP10490</t>
  </si>
  <si>
    <t>EMP10491</t>
  </si>
  <si>
    <t>EMP10492</t>
  </si>
  <si>
    <t>EMP10493</t>
  </si>
  <si>
    <t>EMP10494</t>
  </si>
  <si>
    <t>EMP10495</t>
  </si>
  <si>
    <t>EMP10496</t>
  </si>
  <si>
    <t>EMP10497</t>
  </si>
  <si>
    <t>Ishita Das</t>
  </si>
  <si>
    <t>EMP10498</t>
  </si>
  <si>
    <t>Meera Shetty</t>
  </si>
  <si>
    <t>EMP10499</t>
  </si>
  <si>
    <t>EMP10500</t>
  </si>
  <si>
    <t>EMP10501</t>
  </si>
  <si>
    <t>EMP10502</t>
  </si>
  <si>
    <t>EMP10503</t>
  </si>
  <si>
    <t>EMP10504</t>
  </si>
  <si>
    <t>Sneha Rao</t>
  </si>
  <si>
    <t>EMP10505</t>
  </si>
  <si>
    <t>EMP10506</t>
  </si>
  <si>
    <t>EMP10507</t>
  </si>
  <si>
    <t>EMP10508</t>
  </si>
  <si>
    <t>EMP10509</t>
  </si>
  <si>
    <t>EMP10510</t>
  </si>
  <si>
    <t>Kiran Reddy</t>
  </si>
  <si>
    <t>EMP10511</t>
  </si>
  <si>
    <t>EMP10512</t>
  </si>
  <si>
    <t>EMP10513</t>
  </si>
  <si>
    <t>EMP10514</t>
  </si>
  <si>
    <t>EMP10515</t>
  </si>
  <si>
    <t>EMP10516</t>
  </si>
  <si>
    <t>EMP10517</t>
  </si>
  <si>
    <t>EMP10518</t>
  </si>
  <si>
    <t>EMP10519</t>
  </si>
  <si>
    <t>Nikhil Sharma</t>
  </si>
  <si>
    <t>EMP10520</t>
  </si>
  <si>
    <t>Rahul Kumar</t>
  </si>
  <si>
    <t>EMP10521</t>
  </si>
  <si>
    <t>Ishita Shetty</t>
  </si>
  <si>
    <t>EMP10522</t>
  </si>
  <si>
    <t>EMP10523</t>
  </si>
  <si>
    <t>EMP10524</t>
  </si>
  <si>
    <t>EMP10525</t>
  </si>
  <si>
    <t>EMP10526</t>
  </si>
  <si>
    <t>EMP10527</t>
  </si>
  <si>
    <t>EMP10528</t>
  </si>
  <si>
    <t>EMP10529</t>
  </si>
  <si>
    <t>EMP10530</t>
  </si>
  <si>
    <t>Ananya Das</t>
  </si>
  <si>
    <t>EMP10531</t>
  </si>
  <si>
    <t>Vikram Nair</t>
  </si>
  <si>
    <t>EMP10532</t>
  </si>
  <si>
    <t>EMP10533</t>
  </si>
  <si>
    <t>Sneha Das</t>
  </si>
  <si>
    <t>EMP10534</t>
  </si>
  <si>
    <t>EMP10535</t>
  </si>
  <si>
    <t>EMP10536</t>
  </si>
  <si>
    <t>EMP10537</t>
  </si>
  <si>
    <t>EMP10538</t>
  </si>
  <si>
    <t>EMP10539</t>
  </si>
  <si>
    <t>EMP10540</t>
  </si>
  <si>
    <t>Diya Kumar</t>
  </si>
  <si>
    <t>EMP10541</t>
  </si>
  <si>
    <t>EMP10542</t>
  </si>
  <si>
    <t>Rohan Shetty</t>
  </si>
  <si>
    <t>EMP10543</t>
  </si>
  <si>
    <t>EMP10544</t>
  </si>
  <si>
    <t>EMP10545</t>
  </si>
  <si>
    <t>Sanjay Nair</t>
  </si>
  <si>
    <t>EMP10546</t>
  </si>
  <si>
    <t>EMP10547</t>
  </si>
  <si>
    <t>EMP10548</t>
  </si>
  <si>
    <t>Ananya Rao</t>
  </si>
  <si>
    <t>EMP10549</t>
  </si>
  <si>
    <t>EMP10550</t>
  </si>
  <si>
    <t>EMP10551</t>
  </si>
  <si>
    <t>EMP10552</t>
  </si>
  <si>
    <t>EMP10553</t>
  </si>
  <si>
    <t>EMP10554</t>
  </si>
  <si>
    <t>EMP10555</t>
  </si>
  <si>
    <t>EMP10556</t>
  </si>
  <si>
    <t>EMP10557</t>
  </si>
  <si>
    <t>EMP10558</t>
  </si>
  <si>
    <t>EMP10559</t>
  </si>
  <si>
    <t>EMP10560</t>
  </si>
  <si>
    <t>Vivaan Rao</t>
  </si>
  <si>
    <t>EMP10561</t>
  </si>
  <si>
    <t>EMP10562</t>
  </si>
  <si>
    <t>EMP10563</t>
  </si>
  <si>
    <t>EMP10564</t>
  </si>
  <si>
    <t>Diya Joshi</t>
  </si>
  <si>
    <t>EMP10565</t>
  </si>
  <si>
    <t>EMP10566</t>
  </si>
  <si>
    <t>EMP10567</t>
  </si>
  <si>
    <t>EMP10568</t>
  </si>
  <si>
    <t>EMP10569</t>
  </si>
  <si>
    <t>EMP10570</t>
  </si>
  <si>
    <t>Meera Iyer</t>
  </si>
  <si>
    <t>EMP10571</t>
  </si>
  <si>
    <t>EMP10572</t>
  </si>
  <si>
    <t>EMP10573</t>
  </si>
  <si>
    <t>EMP10574</t>
  </si>
  <si>
    <t>Neha Nair</t>
  </si>
  <si>
    <t>EMP10575</t>
  </si>
  <si>
    <t>EMP10576</t>
  </si>
  <si>
    <t>EMP10577</t>
  </si>
  <si>
    <t>EMP10578</t>
  </si>
  <si>
    <t>EMP10579</t>
  </si>
  <si>
    <t>EMP10580</t>
  </si>
  <si>
    <t>EMP10581</t>
  </si>
  <si>
    <t>EMP10582</t>
  </si>
  <si>
    <t>EMP10583</t>
  </si>
  <si>
    <t>Sneha Patel</t>
  </si>
  <si>
    <t>EMP10584</t>
  </si>
  <si>
    <t>EMP10585</t>
  </si>
  <si>
    <t>EMP10586</t>
  </si>
  <si>
    <t>EMP10587</t>
  </si>
  <si>
    <t>EMP10588</t>
  </si>
  <si>
    <t>EMP10589</t>
  </si>
  <si>
    <t>EMP10590</t>
  </si>
  <si>
    <t>EMP10591</t>
  </si>
  <si>
    <t>EMP10592</t>
  </si>
  <si>
    <t>EMP10593</t>
  </si>
  <si>
    <t>EMP10594</t>
  </si>
  <si>
    <t>EMP10595</t>
  </si>
  <si>
    <t>EMP10596</t>
  </si>
  <si>
    <t>EMP10597</t>
  </si>
  <si>
    <t>EMP10598</t>
  </si>
  <si>
    <t>EMP10599</t>
  </si>
  <si>
    <t>EMP10600</t>
  </si>
  <si>
    <t>EMP10601</t>
  </si>
  <si>
    <t>EMP10602</t>
  </si>
  <si>
    <t>EMP10603</t>
  </si>
  <si>
    <t>EMP10604</t>
  </si>
  <si>
    <t>EMP10605</t>
  </si>
  <si>
    <t>Neha Iyer</t>
  </si>
  <si>
    <t>EMP10606</t>
  </si>
  <si>
    <t>EMP10607</t>
  </si>
  <si>
    <t>EMP10608</t>
  </si>
  <si>
    <t>EMP10609</t>
  </si>
  <si>
    <t>EMP10610</t>
  </si>
  <si>
    <t>EMP10611</t>
  </si>
  <si>
    <t>EMP10612</t>
  </si>
  <si>
    <t>EMP10613</t>
  </si>
  <si>
    <t>EMP10614</t>
  </si>
  <si>
    <t>EMP10615</t>
  </si>
  <si>
    <t>EMP10616</t>
  </si>
  <si>
    <t>EMP10617</t>
  </si>
  <si>
    <t>EMP10618</t>
  </si>
  <si>
    <t>EMP10619</t>
  </si>
  <si>
    <t>Rahul Singh</t>
  </si>
  <si>
    <t>EMP10620</t>
  </si>
  <si>
    <t>EMP10621</t>
  </si>
  <si>
    <t>EMP10622</t>
  </si>
  <si>
    <t>EMP10623</t>
  </si>
  <si>
    <t>EMP10624</t>
  </si>
  <si>
    <t>EMP10625</t>
  </si>
  <si>
    <t>EMP10626</t>
  </si>
  <si>
    <t>EMP10627</t>
  </si>
  <si>
    <t>EMP10628</t>
  </si>
  <si>
    <t>EMP10629</t>
  </si>
  <si>
    <t>EMP10630</t>
  </si>
  <si>
    <t>EMP10631</t>
  </si>
  <si>
    <t>EMP10632</t>
  </si>
  <si>
    <t>EMP10633</t>
  </si>
  <si>
    <t>EMP10634</t>
  </si>
  <si>
    <t>EMP10635</t>
  </si>
  <si>
    <t>EMP10636</t>
  </si>
  <si>
    <t>EMP10637</t>
  </si>
  <si>
    <t>EMP10638</t>
  </si>
  <si>
    <t>EMP10639</t>
  </si>
  <si>
    <t>EMP10640</t>
  </si>
  <si>
    <t>EMP10641</t>
  </si>
  <si>
    <t>EMP10642</t>
  </si>
  <si>
    <t>EMP10643</t>
  </si>
  <si>
    <t>Rahul Joshi</t>
  </si>
  <si>
    <t>EMP10644</t>
  </si>
  <si>
    <t>EMP10645</t>
  </si>
  <si>
    <t>EMP10646</t>
  </si>
  <si>
    <t>EMP10647</t>
  </si>
  <si>
    <t>Ishita Sharma</t>
  </si>
  <si>
    <t>EMP10648</t>
  </si>
  <si>
    <t>EMP10649</t>
  </si>
  <si>
    <t>EMP10650</t>
  </si>
  <si>
    <t>EMP10651</t>
  </si>
  <si>
    <t>EMP10652</t>
  </si>
  <si>
    <t>EMP10653</t>
  </si>
  <si>
    <t>EMP10654</t>
  </si>
  <si>
    <t>EMP10655</t>
  </si>
  <si>
    <t>EMP10656</t>
  </si>
  <si>
    <t>EMP10657</t>
  </si>
  <si>
    <t>EMP10658</t>
  </si>
  <si>
    <t>EMP10659</t>
  </si>
  <si>
    <t>EMP10660</t>
  </si>
  <si>
    <t>EMP10661</t>
  </si>
  <si>
    <t>EMP10662</t>
  </si>
  <si>
    <t>EMP10663</t>
  </si>
  <si>
    <t>EMP10664</t>
  </si>
  <si>
    <t>EMP10665</t>
  </si>
  <si>
    <t>EMP10666</t>
  </si>
  <si>
    <t>EMP10667</t>
  </si>
  <si>
    <t>EMP10668</t>
  </si>
  <si>
    <t>EMP10669</t>
  </si>
  <si>
    <t>EMP10670</t>
  </si>
  <si>
    <t>EMP10671</t>
  </si>
  <si>
    <t>EMP10672</t>
  </si>
  <si>
    <t>EMP10673</t>
  </si>
  <si>
    <t>EMP10674</t>
  </si>
  <si>
    <t>EMP10675</t>
  </si>
  <si>
    <t>EMP10676</t>
  </si>
  <si>
    <t>EMP10677</t>
  </si>
  <si>
    <t>EMP10678</t>
  </si>
  <si>
    <t>EMP10679</t>
  </si>
  <si>
    <t>EMP10680</t>
  </si>
  <si>
    <t>EMP10681</t>
  </si>
  <si>
    <t>EMP10682</t>
  </si>
  <si>
    <t>EMP10683</t>
  </si>
  <si>
    <t>EMP10684</t>
  </si>
  <si>
    <t>EMP10685</t>
  </si>
  <si>
    <t>EMP10686</t>
  </si>
  <si>
    <t>EMP10687</t>
  </si>
  <si>
    <t>EMP10688</t>
  </si>
  <si>
    <t>EMP10689</t>
  </si>
  <si>
    <t>EMP10690</t>
  </si>
  <si>
    <t>EMP10691</t>
  </si>
  <si>
    <t>EMP10692</t>
  </si>
  <si>
    <t>EMP10693</t>
  </si>
  <si>
    <t>EMP10694</t>
  </si>
  <si>
    <t>EMP10695</t>
  </si>
  <si>
    <t>EMP10696</t>
  </si>
  <si>
    <t>EMP10697</t>
  </si>
  <si>
    <t>EMP10698</t>
  </si>
  <si>
    <t>EMP10699</t>
  </si>
  <si>
    <t>EMP10700</t>
  </si>
  <si>
    <t>EMP10701</t>
  </si>
  <si>
    <t>EMP10702</t>
  </si>
  <si>
    <t>EMP10703</t>
  </si>
  <si>
    <t>EMP10704</t>
  </si>
  <si>
    <t>EMP10705</t>
  </si>
  <si>
    <t>EMP10706</t>
  </si>
  <si>
    <t>EMP10707</t>
  </si>
  <si>
    <t>EMP10708</t>
  </si>
  <si>
    <t>EMP10709</t>
  </si>
  <si>
    <t>EMP10710</t>
  </si>
  <si>
    <t>EMP10711</t>
  </si>
  <si>
    <t>EMP10712</t>
  </si>
  <si>
    <t>EMP10713</t>
  </si>
  <si>
    <t>EMP10714</t>
  </si>
  <si>
    <t>Aditya Das</t>
  </si>
  <si>
    <t>EMP10715</t>
  </si>
  <si>
    <t>EMP10716</t>
  </si>
  <si>
    <t>EMP10717</t>
  </si>
  <si>
    <t>EMP10718</t>
  </si>
  <si>
    <t>EMP10719</t>
  </si>
  <si>
    <t>EMP10720</t>
  </si>
  <si>
    <t>EMP10721</t>
  </si>
  <si>
    <t>EMP10722</t>
  </si>
  <si>
    <t>EMP10723</t>
  </si>
  <si>
    <t>EMP10724</t>
  </si>
  <si>
    <t>EMP10725</t>
  </si>
  <si>
    <t>EMP10726</t>
  </si>
  <si>
    <t>Pooja Reddy</t>
  </si>
  <si>
    <t>EMP10727</t>
  </si>
  <si>
    <t>EMP10728</t>
  </si>
  <si>
    <t>EMP10729</t>
  </si>
  <si>
    <t>EMP10730</t>
  </si>
  <si>
    <t>EMP10731</t>
  </si>
  <si>
    <t>EMP10732</t>
  </si>
  <si>
    <t>EMP10733</t>
  </si>
  <si>
    <t>EMP10734</t>
  </si>
  <si>
    <t>EMP10735</t>
  </si>
  <si>
    <t>EMP10736</t>
  </si>
  <si>
    <t>EMP10737</t>
  </si>
  <si>
    <t>EMP10738</t>
  </si>
  <si>
    <t>Ananya Patel</t>
  </si>
  <si>
    <t>EMP10739</t>
  </si>
  <si>
    <t>EMP10740</t>
  </si>
  <si>
    <t>EMP10741</t>
  </si>
  <si>
    <t>EMP10742</t>
  </si>
  <si>
    <t>EMP10743</t>
  </si>
  <si>
    <t>EMP10744</t>
  </si>
  <si>
    <t>EMP10745</t>
  </si>
  <si>
    <t>EMP10746</t>
  </si>
  <si>
    <t>EMP10747</t>
  </si>
  <si>
    <t>EMP10748</t>
  </si>
  <si>
    <t>EMP10749</t>
  </si>
  <si>
    <t>EMP10750</t>
  </si>
  <si>
    <t>EMP10751</t>
  </si>
  <si>
    <t>EMP10752</t>
  </si>
  <si>
    <t>EMP10753</t>
  </si>
  <si>
    <t>EMP10754</t>
  </si>
  <si>
    <t>EMP10755</t>
  </si>
  <si>
    <t>EMP10756</t>
  </si>
  <si>
    <t>EMP10757</t>
  </si>
  <si>
    <t>EMP10758</t>
  </si>
  <si>
    <t>EMP10759</t>
  </si>
  <si>
    <t>EMP10760</t>
  </si>
  <si>
    <t>EMP10761</t>
  </si>
  <si>
    <t>Sanjay Shetty</t>
  </si>
  <si>
    <t>EMP10762</t>
  </si>
  <si>
    <t>EMP10763</t>
  </si>
  <si>
    <t>EMP10764</t>
  </si>
  <si>
    <t>EMP10765</t>
  </si>
  <si>
    <t>EMP10766</t>
  </si>
  <si>
    <t>EMP10767</t>
  </si>
  <si>
    <t>EMP10768</t>
  </si>
  <si>
    <t>EMP10769</t>
  </si>
  <si>
    <t>EMP10770</t>
  </si>
  <si>
    <t>EMP10771</t>
  </si>
  <si>
    <t>EMP10772</t>
  </si>
  <si>
    <t>EMP10773</t>
  </si>
  <si>
    <t>EMP10774</t>
  </si>
  <si>
    <t>Kavya Pillai</t>
  </si>
  <si>
    <t>EMP10775</t>
  </si>
  <si>
    <t>EMP10776</t>
  </si>
  <si>
    <t>EMP10777</t>
  </si>
  <si>
    <t>EMP10778</t>
  </si>
  <si>
    <t>EMP10779</t>
  </si>
  <si>
    <t>EMP10780</t>
  </si>
  <si>
    <t>EMP10781</t>
  </si>
  <si>
    <t>EMP10782</t>
  </si>
  <si>
    <t>EMP10783</t>
  </si>
  <si>
    <t>EMP10784</t>
  </si>
  <si>
    <t>EMP10785</t>
  </si>
  <si>
    <t>EMP10786</t>
  </si>
  <si>
    <t>EMP10787</t>
  </si>
  <si>
    <t>EMP10788</t>
  </si>
  <si>
    <t>EMP10789</t>
  </si>
  <si>
    <t>EMP10790</t>
  </si>
  <si>
    <t>EMP10791</t>
  </si>
  <si>
    <t>EMP10792</t>
  </si>
  <si>
    <t>EMP10793</t>
  </si>
  <si>
    <t>EMP10794</t>
  </si>
  <si>
    <t>EMP10795</t>
  </si>
  <si>
    <t>EMP10796</t>
  </si>
  <si>
    <t>EMP10797</t>
  </si>
  <si>
    <t>EMP10798</t>
  </si>
  <si>
    <t>EMP10799</t>
  </si>
  <si>
    <t>EMP10800</t>
  </si>
  <si>
    <t>E_ID</t>
  </si>
  <si>
    <t>E_Name</t>
  </si>
  <si>
    <t>E_Status</t>
  </si>
  <si>
    <t>TOTAL EMPLOYEES</t>
  </si>
  <si>
    <t>Sum of Monthly_Salary_INR</t>
  </si>
  <si>
    <t>Average of Monthly_Salary_INR</t>
  </si>
  <si>
    <t>ACTIVE EMPLOYEES</t>
  </si>
  <si>
    <t>ON LEAVE</t>
  </si>
  <si>
    <t>Row Labels</t>
  </si>
  <si>
    <t>Grand Total</t>
  </si>
  <si>
    <t>Count of E_ID</t>
  </si>
  <si>
    <t>RESIGNED EMPLOYEES</t>
  </si>
  <si>
    <t>TOTAL SALARY</t>
  </si>
  <si>
    <t>AVERAGE SALARY</t>
  </si>
  <si>
    <t>2018</t>
  </si>
  <si>
    <t>2019</t>
  </si>
  <si>
    <t>2020</t>
  </si>
  <si>
    <t>2021</t>
  </si>
  <si>
    <t>2022</t>
  </si>
  <si>
    <t>2023</t>
  </si>
  <si>
    <t>2024</t>
  </si>
  <si>
    <t>2025</t>
  </si>
  <si>
    <t>2026</t>
  </si>
  <si>
    <t>Employee Count</t>
  </si>
  <si>
    <t>Column Labels</t>
  </si>
  <si>
    <t>Count of Performance_Category</t>
  </si>
  <si>
    <t>Sum of Annual_Salary_INR</t>
  </si>
  <si>
    <t>Average of Annual_Salary_INR</t>
  </si>
  <si>
    <t>Jan</t>
  </si>
  <si>
    <t>Feb</t>
  </si>
  <si>
    <t>Mar</t>
  </si>
  <si>
    <t>Apr</t>
  </si>
  <si>
    <t>May</t>
  </si>
  <si>
    <t>Jun</t>
  </si>
  <si>
    <t>Jul</t>
  </si>
  <si>
    <t>Aug</t>
  </si>
  <si>
    <t>Sep</t>
  </si>
  <si>
    <t>Oct</t>
  </si>
  <si>
    <t>Nov</t>
  </si>
  <si>
    <t>Dec</t>
  </si>
  <si>
    <t>TOTAL PROJECTS COMPLETED BY EACH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</si>
</sst>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1"/>
        <bgColor theme="1"/>
      </patternFill>
    </fill>
    <fill>
      <patternFill patternType="solid">
        <fgColor rgb="FFA5A5A5"/>
      </patternFill>
    </fill>
    <fill>
      <patternFill patternType="solid">
        <fgColor theme="3" tint="0.89999084444715716"/>
        <bgColor indexed="64"/>
      </patternFill>
    </fill>
  </fills>
  <borders count="8">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double">
        <color rgb="FF3F3F3F"/>
      </left>
      <right style="double">
        <color rgb="FF3F3F3F"/>
      </right>
      <top style="double">
        <color rgb="FF3F3F3F"/>
      </top>
      <bottom style="double">
        <color rgb="FF3F3F3F"/>
      </bottom>
      <diagonal/>
    </border>
    <border>
      <left style="thin">
        <color rgb="FF999999"/>
      </left>
      <right style="thin">
        <color rgb="FF999999"/>
      </right>
      <top style="thin">
        <color rgb="FF999999"/>
      </top>
      <bottom style="thin">
        <color rgb="FF999999"/>
      </bottom>
      <diagonal/>
    </border>
    <border>
      <left style="double">
        <color rgb="FF3F3F3F"/>
      </left>
      <right/>
      <top style="double">
        <color rgb="FF3F3F3F"/>
      </top>
      <bottom style="double">
        <color rgb="FF3F3F3F"/>
      </bottom>
      <diagonal/>
    </border>
    <border>
      <left/>
      <right style="double">
        <color rgb="FF3F3F3F"/>
      </right>
      <top style="double">
        <color rgb="FF3F3F3F"/>
      </top>
      <bottom style="double">
        <color rgb="FF3F3F3F"/>
      </bottom>
      <diagonal/>
    </border>
  </borders>
  <cellStyleXfs count="2">
    <xf numFmtId="0" fontId="0" fillId="0" borderId="0"/>
    <xf numFmtId="0" fontId="1" fillId="3" borderId="4" applyNumberFormat="0" applyAlignment="0" applyProtection="0"/>
  </cellStyleXfs>
  <cellXfs count="19">
    <xf numFmtId="0" fontId="0" fillId="0" borderId="0" xfId="0"/>
    <xf numFmtId="0" fontId="1" fillId="2" borderId="1" xfId="0" applyFont="1" applyFill="1" applyBorder="1"/>
    <xf numFmtId="0" fontId="1" fillId="2" borderId="2" xfId="0" applyFont="1" applyFill="1" applyBorder="1"/>
    <xf numFmtId="0" fontId="0" fillId="0" borderId="2" xfId="0" applyBorder="1"/>
    <xf numFmtId="0" fontId="1" fillId="2" borderId="3" xfId="0" applyFont="1" applyFill="1" applyBorder="1"/>
    <xf numFmtId="0" fontId="0" fillId="0" borderId="1" xfId="0" applyBorder="1"/>
    <xf numFmtId="14" fontId="0" fillId="0" borderId="2" xfId="0" applyNumberFormat="1" applyBorder="1"/>
    <xf numFmtId="0" fontId="0" fillId="0" borderId="3" xfId="0" applyBorder="1"/>
    <xf numFmtId="164" fontId="0" fillId="0" borderId="0" xfId="0" applyNumberFormat="1"/>
    <xf numFmtId="164" fontId="0" fillId="0" borderId="5" xfId="0" applyNumberFormat="1" applyBorder="1"/>
    <xf numFmtId="0" fontId="0" fillId="0" borderId="0" xfId="0" pivotButton="1"/>
    <xf numFmtId="0" fontId="0" fillId="0" borderId="0" xfId="0" applyAlignment="1">
      <alignment horizontal="left"/>
    </xf>
    <xf numFmtId="44" fontId="0" fillId="0" borderId="0" xfId="0" applyNumberFormat="1"/>
    <xf numFmtId="0" fontId="0" fillId="4" borderId="0" xfId="0" applyFill="1"/>
    <xf numFmtId="0" fontId="0" fillId="0" borderId="0" xfId="0" applyAlignment="1">
      <alignment horizontal="left" indent="1"/>
    </xf>
    <xf numFmtId="0" fontId="2" fillId="4" borderId="6" xfId="1" applyFont="1" applyFill="1" applyBorder="1" applyAlignment="1">
      <alignment horizontal="center"/>
    </xf>
    <xf numFmtId="0" fontId="2" fillId="4" borderId="7" xfId="1" applyFont="1" applyFill="1" applyBorder="1" applyAlignment="1">
      <alignment horizontal="center"/>
    </xf>
    <xf numFmtId="44" fontId="2" fillId="4" borderId="6" xfId="1" applyNumberFormat="1" applyFont="1" applyFill="1" applyBorder="1" applyAlignment="1">
      <alignment horizontal="center"/>
    </xf>
    <xf numFmtId="44" fontId="2" fillId="4" borderId="7" xfId="1" applyNumberFormat="1" applyFont="1" applyFill="1" applyBorder="1" applyAlignment="1">
      <alignment horizontal="center"/>
    </xf>
  </cellXfs>
  <cellStyles count="2">
    <cellStyle name="Check Cell" xfId="1" builtinId="23"/>
    <cellStyle name="Normal" xfId="0" builtinId="0"/>
  </cellStyles>
  <dxfs count="4">
    <dxf>
      <font>
        <color rgb="FF9C0006"/>
      </font>
      <fill>
        <patternFill>
          <bgColor rgb="FFFFC7CE"/>
        </patternFill>
      </fill>
    </dxf>
    <dxf>
      <numFmt numFmtId="34" formatCode="_ &quot;₹&quot;\ * #,##0.00_ ;_ &quot;₹&quot;\ * \-#,##0.00_ ;_ &quot;₹&quot;\ * &quot;-&quot;??_ ;_ @_ "/>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1/relationships/timelineCache" Target="timelineCaches/timelineCache1.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TABLE'!$A$20:$A$29</c:f>
              <c:strCache>
                <c:ptCount val="9"/>
                <c:pt idx="0">
                  <c:v>2018</c:v>
                </c:pt>
                <c:pt idx="1">
                  <c:v>2019</c:v>
                </c:pt>
                <c:pt idx="2">
                  <c:v>2020</c:v>
                </c:pt>
                <c:pt idx="3">
                  <c:v>2021</c:v>
                </c:pt>
                <c:pt idx="4">
                  <c:v>2022</c:v>
                </c:pt>
                <c:pt idx="5">
                  <c:v>2023</c:v>
                </c:pt>
                <c:pt idx="6">
                  <c:v>2024</c:v>
                </c:pt>
                <c:pt idx="7">
                  <c:v>2025</c:v>
                </c:pt>
                <c:pt idx="8">
                  <c:v>2026</c:v>
                </c:pt>
              </c:strCache>
            </c:strRef>
          </c:cat>
          <c:val>
            <c:numRef>
              <c:f>'PIVOT TABLE'!$B$20:$B$29</c:f>
              <c:numCache>
                <c:formatCode>General</c:formatCode>
                <c:ptCount val="9"/>
                <c:pt idx="0">
                  <c:v>96</c:v>
                </c:pt>
                <c:pt idx="1">
                  <c:v>87</c:v>
                </c:pt>
                <c:pt idx="2">
                  <c:v>86</c:v>
                </c:pt>
                <c:pt idx="3">
                  <c:v>102</c:v>
                </c:pt>
                <c:pt idx="4">
                  <c:v>89</c:v>
                </c:pt>
                <c:pt idx="5">
                  <c:v>86</c:v>
                </c:pt>
                <c:pt idx="6">
                  <c:v>109</c:v>
                </c:pt>
                <c:pt idx="7">
                  <c:v>90</c:v>
                </c:pt>
                <c:pt idx="8">
                  <c:v>55</c:v>
                </c:pt>
              </c:numCache>
            </c:numRef>
          </c:val>
          <c:smooth val="0"/>
          <c:extLst>
            <c:ext xmlns:c16="http://schemas.microsoft.com/office/drawing/2014/chart" uri="{C3380CC4-5D6E-409C-BE32-E72D297353CC}">
              <c16:uniqueId val="{00000000-E647-46CF-A396-F9418E48280F}"/>
            </c:ext>
          </c:extLst>
        </c:ser>
        <c:dLbls>
          <c:showLegendKey val="0"/>
          <c:showVal val="0"/>
          <c:showCatName val="0"/>
          <c:showSerName val="0"/>
          <c:showPercent val="0"/>
          <c:showBubbleSize val="0"/>
        </c:dLbls>
        <c:marker val="1"/>
        <c:smooth val="0"/>
        <c:axId val="1098681503"/>
        <c:axId val="139093231"/>
      </c:lineChart>
      <c:catAx>
        <c:axId val="109868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93231"/>
        <c:crosses val="autoZero"/>
        <c:auto val="1"/>
        <c:lblAlgn val="ctr"/>
        <c:lblOffset val="100"/>
        <c:noMultiLvlLbl val="0"/>
      </c:catAx>
      <c:valAx>
        <c:axId val="13909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68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'PIVOT TABLE'!$B$38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15F-4866-801F-BBDE0F9D17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15F-4866-801F-BBDE0F9D174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15F-4866-801F-BBDE0F9D174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C15F-4866-801F-BBDE0F9D174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C15F-4866-801F-BBDE0F9D174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C15F-4866-801F-BBDE0F9D174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C15F-4866-801F-BBDE0F9D174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C15F-4866-801F-BBDE0F9D174C}"/>
              </c:ext>
            </c:extLst>
          </c:dPt>
          <c:cat>
            <c:strRef>
              <c:f>'PIVOT TABLE'!$A$39:$A$47</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TABLE'!$B$39:$B$47</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FD96-4A47-9A0A-11F25AE8A1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stacked"/>
        <c:varyColors val="0"/>
        <c:ser>
          <c:idx val="0"/>
          <c:order val="0"/>
          <c:tx>
            <c:strRef>
              <c:f>'PIVOT TABLE'!$B$60</c:f>
              <c:strCache>
                <c:ptCount val="1"/>
                <c:pt idx="0">
                  <c:v>Total</c:v>
                </c:pt>
              </c:strCache>
            </c:strRef>
          </c:tx>
          <c:spPr>
            <a:solidFill>
              <a:schemeClr val="accent1"/>
            </a:solidFill>
            <a:ln>
              <a:noFill/>
            </a:ln>
            <a:effectLst/>
            <a:sp3d/>
          </c:spPr>
          <c:invertIfNegative val="0"/>
          <c:cat>
            <c:strRef>
              <c:f>'PIVOT TABLE'!$A$61:$A$76</c:f>
              <c:strCache>
                <c:ptCount val="15"/>
                <c:pt idx="0">
                  <c:v>Ahmedabad</c:v>
                </c:pt>
                <c:pt idx="1">
                  <c:v>Bengaluru</c:v>
                </c:pt>
                <c:pt idx="2">
                  <c:v>Chennai</c:v>
                </c:pt>
                <c:pt idx="3">
                  <c:v>Coimbatore</c:v>
                </c:pt>
                <c:pt idx="4">
                  <c:v>Delhi</c:v>
                </c:pt>
                <c:pt idx="5">
                  <c:v>Gurugram</c:v>
                </c:pt>
                <c:pt idx="6">
                  <c:v>Hubballi</c:v>
                </c:pt>
                <c:pt idx="7">
                  <c:v>Hyderabad</c:v>
                </c:pt>
                <c:pt idx="8">
                  <c:v>Kochi</c:v>
                </c:pt>
                <c:pt idx="9">
                  <c:v>Kolkata</c:v>
                </c:pt>
                <c:pt idx="10">
                  <c:v>Mangaluru</c:v>
                </c:pt>
                <c:pt idx="11">
                  <c:v>Mumbai</c:v>
                </c:pt>
                <c:pt idx="12">
                  <c:v>Mysuru</c:v>
                </c:pt>
                <c:pt idx="13">
                  <c:v>Noida</c:v>
                </c:pt>
                <c:pt idx="14">
                  <c:v>Pune</c:v>
                </c:pt>
              </c:strCache>
            </c:strRef>
          </c:cat>
          <c:val>
            <c:numRef>
              <c:f>'PIVOT TABLE'!$B$61:$B$76</c:f>
              <c:numCache>
                <c:formatCode>General</c:formatCode>
                <c:ptCount val="15"/>
                <c:pt idx="0">
                  <c:v>19</c:v>
                </c:pt>
                <c:pt idx="1">
                  <c:v>23</c:v>
                </c:pt>
                <c:pt idx="2">
                  <c:v>21</c:v>
                </c:pt>
                <c:pt idx="3">
                  <c:v>22</c:v>
                </c:pt>
                <c:pt idx="4">
                  <c:v>22</c:v>
                </c:pt>
                <c:pt idx="5">
                  <c:v>18</c:v>
                </c:pt>
                <c:pt idx="6">
                  <c:v>30</c:v>
                </c:pt>
                <c:pt idx="7">
                  <c:v>23</c:v>
                </c:pt>
                <c:pt idx="8">
                  <c:v>19</c:v>
                </c:pt>
                <c:pt idx="9">
                  <c:v>34</c:v>
                </c:pt>
                <c:pt idx="10">
                  <c:v>29</c:v>
                </c:pt>
                <c:pt idx="11">
                  <c:v>23</c:v>
                </c:pt>
                <c:pt idx="12">
                  <c:v>29</c:v>
                </c:pt>
                <c:pt idx="13">
                  <c:v>28</c:v>
                </c:pt>
                <c:pt idx="14">
                  <c:v>17</c:v>
                </c:pt>
              </c:numCache>
            </c:numRef>
          </c:val>
          <c:extLst>
            <c:ext xmlns:c16="http://schemas.microsoft.com/office/drawing/2014/chart" uri="{C3380CC4-5D6E-409C-BE32-E72D297353CC}">
              <c16:uniqueId val="{00000000-6B51-48C9-90F2-A40B1BB81270}"/>
            </c:ext>
          </c:extLst>
        </c:ser>
        <c:dLbls>
          <c:showLegendKey val="0"/>
          <c:showVal val="0"/>
          <c:showCatName val="0"/>
          <c:showSerName val="0"/>
          <c:showPercent val="0"/>
          <c:showBubbleSize val="0"/>
        </c:dLbls>
        <c:gapWidth val="150"/>
        <c:shape val="box"/>
        <c:axId val="1633884351"/>
        <c:axId val="1313608879"/>
        <c:axId val="0"/>
      </c:bar3DChart>
      <c:catAx>
        <c:axId val="1633884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08879"/>
        <c:crosses val="autoZero"/>
        <c:auto val="1"/>
        <c:lblAlgn val="ctr"/>
        <c:lblOffset val="100"/>
        <c:noMultiLvlLbl val="0"/>
      </c:catAx>
      <c:valAx>
        <c:axId val="1313608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88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TABLE'!$B$83:$B$84</c:f>
              <c:strCache>
                <c:ptCount val="1"/>
                <c:pt idx="0">
                  <c:v>Female</c:v>
                </c:pt>
              </c:strCache>
            </c:strRef>
          </c:tx>
          <c:spPr>
            <a:solidFill>
              <a:schemeClr val="accent1"/>
            </a:solidFill>
            <a:ln>
              <a:noFill/>
            </a:ln>
            <a:effectLst/>
          </c:spPr>
          <c:invertIfNegative val="0"/>
          <c:cat>
            <c:strRef>
              <c:f>'PIVOT TABLE'!$A$85:$A$93</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TABLE'!$B$85:$B$93</c:f>
              <c:numCache>
                <c:formatCode>General</c:formatCode>
                <c:ptCount val="8"/>
                <c:pt idx="0">
                  <c:v>30</c:v>
                </c:pt>
                <c:pt idx="1">
                  <c:v>52</c:v>
                </c:pt>
                <c:pt idx="2">
                  <c:v>33</c:v>
                </c:pt>
                <c:pt idx="3">
                  <c:v>34</c:v>
                </c:pt>
                <c:pt idx="4">
                  <c:v>77</c:v>
                </c:pt>
                <c:pt idx="5">
                  <c:v>32</c:v>
                </c:pt>
                <c:pt idx="6">
                  <c:v>55</c:v>
                </c:pt>
                <c:pt idx="7">
                  <c:v>44</c:v>
                </c:pt>
              </c:numCache>
            </c:numRef>
          </c:val>
          <c:extLst>
            <c:ext xmlns:c16="http://schemas.microsoft.com/office/drawing/2014/chart" uri="{C3380CC4-5D6E-409C-BE32-E72D297353CC}">
              <c16:uniqueId val="{00000000-1EC9-458F-B68A-30E6ECBC3D82}"/>
            </c:ext>
          </c:extLst>
        </c:ser>
        <c:ser>
          <c:idx val="1"/>
          <c:order val="1"/>
          <c:tx>
            <c:strRef>
              <c:f>'PIVOT TABLE'!$C$83:$C$84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TABLE'!$A$85:$A$93</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TABLE'!$C$85:$C$93</c:f>
              <c:numCache>
                <c:formatCode>General</c:formatCode>
                <c:ptCount val="8"/>
                <c:pt idx="0">
                  <c:v>47</c:v>
                </c:pt>
                <c:pt idx="1">
                  <c:v>54</c:v>
                </c:pt>
                <c:pt idx="2">
                  <c:v>48</c:v>
                </c:pt>
                <c:pt idx="3">
                  <c:v>36</c:v>
                </c:pt>
                <c:pt idx="4">
                  <c:v>90</c:v>
                </c:pt>
                <c:pt idx="5">
                  <c:v>41</c:v>
                </c:pt>
                <c:pt idx="6">
                  <c:v>81</c:v>
                </c:pt>
                <c:pt idx="7">
                  <c:v>46</c:v>
                </c:pt>
              </c:numCache>
            </c:numRef>
          </c:val>
          <c:extLst>
            <c:ext xmlns:c16="http://schemas.microsoft.com/office/drawing/2014/chart" uri="{C3380CC4-5D6E-409C-BE32-E72D297353CC}">
              <c16:uniqueId val="{00000002-1EC9-458F-B68A-30E6ECBC3D82}"/>
            </c:ext>
          </c:extLst>
        </c:ser>
        <c:dLbls>
          <c:showLegendKey val="0"/>
          <c:showVal val="0"/>
          <c:showCatName val="0"/>
          <c:showSerName val="0"/>
          <c:showPercent val="0"/>
          <c:showBubbleSize val="0"/>
        </c:dLbls>
        <c:gapWidth val="219"/>
        <c:axId val="27541456"/>
        <c:axId val="1634606095"/>
      </c:barChart>
      <c:catAx>
        <c:axId val="2754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606095"/>
        <c:crosses val="autoZero"/>
        <c:auto val="1"/>
        <c:lblAlgn val="ctr"/>
        <c:lblOffset val="100"/>
        <c:noMultiLvlLbl val="0"/>
      </c:catAx>
      <c:valAx>
        <c:axId val="163460609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754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TABLE'!$B$95</c:f>
              <c:strCache>
                <c:ptCount val="1"/>
                <c:pt idx="0">
                  <c:v>Total</c:v>
                </c:pt>
              </c:strCache>
            </c:strRef>
          </c:tx>
          <c:spPr>
            <a:ln w="28575" cap="rnd">
              <a:solidFill>
                <a:schemeClr val="accent1"/>
              </a:solidFill>
              <a:round/>
            </a:ln>
            <a:effectLst/>
          </c:spPr>
          <c:marker>
            <c:symbol val="none"/>
          </c:marker>
          <c:cat>
            <c:strRef>
              <c:f>'PIVOT TABLE'!$A$96:$A$111</c:f>
              <c:strCache>
                <c:ptCount val="15"/>
                <c:pt idx="0">
                  <c:v>Ahmedabad</c:v>
                </c:pt>
                <c:pt idx="1">
                  <c:v>Bengaluru</c:v>
                </c:pt>
                <c:pt idx="2">
                  <c:v>Chennai</c:v>
                </c:pt>
                <c:pt idx="3">
                  <c:v>Coimbatore</c:v>
                </c:pt>
                <c:pt idx="4">
                  <c:v>Delhi</c:v>
                </c:pt>
                <c:pt idx="5">
                  <c:v>Gurugram</c:v>
                </c:pt>
                <c:pt idx="6">
                  <c:v>Hubballi</c:v>
                </c:pt>
                <c:pt idx="7">
                  <c:v>Hyderabad</c:v>
                </c:pt>
                <c:pt idx="8">
                  <c:v>Kochi</c:v>
                </c:pt>
                <c:pt idx="9">
                  <c:v>Kolkata</c:v>
                </c:pt>
                <c:pt idx="10">
                  <c:v>Mangaluru</c:v>
                </c:pt>
                <c:pt idx="11">
                  <c:v>Mumbai</c:v>
                </c:pt>
                <c:pt idx="12">
                  <c:v>Mysuru</c:v>
                </c:pt>
                <c:pt idx="13">
                  <c:v>Noida</c:v>
                </c:pt>
                <c:pt idx="14">
                  <c:v>Pune</c:v>
                </c:pt>
              </c:strCache>
            </c:strRef>
          </c:cat>
          <c:val>
            <c:numRef>
              <c:f>'PIVOT TABLE'!$B$96:$B$111</c:f>
              <c:numCache>
                <c:formatCode>General</c:formatCode>
                <c:ptCount val="15"/>
                <c:pt idx="0">
                  <c:v>48</c:v>
                </c:pt>
                <c:pt idx="1">
                  <c:v>52</c:v>
                </c:pt>
                <c:pt idx="2">
                  <c:v>52</c:v>
                </c:pt>
                <c:pt idx="3">
                  <c:v>57</c:v>
                </c:pt>
                <c:pt idx="4">
                  <c:v>56</c:v>
                </c:pt>
                <c:pt idx="5">
                  <c:v>44</c:v>
                </c:pt>
                <c:pt idx="6">
                  <c:v>53</c:v>
                </c:pt>
                <c:pt idx="7">
                  <c:v>46</c:v>
                </c:pt>
                <c:pt idx="8">
                  <c:v>49</c:v>
                </c:pt>
                <c:pt idx="9">
                  <c:v>71</c:v>
                </c:pt>
                <c:pt idx="10">
                  <c:v>64</c:v>
                </c:pt>
                <c:pt idx="11">
                  <c:v>62</c:v>
                </c:pt>
                <c:pt idx="12">
                  <c:v>56</c:v>
                </c:pt>
                <c:pt idx="13">
                  <c:v>56</c:v>
                </c:pt>
                <c:pt idx="14">
                  <c:v>34</c:v>
                </c:pt>
              </c:numCache>
            </c:numRef>
          </c:val>
          <c:smooth val="0"/>
          <c:extLst>
            <c:ext xmlns:c16="http://schemas.microsoft.com/office/drawing/2014/chart" uri="{C3380CC4-5D6E-409C-BE32-E72D297353CC}">
              <c16:uniqueId val="{00000000-6646-4106-91BF-2D2727D93A93}"/>
            </c:ext>
          </c:extLst>
        </c:ser>
        <c:dLbls>
          <c:showLegendKey val="0"/>
          <c:showVal val="0"/>
          <c:showCatName val="0"/>
          <c:showSerName val="0"/>
          <c:showPercent val="0"/>
          <c:showBubbleSize val="0"/>
        </c:dLbls>
        <c:smooth val="0"/>
        <c:axId val="27671840"/>
        <c:axId val="1634571055"/>
      </c:lineChart>
      <c:catAx>
        <c:axId val="2767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71055"/>
        <c:crosses val="autoZero"/>
        <c:auto val="1"/>
        <c:lblAlgn val="ctr"/>
        <c:lblOffset val="100"/>
        <c:noMultiLvlLbl val="0"/>
      </c:catAx>
      <c:valAx>
        <c:axId val="163457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7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TABLE'!$B$117</c:f>
              <c:strCache>
                <c:ptCount val="1"/>
                <c:pt idx="0">
                  <c:v>Total</c:v>
                </c:pt>
              </c:strCache>
            </c:strRef>
          </c:tx>
          <c:spPr>
            <a:solidFill>
              <a:schemeClr val="accent1"/>
            </a:solidFill>
            <a:ln>
              <a:noFill/>
            </a:ln>
            <a:effectLst/>
          </c:spPr>
          <c:invertIfNegative val="0"/>
          <c:cat>
            <c:strRef>
              <c:f>'PIVOT TABLE'!$A$118:$A$126</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TABLE'!$B$118:$B$126</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B2D0-49B6-9EEA-ED7D5ACC8530}"/>
            </c:ext>
          </c:extLst>
        </c:ser>
        <c:dLbls>
          <c:showLegendKey val="0"/>
          <c:showVal val="0"/>
          <c:showCatName val="0"/>
          <c:showSerName val="0"/>
          <c:showPercent val="0"/>
          <c:showBubbleSize val="0"/>
        </c:dLbls>
        <c:gapWidth val="182"/>
        <c:axId val="361156592"/>
        <c:axId val="1634617615"/>
      </c:barChart>
      <c:catAx>
        <c:axId val="36115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617615"/>
        <c:crosses val="autoZero"/>
        <c:auto val="1"/>
        <c:lblAlgn val="ctr"/>
        <c:lblOffset val="100"/>
        <c:noMultiLvlLbl val="0"/>
      </c:catAx>
      <c:valAx>
        <c:axId val="1634617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5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TABLE'!$B$131</c:f>
              <c:strCache>
                <c:ptCount val="1"/>
                <c:pt idx="0">
                  <c:v>Total</c:v>
                </c:pt>
              </c:strCache>
            </c:strRef>
          </c:tx>
          <c:spPr>
            <a:solidFill>
              <a:schemeClr val="accent1"/>
            </a:solidFill>
            <a:ln>
              <a:noFill/>
            </a:ln>
            <a:effectLst/>
          </c:spPr>
          <c:invertIfNegative val="0"/>
          <c:cat>
            <c:strRef>
              <c:f>'PIVOT TABLE'!$A$132:$A$140</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TABLE'!$B$132:$B$140</c:f>
              <c:numCache>
                <c:formatCode>General</c:formatCode>
                <c:ptCount val="8"/>
                <c:pt idx="0">
                  <c:v>45103.896103896106</c:v>
                </c:pt>
                <c:pt idx="1">
                  <c:v>75052.830188679247</c:v>
                </c:pt>
                <c:pt idx="2">
                  <c:v>60823.456790123455</c:v>
                </c:pt>
                <c:pt idx="3">
                  <c:v>52557.142857142855</c:v>
                </c:pt>
                <c:pt idx="4">
                  <c:v>84931.736526946101</c:v>
                </c:pt>
                <c:pt idx="5">
                  <c:v>66110.95890410959</c:v>
                </c:pt>
                <c:pt idx="6">
                  <c:v>56519.852941176468</c:v>
                </c:pt>
                <c:pt idx="7">
                  <c:v>61303.333333333336</c:v>
                </c:pt>
              </c:numCache>
            </c:numRef>
          </c:val>
          <c:extLst>
            <c:ext xmlns:c16="http://schemas.microsoft.com/office/drawing/2014/chart" uri="{C3380CC4-5D6E-409C-BE32-E72D297353CC}">
              <c16:uniqueId val="{00000000-2A6D-47A5-B529-F0078DF785ED}"/>
            </c:ext>
          </c:extLst>
        </c:ser>
        <c:dLbls>
          <c:showLegendKey val="0"/>
          <c:showVal val="0"/>
          <c:showCatName val="0"/>
          <c:showSerName val="0"/>
          <c:showPercent val="0"/>
          <c:showBubbleSize val="0"/>
        </c:dLbls>
        <c:gapWidth val="219"/>
        <c:overlap val="-27"/>
        <c:axId val="697765264"/>
        <c:axId val="1634566735"/>
      </c:barChart>
      <c:catAx>
        <c:axId val="69776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66735"/>
        <c:crosses val="autoZero"/>
        <c:auto val="1"/>
        <c:lblAlgn val="ctr"/>
        <c:lblOffset val="100"/>
        <c:noMultiLvlLbl val="0"/>
      </c:catAx>
      <c:valAx>
        <c:axId val="163456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6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TABLE!PivotTable15</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TABLE'!$B$149</c:f>
              <c:strCache>
                <c:ptCount val="1"/>
                <c:pt idx="0">
                  <c:v>Total</c:v>
                </c:pt>
              </c:strCache>
            </c:strRef>
          </c:tx>
          <c:spPr>
            <a:solidFill>
              <a:schemeClr val="accent1"/>
            </a:solidFill>
            <a:ln>
              <a:noFill/>
            </a:ln>
            <a:effectLst/>
            <a:sp3d/>
          </c:spPr>
          <c:invertIfNegative val="0"/>
          <c:cat>
            <c:multiLvlStrRef>
              <c:f>'PIVOT TABLE'!$A$150:$A$222</c:f>
              <c:multiLvlStrCache>
                <c:ptCount val="64"/>
                <c:lvl>
                  <c:pt idx="0">
                    <c:v>Customer Support</c:v>
                  </c:pt>
                  <c:pt idx="1">
                    <c:v>Data Analytics</c:v>
                  </c:pt>
                  <c:pt idx="2">
                    <c:v>Finance</c:v>
                  </c:pt>
                  <c:pt idx="3">
                    <c:v>HR</c:v>
                  </c:pt>
                  <c:pt idx="4">
                    <c:v>IT</c:v>
                  </c:pt>
                  <c:pt idx="5">
                    <c:v>Marketing</c:v>
                  </c:pt>
                  <c:pt idx="6">
                    <c:v>Operations</c:v>
                  </c:pt>
                  <c:pt idx="7">
                    <c:v>Sales</c:v>
                  </c:pt>
                  <c:pt idx="8">
                    <c:v>Customer Support</c:v>
                  </c:pt>
                  <c:pt idx="9">
                    <c:v>Data Analytics</c:v>
                  </c:pt>
                  <c:pt idx="10">
                    <c:v>Finance</c:v>
                  </c:pt>
                  <c:pt idx="11">
                    <c:v>HR</c:v>
                  </c:pt>
                  <c:pt idx="12">
                    <c:v>IT</c:v>
                  </c:pt>
                  <c:pt idx="13">
                    <c:v>Marketing</c:v>
                  </c:pt>
                  <c:pt idx="14">
                    <c:v>Operations</c:v>
                  </c:pt>
                  <c:pt idx="15">
                    <c:v>Sales</c:v>
                  </c:pt>
                  <c:pt idx="16">
                    <c:v>Customer Support</c:v>
                  </c:pt>
                  <c:pt idx="17">
                    <c:v>Data Analytics</c:v>
                  </c:pt>
                  <c:pt idx="18">
                    <c:v>Finance</c:v>
                  </c:pt>
                  <c:pt idx="19">
                    <c:v>HR</c:v>
                  </c:pt>
                  <c:pt idx="20">
                    <c:v>IT</c:v>
                  </c:pt>
                  <c:pt idx="21">
                    <c:v>Marketing</c:v>
                  </c:pt>
                  <c:pt idx="22">
                    <c:v>Operations</c:v>
                  </c:pt>
                  <c:pt idx="23">
                    <c:v>Sales</c:v>
                  </c:pt>
                  <c:pt idx="24">
                    <c:v>Customer Support</c:v>
                  </c:pt>
                  <c:pt idx="25">
                    <c:v>Data Analytics</c:v>
                  </c:pt>
                  <c:pt idx="26">
                    <c:v>Finance</c:v>
                  </c:pt>
                  <c:pt idx="27">
                    <c:v>HR</c:v>
                  </c:pt>
                  <c:pt idx="28">
                    <c:v>IT</c:v>
                  </c:pt>
                  <c:pt idx="29">
                    <c:v>Marketing</c:v>
                  </c:pt>
                  <c:pt idx="30">
                    <c:v>Operations</c:v>
                  </c:pt>
                  <c:pt idx="31">
                    <c:v>Sales</c:v>
                  </c:pt>
                  <c:pt idx="32">
                    <c:v>Customer Support</c:v>
                  </c:pt>
                  <c:pt idx="33">
                    <c:v>Data Analytics</c:v>
                  </c:pt>
                  <c:pt idx="34">
                    <c:v>Finance</c:v>
                  </c:pt>
                  <c:pt idx="35">
                    <c:v>HR</c:v>
                  </c:pt>
                  <c:pt idx="36">
                    <c:v>IT</c:v>
                  </c:pt>
                  <c:pt idx="37">
                    <c:v>Marketing</c:v>
                  </c:pt>
                  <c:pt idx="38">
                    <c:v>Operations</c:v>
                  </c:pt>
                  <c:pt idx="39">
                    <c:v>Sales</c:v>
                  </c:pt>
                  <c:pt idx="40">
                    <c:v>Customer Support</c:v>
                  </c:pt>
                  <c:pt idx="41">
                    <c:v>Data Analytics</c:v>
                  </c:pt>
                  <c:pt idx="42">
                    <c:v>Finance</c:v>
                  </c:pt>
                  <c:pt idx="43">
                    <c:v>HR</c:v>
                  </c:pt>
                  <c:pt idx="44">
                    <c:v>IT</c:v>
                  </c:pt>
                  <c:pt idx="45">
                    <c:v>Marketing</c:v>
                  </c:pt>
                  <c:pt idx="46">
                    <c:v>Operations</c:v>
                  </c:pt>
                  <c:pt idx="47">
                    <c:v>Sales</c:v>
                  </c:pt>
                  <c:pt idx="48">
                    <c:v>Customer Support</c:v>
                  </c:pt>
                  <c:pt idx="49">
                    <c:v>Data Analytics</c:v>
                  </c:pt>
                  <c:pt idx="50">
                    <c:v>Finance</c:v>
                  </c:pt>
                  <c:pt idx="51">
                    <c:v>HR</c:v>
                  </c:pt>
                  <c:pt idx="52">
                    <c:v>IT</c:v>
                  </c:pt>
                  <c:pt idx="53">
                    <c:v>Marketing</c:v>
                  </c:pt>
                  <c:pt idx="54">
                    <c:v>Operations</c:v>
                  </c:pt>
                  <c:pt idx="55">
                    <c:v>Sales</c:v>
                  </c:pt>
                  <c:pt idx="56">
                    <c:v>Customer Support</c:v>
                  </c:pt>
                  <c:pt idx="57">
                    <c:v>Data Analytics</c:v>
                  </c:pt>
                  <c:pt idx="58">
                    <c:v>Finance</c:v>
                  </c:pt>
                  <c:pt idx="59">
                    <c:v>HR</c:v>
                  </c:pt>
                  <c:pt idx="60">
                    <c:v>IT</c:v>
                  </c:pt>
                  <c:pt idx="61">
                    <c:v>Marketing</c:v>
                  </c:pt>
                  <c:pt idx="62">
                    <c:v>Operations</c:v>
                  </c:pt>
                  <c:pt idx="63">
                    <c:v>Sales</c:v>
                  </c:pt>
                </c:lvl>
                <c:lvl>
                  <c:pt idx="0">
                    <c:v>BBA</c:v>
                  </c:pt>
                  <c:pt idx="8">
                    <c:v>BCA</c:v>
                  </c:pt>
                  <c:pt idx="16">
                    <c:v>BCom</c:v>
                  </c:pt>
                  <c:pt idx="24">
                    <c:v>BE/BTech</c:v>
                  </c:pt>
                  <c:pt idx="32">
                    <c:v>BSc</c:v>
                  </c:pt>
                  <c:pt idx="40">
                    <c:v>MBA</c:v>
                  </c:pt>
                  <c:pt idx="48">
                    <c:v>MCA</c:v>
                  </c:pt>
                  <c:pt idx="56">
                    <c:v>MSc</c:v>
                  </c:pt>
                </c:lvl>
              </c:multiLvlStrCache>
            </c:multiLvlStrRef>
          </c:cat>
          <c:val>
            <c:numRef>
              <c:f>'PIVOT TABLE'!$B$150:$B$222</c:f>
              <c:numCache>
                <c:formatCode>General</c:formatCode>
                <c:ptCount val="64"/>
                <c:pt idx="0">
                  <c:v>8</c:v>
                </c:pt>
                <c:pt idx="1">
                  <c:v>11</c:v>
                </c:pt>
                <c:pt idx="2">
                  <c:v>8</c:v>
                </c:pt>
                <c:pt idx="3">
                  <c:v>7</c:v>
                </c:pt>
                <c:pt idx="4">
                  <c:v>17</c:v>
                </c:pt>
                <c:pt idx="5">
                  <c:v>11</c:v>
                </c:pt>
                <c:pt idx="6">
                  <c:v>21</c:v>
                </c:pt>
                <c:pt idx="7">
                  <c:v>13</c:v>
                </c:pt>
                <c:pt idx="8">
                  <c:v>8</c:v>
                </c:pt>
                <c:pt idx="9">
                  <c:v>21</c:v>
                </c:pt>
                <c:pt idx="10">
                  <c:v>9</c:v>
                </c:pt>
                <c:pt idx="11">
                  <c:v>8</c:v>
                </c:pt>
                <c:pt idx="12">
                  <c:v>24</c:v>
                </c:pt>
                <c:pt idx="13">
                  <c:v>6</c:v>
                </c:pt>
                <c:pt idx="14">
                  <c:v>13</c:v>
                </c:pt>
                <c:pt idx="15">
                  <c:v>11</c:v>
                </c:pt>
                <c:pt idx="16">
                  <c:v>13</c:v>
                </c:pt>
                <c:pt idx="17">
                  <c:v>16</c:v>
                </c:pt>
                <c:pt idx="18">
                  <c:v>13</c:v>
                </c:pt>
                <c:pt idx="19">
                  <c:v>13</c:v>
                </c:pt>
                <c:pt idx="20">
                  <c:v>21</c:v>
                </c:pt>
                <c:pt idx="21">
                  <c:v>5</c:v>
                </c:pt>
                <c:pt idx="22">
                  <c:v>19</c:v>
                </c:pt>
                <c:pt idx="23">
                  <c:v>10</c:v>
                </c:pt>
                <c:pt idx="24">
                  <c:v>8</c:v>
                </c:pt>
                <c:pt idx="25">
                  <c:v>13</c:v>
                </c:pt>
                <c:pt idx="26">
                  <c:v>8</c:v>
                </c:pt>
                <c:pt idx="27">
                  <c:v>11</c:v>
                </c:pt>
                <c:pt idx="28">
                  <c:v>24</c:v>
                </c:pt>
                <c:pt idx="29">
                  <c:v>11</c:v>
                </c:pt>
                <c:pt idx="30">
                  <c:v>17</c:v>
                </c:pt>
                <c:pt idx="31">
                  <c:v>8</c:v>
                </c:pt>
                <c:pt idx="32">
                  <c:v>15</c:v>
                </c:pt>
                <c:pt idx="33">
                  <c:v>8</c:v>
                </c:pt>
                <c:pt idx="34">
                  <c:v>13</c:v>
                </c:pt>
                <c:pt idx="35">
                  <c:v>8</c:v>
                </c:pt>
                <c:pt idx="36">
                  <c:v>25</c:v>
                </c:pt>
                <c:pt idx="37">
                  <c:v>9</c:v>
                </c:pt>
                <c:pt idx="38">
                  <c:v>14</c:v>
                </c:pt>
                <c:pt idx="39">
                  <c:v>18</c:v>
                </c:pt>
                <c:pt idx="40">
                  <c:v>6</c:v>
                </c:pt>
                <c:pt idx="41">
                  <c:v>10</c:v>
                </c:pt>
                <c:pt idx="42">
                  <c:v>12</c:v>
                </c:pt>
                <c:pt idx="43">
                  <c:v>9</c:v>
                </c:pt>
                <c:pt idx="44">
                  <c:v>23</c:v>
                </c:pt>
                <c:pt idx="45">
                  <c:v>9</c:v>
                </c:pt>
                <c:pt idx="46">
                  <c:v>21</c:v>
                </c:pt>
                <c:pt idx="47">
                  <c:v>9</c:v>
                </c:pt>
                <c:pt idx="48">
                  <c:v>12</c:v>
                </c:pt>
                <c:pt idx="49">
                  <c:v>13</c:v>
                </c:pt>
                <c:pt idx="50">
                  <c:v>9</c:v>
                </c:pt>
                <c:pt idx="51">
                  <c:v>6</c:v>
                </c:pt>
                <c:pt idx="52">
                  <c:v>19</c:v>
                </c:pt>
                <c:pt idx="53">
                  <c:v>13</c:v>
                </c:pt>
                <c:pt idx="54">
                  <c:v>17</c:v>
                </c:pt>
                <c:pt idx="55">
                  <c:v>12</c:v>
                </c:pt>
                <c:pt idx="56">
                  <c:v>7</c:v>
                </c:pt>
                <c:pt idx="57">
                  <c:v>14</c:v>
                </c:pt>
                <c:pt idx="58">
                  <c:v>9</c:v>
                </c:pt>
                <c:pt idx="59">
                  <c:v>8</c:v>
                </c:pt>
                <c:pt idx="60">
                  <c:v>14</c:v>
                </c:pt>
                <c:pt idx="61">
                  <c:v>9</c:v>
                </c:pt>
                <c:pt idx="62">
                  <c:v>14</c:v>
                </c:pt>
                <c:pt idx="63">
                  <c:v>9</c:v>
                </c:pt>
              </c:numCache>
            </c:numRef>
          </c:val>
          <c:extLst>
            <c:ext xmlns:c16="http://schemas.microsoft.com/office/drawing/2014/chart" uri="{C3380CC4-5D6E-409C-BE32-E72D297353CC}">
              <c16:uniqueId val="{00000000-BEE9-4EFD-AC81-F86034112E38}"/>
            </c:ext>
          </c:extLst>
        </c:ser>
        <c:dLbls>
          <c:showLegendKey val="0"/>
          <c:showVal val="0"/>
          <c:showCatName val="0"/>
          <c:showSerName val="0"/>
          <c:showPercent val="0"/>
          <c:showBubbleSize val="0"/>
        </c:dLbls>
        <c:gapWidth val="182"/>
        <c:shape val="box"/>
        <c:axId val="735835456"/>
        <c:axId val="671788048"/>
        <c:axId val="0"/>
      </c:bar3DChart>
      <c:catAx>
        <c:axId val="73583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788048"/>
        <c:crosses val="autoZero"/>
        <c:auto val="1"/>
        <c:lblAlgn val="ctr"/>
        <c:lblOffset val="100"/>
        <c:noMultiLvlLbl val="0"/>
      </c:catAx>
      <c:valAx>
        <c:axId val="67178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83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TABLE'!$B$224</c:f>
              <c:strCache>
                <c:ptCount val="1"/>
                <c:pt idx="0">
                  <c:v>Total</c:v>
                </c:pt>
              </c:strCache>
            </c:strRef>
          </c:tx>
          <c:spPr>
            <a:solidFill>
              <a:schemeClr val="accent1"/>
            </a:solidFill>
            <a:ln>
              <a:noFill/>
            </a:ln>
            <a:effectLst/>
          </c:spPr>
          <c:invertIfNegative val="0"/>
          <c:cat>
            <c:strRef>
              <c:f>'PIVOT TABLE'!$A$225:$A$233</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TABLE'!$B$225:$B$233</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3003-49B6-B10B-82B5C7BFCBA2}"/>
            </c:ext>
          </c:extLst>
        </c:ser>
        <c:dLbls>
          <c:showLegendKey val="0"/>
          <c:showVal val="0"/>
          <c:showCatName val="0"/>
          <c:showSerName val="0"/>
          <c:showPercent val="0"/>
          <c:showBubbleSize val="0"/>
        </c:dLbls>
        <c:gapWidth val="150"/>
        <c:overlap val="100"/>
        <c:axId val="570683040"/>
        <c:axId val="236891024"/>
      </c:barChart>
      <c:catAx>
        <c:axId val="57068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891024"/>
        <c:crosses val="autoZero"/>
        <c:auto val="1"/>
        <c:lblAlgn val="ctr"/>
        <c:lblOffset val="100"/>
        <c:noMultiLvlLbl val="0"/>
      </c:catAx>
      <c:valAx>
        <c:axId val="23689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68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 TABLE'!$B$239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62-436C-A1B9-E5865C4516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62-436C-A1B9-E5865C4516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62-436C-A1B9-E5865C4516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62-436C-A1B9-E5865C4516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62-436C-A1B9-E5865C45162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B62-436C-A1B9-E5865C45162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B62-436C-A1B9-E5865C4516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TABLE'!$A$240:$A$247</c:f>
              <c:strCache>
                <c:ptCount val="7"/>
                <c:pt idx="0">
                  <c:v>Campus Hiring</c:v>
                </c:pt>
                <c:pt idx="1">
                  <c:v>Company Website</c:v>
                </c:pt>
                <c:pt idx="2">
                  <c:v>Consultancy</c:v>
                </c:pt>
                <c:pt idx="3">
                  <c:v>Employee Referral</c:v>
                </c:pt>
                <c:pt idx="4">
                  <c:v>Indeed</c:v>
                </c:pt>
                <c:pt idx="5">
                  <c:v>LinkedIn</c:v>
                </c:pt>
                <c:pt idx="6">
                  <c:v>Naukri</c:v>
                </c:pt>
              </c:strCache>
            </c:strRef>
          </c:cat>
          <c:val>
            <c:numRef>
              <c:f>'PIVOT TABLE'!$B$240:$B$247</c:f>
              <c:numCache>
                <c:formatCode>General</c:formatCode>
                <c:ptCount val="7"/>
                <c:pt idx="0">
                  <c:v>119</c:v>
                </c:pt>
                <c:pt idx="1">
                  <c:v>130</c:v>
                </c:pt>
                <c:pt idx="2">
                  <c:v>125</c:v>
                </c:pt>
                <c:pt idx="3">
                  <c:v>107</c:v>
                </c:pt>
                <c:pt idx="4">
                  <c:v>112</c:v>
                </c:pt>
                <c:pt idx="5">
                  <c:v>111</c:v>
                </c:pt>
                <c:pt idx="6">
                  <c:v>96</c:v>
                </c:pt>
              </c:numCache>
            </c:numRef>
          </c:val>
          <c:extLst>
            <c:ext xmlns:c16="http://schemas.microsoft.com/office/drawing/2014/chart" uri="{C3380CC4-5D6E-409C-BE32-E72D297353CC}">
              <c16:uniqueId val="{00000000-973E-4D6C-A388-688B5DD068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a:t>
            </a:r>
            <a:r>
              <a:rPr lang="en-US" baseline="0"/>
              <a:t> TREND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TABLE'!$B$262</c:f>
              <c:strCache>
                <c:ptCount val="1"/>
                <c:pt idx="0">
                  <c:v>Total</c:v>
                </c:pt>
              </c:strCache>
            </c:strRef>
          </c:tx>
          <c:spPr>
            <a:ln w="28575" cap="rnd">
              <a:solidFill>
                <a:schemeClr val="accent1"/>
              </a:solidFill>
              <a:round/>
            </a:ln>
            <a:effectLst/>
          </c:spPr>
          <c:marker>
            <c:symbol val="none"/>
          </c:marker>
          <c:cat>
            <c:strRef>
              <c:f>'PIVOT TABLE'!$A$263:$A$275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TABLE'!$B$263:$B$275</c:f>
              <c:numCache>
                <c:formatCode>General</c:formatCode>
                <c:ptCount val="12"/>
                <c:pt idx="0">
                  <c:v>77</c:v>
                </c:pt>
                <c:pt idx="1">
                  <c:v>59</c:v>
                </c:pt>
                <c:pt idx="2">
                  <c:v>82</c:v>
                </c:pt>
                <c:pt idx="3">
                  <c:v>67</c:v>
                </c:pt>
                <c:pt idx="4">
                  <c:v>68</c:v>
                </c:pt>
                <c:pt idx="5">
                  <c:v>57</c:v>
                </c:pt>
                <c:pt idx="6">
                  <c:v>76</c:v>
                </c:pt>
                <c:pt idx="7">
                  <c:v>67</c:v>
                </c:pt>
                <c:pt idx="8">
                  <c:v>69</c:v>
                </c:pt>
                <c:pt idx="9">
                  <c:v>58</c:v>
                </c:pt>
                <c:pt idx="10">
                  <c:v>56</c:v>
                </c:pt>
                <c:pt idx="11">
                  <c:v>64</c:v>
                </c:pt>
              </c:numCache>
            </c:numRef>
          </c:val>
          <c:smooth val="0"/>
          <c:extLst>
            <c:ext xmlns:c16="http://schemas.microsoft.com/office/drawing/2014/chart" uri="{C3380CC4-5D6E-409C-BE32-E72D297353CC}">
              <c16:uniqueId val="{00000000-9A66-4241-9FF9-912EFD8372E9}"/>
            </c:ext>
          </c:extLst>
        </c:ser>
        <c:dLbls>
          <c:showLegendKey val="0"/>
          <c:showVal val="0"/>
          <c:showCatName val="0"/>
          <c:showSerName val="0"/>
          <c:showPercent val="0"/>
          <c:showBubbleSize val="0"/>
        </c:dLbls>
        <c:smooth val="0"/>
        <c:axId val="735744512"/>
        <c:axId val="8303376"/>
      </c:lineChart>
      <c:catAx>
        <c:axId val="73574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3376"/>
        <c:crosses val="autoZero"/>
        <c:auto val="1"/>
        <c:lblAlgn val="ctr"/>
        <c:lblOffset val="100"/>
        <c:noMultiLvlLbl val="0"/>
      </c:catAx>
      <c:valAx>
        <c:axId val="8303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4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HIRES</a:t>
            </a:r>
            <a:r>
              <a:rPr lang="en-US" baseline="0"/>
              <a:t>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TABLE'!$B$278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TABLE'!$A$279:$A$287</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TABLE'!$B$279:$B$287</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1210-403F-9F4A-745FCE7E3072}"/>
            </c:ext>
          </c:extLst>
        </c:ser>
        <c:dLbls>
          <c:showLegendKey val="0"/>
          <c:showVal val="0"/>
          <c:showCatName val="0"/>
          <c:showSerName val="0"/>
          <c:showPercent val="0"/>
          <c:showBubbleSize val="0"/>
        </c:dLbls>
        <c:gapWidth val="150"/>
        <c:shape val="box"/>
        <c:axId val="893455600"/>
        <c:axId val="236919344"/>
        <c:axId val="0"/>
      </c:bar3DChart>
      <c:catAx>
        <c:axId val="893455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919344"/>
        <c:crosses val="autoZero"/>
        <c:auto val="1"/>
        <c:lblAlgn val="ctr"/>
        <c:lblOffset val="100"/>
        <c:noMultiLvlLbl val="0"/>
      </c:catAx>
      <c:valAx>
        <c:axId val="23691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5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TABLE'!$B$297</c:f>
              <c:strCache>
                <c:ptCount val="1"/>
                <c:pt idx="0">
                  <c:v>Total</c:v>
                </c:pt>
              </c:strCache>
            </c:strRef>
          </c:tx>
          <c:spPr>
            <a:solidFill>
              <a:schemeClr val="accent1"/>
            </a:solidFill>
            <a:ln>
              <a:noFill/>
            </a:ln>
            <a:effectLst/>
          </c:spPr>
          <c:invertIfNegative val="0"/>
          <c:cat>
            <c:strRef>
              <c:f>'PIVOT TABLE'!$A$298:$A$304</c:f>
              <c:strCache>
                <c:ptCount val="6"/>
                <c:pt idx="0">
                  <c:v>Associate</c:v>
                </c:pt>
                <c:pt idx="1">
                  <c:v>Intern</c:v>
                </c:pt>
                <c:pt idx="2">
                  <c:v>Junior</c:v>
                </c:pt>
                <c:pt idx="3">
                  <c:v>Lead</c:v>
                </c:pt>
                <c:pt idx="4">
                  <c:v>Manager</c:v>
                </c:pt>
                <c:pt idx="5">
                  <c:v>Senior</c:v>
                </c:pt>
              </c:strCache>
            </c:strRef>
          </c:cat>
          <c:val>
            <c:numRef>
              <c:f>'PIVOT TABLE'!$B$298:$B$304</c:f>
              <c:numCache>
                <c:formatCode>General</c:formatCode>
                <c:ptCount val="6"/>
                <c:pt idx="0">
                  <c:v>4492.8114035087719</c:v>
                </c:pt>
                <c:pt idx="1">
                  <c:v>1906.081081081081</c:v>
                </c:pt>
                <c:pt idx="2">
                  <c:v>3118.7045454545455</c:v>
                </c:pt>
                <c:pt idx="3">
                  <c:v>8172.69</c:v>
                </c:pt>
                <c:pt idx="4">
                  <c:v>10530.754098360656</c:v>
                </c:pt>
                <c:pt idx="5">
                  <c:v>6316.045454545455</c:v>
                </c:pt>
              </c:numCache>
            </c:numRef>
          </c:val>
          <c:extLst>
            <c:ext xmlns:c16="http://schemas.microsoft.com/office/drawing/2014/chart" uri="{C3380CC4-5D6E-409C-BE32-E72D297353CC}">
              <c16:uniqueId val="{00000000-3532-44A3-A3F1-07E11648E80B}"/>
            </c:ext>
          </c:extLst>
        </c:ser>
        <c:dLbls>
          <c:showLegendKey val="0"/>
          <c:showVal val="0"/>
          <c:showCatName val="0"/>
          <c:showSerName val="0"/>
          <c:showPercent val="0"/>
          <c:showBubbleSize val="0"/>
        </c:dLbls>
        <c:gapWidth val="182"/>
        <c:axId val="735751472"/>
        <c:axId val="1453966351"/>
      </c:barChart>
      <c:catAx>
        <c:axId val="73575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66351"/>
        <c:crosses val="autoZero"/>
        <c:auto val="1"/>
        <c:lblAlgn val="ctr"/>
        <c:lblOffset val="100"/>
        <c:noMultiLvlLbl val="0"/>
      </c:catAx>
      <c:valAx>
        <c:axId val="1453966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5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BY EMPLOYEE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TABLE'!$B$315</c:f>
              <c:strCache>
                <c:ptCount val="1"/>
                <c:pt idx="0">
                  <c:v>Total</c:v>
                </c:pt>
              </c:strCache>
            </c:strRef>
          </c:tx>
          <c:spPr>
            <a:solidFill>
              <a:schemeClr val="accent1"/>
            </a:solidFill>
            <a:ln>
              <a:noFill/>
            </a:ln>
            <a:effectLst/>
          </c:spPr>
          <c:invertIfNegative val="0"/>
          <c:cat>
            <c:strRef>
              <c:f>'PIVOT TABLE'!$A$316:$A$319</c:f>
              <c:strCache>
                <c:ptCount val="3"/>
                <c:pt idx="0">
                  <c:v>Hybrid</c:v>
                </c:pt>
                <c:pt idx="1">
                  <c:v>Onsite</c:v>
                </c:pt>
                <c:pt idx="2">
                  <c:v>Remote</c:v>
                </c:pt>
              </c:strCache>
            </c:strRef>
          </c:cat>
          <c:val>
            <c:numRef>
              <c:f>'PIVOT TABLE'!$B$316:$B$319</c:f>
              <c:numCache>
                <c:formatCode>General</c:formatCode>
                <c:ptCount val="3"/>
                <c:pt idx="0">
                  <c:v>21538100</c:v>
                </c:pt>
                <c:pt idx="1">
                  <c:v>22555000</c:v>
                </c:pt>
                <c:pt idx="2">
                  <c:v>8154900</c:v>
                </c:pt>
              </c:numCache>
            </c:numRef>
          </c:val>
          <c:extLst>
            <c:ext xmlns:c16="http://schemas.microsoft.com/office/drawing/2014/chart" uri="{C3380CC4-5D6E-409C-BE32-E72D297353CC}">
              <c16:uniqueId val="{00000002-61BA-471B-BB4B-8B80A9481794}"/>
            </c:ext>
          </c:extLst>
        </c:ser>
        <c:dLbls>
          <c:showLegendKey val="0"/>
          <c:showVal val="0"/>
          <c:showCatName val="0"/>
          <c:showSerName val="0"/>
          <c:showPercent val="0"/>
          <c:showBubbleSize val="0"/>
        </c:dLbls>
        <c:gapWidth val="219"/>
        <c:overlap val="-27"/>
        <c:axId val="893572064"/>
        <c:axId val="671819728"/>
      </c:barChart>
      <c:catAx>
        <c:axId val="89357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19728"/>
        <c:crosses val="autoZero"/>
        <c:auto val="1"/>
        <c:lblAlgn val="ctr"/>
        <c:lblOffset val="100"/>
        <c:noMultiLvlLbl val="0"/>
      </c:catAx>
      <c:valAx>
        <c:axId val="67181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57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TABLE!PivotTable26</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B42-417E-B698-382D01B7CEB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B42-417E-B698-382D01B7CEB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B42-417E-B698-382D01B7CEB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B42-417E-B698-382D01B7CEB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B42-417E-B698-382D01B7CEB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B42-417E-B698-382D01B7CEB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FB42-417E-B698-382D01B7CEB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FB42-417E-B698-382D01B7CE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TABLE'!$A$337:$A$345</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TABLE'!$B$337:$B$345</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8246-4FFF-BB28-BE7B2AC2A08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BY DEPARTMENT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TABLE'!$A$357:$A$365</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TABLE'!$B$357:$B$365</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9257-4B9D-A43B-3DE533664E78}"/>
            </c:ext>
          </c:extLst>
        </c:ser>
        <c:dLbls>
          <c:showLegendKey val="0"/>
          <c:showVal val="0"/>
          <c:showCatName val="0"/>
          <c:showSerName val="0"/>
          <c:showPercent val="0"/>
          <c:showBubbleSize val="0"/>
        </c:dLbls>
        <c:gapWidth val="182"/>
        <c:axId val="333701616"/>
        <c:axId val="671678608"/>
      </c:barChart>
      <c:catAx>
        <c:axId val="33370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78608"/>
        <c:crosses val="autoZero"/>
        <c:auto val="1"/>
        <c:lblAlgn val="ctr"/>
        <c:lblOffset val="100"/>
        <c:noMultiLvlLbl val="0"/>
      </c:catAx>
      <c:valAx>
        <c:axId val="671678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70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V/S PROJECT COMPLETED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TABLE'!$B$370</c:f>
              <c:strCache>
                <c:ptCount val="1"/>
                <c:pt idx="0">
                  <c:v>Total</c:v>
                </c:pt>
              </c:strCache>
            </c:strRef>
          </c:tx>
          <c:spPr>
            <a:solidFill>
              <a:schemeClr val="accent1"/>
            </a:solidFill>
            <a:ln>
              <a:noFill/>
            </a:ln>
            <a:effectLst/>
          </c:spPr>
          <c:invertIfNegative val="0"/>
          <c:cat>
            <c:strRef>
              <c:f>'PIVOT TABLE'!$A$371:$A$387</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 TABLE'!$B$371:$B$387</c:f>
              <c:numCache>
                <c:formatCode>General</c:formatCode>
                <c:ptCount val="16"/>
                <c:pt idx="0">
                  <c:v>43</c:v>
                </c:pt>
                <c:pt idx="1">
                  <c:v>44</c:v>
                </c:pt>
                <c:pt idx="2">
                  <c:v>42</c:v>
                </c:pt>
                <c:pt idx="3">
                  <c:v>62</c:v>
                </c:pt>
                <c:pt idx="4">
                  <c:v>63</c:v>
                </c:pt>
                <c:pt idx="5">
                  <c:v>50</c:v>
                </c:pt>
                <c:pt idx="6">
                  <c:v>40</c:v>
                </c:pt>
                <c:pt idx="7">
                  <c:v>44</c:v>
                </c:pt>
                <c:pt idx="8">
                  <c:v>51</c:v>
                </c:pt>
                <c:pt idx="9">
                  <c:v>50</c:v>
                </c:pt>
                <c:pt idx="10">
                  <c:v>52</c:v>
                </c:pt>
                <c:pt idx="11">
                  <c:v>51</c:v>
                </c:pt>
                <c:pt idx="12">
                  <c:v>52</c:v>
                </c:pt>
                <c:pt idx="13">
                  <c:v>53</c:v>
                </c:pt>
                <c:pt idx="14">
                  <c:v>54</c:v>
                </c:pt>
                <c:pt idx="15">
                  <c:v>49</c:v>
                </c:pt>
              </c:numCache>
            </c:numRef>
          </c:val>
          <c:extLst>
            <c:ext xmlns:c16="http://schemas.microsoft.com/office/drawing/2014/chart" uri="{C3380CC4-5D6E-409C-BE32-E72D297353CC}">
              <c16:uniqueId val="{00000000-45D1-49EB-B0FA-DB8331A41B50}"/>
            </c:ext>
          </c:extLst>
        </c:ser>
        <c:dLbls>
          <c:showLegendKey val="0"/>
          <c:showVal val="0"/>
          <c:showCatName val="0"/>
          <c:showSerName val="0"/>
          <c:showPercent val="0"/>
          <c:showBubbleSize val="0"/>
        </c:dLbls>
        <c:gapWidth val="150"/>
        <c:overlap val="100"/>
        <c:axId val="1088956496"/>
        <c:axId val="671630608"/>
      </c:barChart>
      <c:catAx>
        <c:axId val="108895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30608"/>
        <c:crosses val="autoZero"/>
        <c:auto val="1"/>
        <c:lblAlgn val="ctr"/>
        <c:lblOffset val="100"/>
        <c:noMultiLvlLbl val="0"/>
      </c:catAx>
      <c:valAx>
        <c:axId val="67163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95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1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'PIVOT TABLE'!$B$38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93E-4D08-98C2-C4DE3BA0623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93E-4D08-98C2-C4DE3BA0623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B93E-4D08-98C2-C4DE3BA0623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B93E-4D08-98C2-C4DE3BA0623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B93E-4D08-98C2-C4DE3BA0623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B93E-4D08-98C2-C4DE3BA0623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B93E-4D08-98C2-C4DE3BA0623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B93E-4D08-98C2-C4DE3BA06231}"/>
              </c:ext>
            </c:extLst>
          </c:dPt>
          <c:cat>
            <c:strRef>
              <c:f>'PIVOT TABLE'!$A$39:$A$47</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TABLE'!$B$39:$B$47</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FD96-4A47-9A0A-11F25AE8A1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TABLE!PivotTable6</c:name>
    <c:fmtId val="5"/>
  </c:pivotSource>
  <c:chart>
    <c:title>
      <c:tx>
        <c:rich>
          <a:bodyPr/>
          <a:lstStyle/>
          <a:p>
            <a:pPr>
              <a:defRPr/>
            </a:pPr>
            <a:r>
              <a:rPr lang="en-US" sz="1100"/>
              <a:t>Total</a:t>
            </a:r>
            <a:r>
              <a:rPr lang="en-US" sz="1100" baseline="0"/>
              <a:t> Joinings On Every Year</a:t>
            </a:r>
            <a:endParaRPr lang="en-US" sz="110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TABLE'!$B$19</c:f>
              <c:strCache>
                <c:ptCount val="1"/>
                <c:pt idx="0">
                  <c:v>Total</c:v>
                </c:pt>
              </c:strCache>
            </c:strRef>
          </c:tx>
          <c:spPr>
            <a:solidFill>
              <a:schemeClr val="accent1"/>
            </a:solidFill>
            <a:ln>
              <a:noFill/>
            </a:ln>
            <a:effectLst/>
          </c:spPr>
          <c:invertIfNegative val="0"/>
          <c:cat>
            <c:strRef>
              <c:f>'PIVOT TABLE'!$A$20:$A$29</c:f>
              <c:strCache>
                <c:ptCount val="9"/>
                <c:pt idx="0">
                  <c:v>2018</c:v>
                </c:pt>
                <c:pt idx="1">
                  <c:v>2019</c:v>
                </c:pt>
                <c:pt idx="2">
                  <c:v>2020</c:v>
                </c:pt>
                <c:pt idx="3">
                  <c:v>2021</c:v>
                </c:pt>
                <c:pt idx="4">
                  <c:v>2022</c:v>
                </c:pt>
                <c:pt idx="5">
                  <c:v>2023</c:v>
                </c:pt>
                <c:pt idx="6">
                  <c:v>2024</c:v>
                </c:pt>
                <c:pt idx="7">
                  <c:v>2025</c:v>
                </c:pt>
                <c:pt idx="8">
                  <c:v>2026</c:v>
                </c:pt>
              </c:strCache>
            </c:strRef>
          </c:cat>
          <c:val>
            <c:numRef>
              <c:f>'PIVOT TABLE'!$B$20:$B$29</c:f>
              <c:numCache>
                <c:formatCode>General</c:formatCode>
                <c:ptCount val="9"/>
                <c:pt idx="0">
                  <c:v>96</c:v>
                </c:pt>
                <c:pt idx="1">
                  <c:v>87</c:v>
                </c:pt>
                <c:pt idx="2">
                  <c:v>86</c:v>
                </c:pt>
                <c:pt idx="3">
                  <c:v>102</c:v>
                </c:pt>
                <c:pt idx="4">
                  <c:v>89</c:v>
                </c:pt>
                <c:pt idx="5">
                  <c:v>86</c:v>
                </c:pt>
                <c:pt idx="6">
                  <c:v>109</c:v>
                </c:pt>
                <c:pt idx="7">
                  <c:v>90</c:v>
                </c:pt>
                <c:pt idx="8">
                  <c:v>55</c:v>
                </c:pt>
              </c:numCache>
            </c:numRef>
          </c:val>
          <c:extLst>
            <c:ext xmlns:c16="http://schemas.microsoft.com/office/drawing/2014/chart" uri="{C3380CC4-5D6E-409C-BE32-E72D297353CC}">
              <c16:uniqueId val="{00000001-6190-4C28-B22B-584000FE952A}"/>
            </c:ext>
          </c:extLst>
        </c:ser>
        <c:dLbls>
          <c:showLegendKey val="0"/>
          <c:showVal val="0"/>
          <c:showCatName val="0"/>
          <c:showSerName val="0"/>
          <c:showPercent val="0"/>
          <c:showBubbleSize val="0"/>
        </c:dLbls>
        <c:gapWidth val="219"/>
        <c:axId val="27541456"/>
        <c:axId val="1634606095"/>
      </c:barChart>
      <c:catAx>
        <c:axId val="2754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606095"/>
        <c:crosses val="autoZero"/>
        <c:auto val="1"/>
        <c:lblAlgn val="ctr"/>
        <c:lblOffset val="100"/>
        <c:noMultiLvlLbl val="0"/>
      </c:catAx>
      <c:valAx>
        <c:axId val="163460609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75414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7"/>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stacked"/>
        <c:varyColors val="0"/>
        <c:ser>
          <c:idx val="0"/>
          <c:order val="0"/>
          <c:tx>
            <c:strRef>
              <c:f>'PIVOT TABLE'!$B$60</c:f>
              <c:strCache>
                <c:ptCount val="1"/>
                <c:pt idx="0">
                  <c:v>Total</c:v>
                </c:pt>
              </c:strCache>
            </c:strRef>
          </c:tx>
          <c:spPr>
            <a:solidFill>
              <a:schemeClr val="accent1"/>
            </a:solidFill>
            <a:ln>
              <a:noFill/>
            </a:ln>
            <a:effectLst/>
            <a:sp3d/>
          </c:spPr>
          <c:invertIfNegative val="0"/>
          <c:cat>
            <c:strRef>
              <c:f>'PIVOT TABLE'!$A$61:$A$76</c:f>
              <c:strCache>
                <c:ptCount val="15"/>
                <c:pt idx="0">
                  <c:v>Ahmedabad</c:v>
                </c:pt>
                <c:pt idx="1">
                  <c:v>Bengaluru</c:v>
                </c:pt>
                <c:pt idx="2">
                  <c:v>Chennai</c:v>
                </c:pt>
                <c:pt idx="3">
                  <c:v>Coimbatore</c:v>
                </c:pt>
                <c:pt idx="4">
                  <c:v>Delhi</c:v>
                </c:pt>
                <c:pt idx="5">
                  <c:v>Gurugram</c:v>
                </c:pt>
                <c:pt idx="6">
                  <c:v>Hubballi</c:v>
                </c:pt>
                <c:pt idx="7">
                  <c:v>Hyderabad</c:v>
                </c:pt>
                <c:pt idx="8">
                  <c:v>Kochi</c:v>
                </c:pt>
                <c:pt idx="9">
                  <c:v>Kolkata</c:v>
                </c:pt>
                <c:pt idx="10">
                  <c:v>Mangaluru</c:v>
                </c:pt>
                <c:pt idx="11">
                  <c:v>Mumbai</c:v>
                </c:pt>
                <c:pt idx="12">
                  <c:v>Mysuru</c:v>
                </c:pt>
                <c:pt idx="13">
                  <c:v>Noida</c:v>
                </c:pt>
                <c:pt idx="14">
                  <c:v>Pune</c:v>
                </c:pt>
              </c:strCache>
            </c:strRef>
          </c:cat>
          <c:val>
            <c:numRef>
              <c:f>'PIVOT TABLE'!$B$61:$B$76</c:f>
              <c:numCache>
                <c:formatCode>General</c:formatCode>
                <c:ptCount val="15"/>
                <c:pt idx="0">
                  <c:v>19</c:v>
                </c:pt>
                <c:pt idx="1">
                  <c:v>23</c:v>
                </c:pt>
                <c:pt idx="2">
                  <c:v>21</c:v>
                </c:pt>
                <c:pt idx="3">
                  <c:v>22</c:v>
                </c:pt>
                <c:pt idx="4">
                  <c:v>22</c:v>
                </c:pt>
                <c:pt idx="5">
                  <c:v>18</c:v>
                </c:pt>
                <c:pt idx="6">
                  <c:v>30</c:v>
                </c:pt>
                <c:pt idx="7">
                  <c:v>23</c:v>
                </c:pt>
                <c:pt idx="8">
                  <c:v>19</c:v>
                </c:pt>
                <c:pt idx="9">
                  <c:v>34</c:v>
                </c:pt>
                <c:pt idx="10">
                  <c:v>29</c:v>
                </c:pt>
                <c:pt idx="11">
                  <c:v>23</c:v>
                </c:pt>
                <c:pt idx="12">
                  <c:v>29</c:v>
                </c:pt>
                <c:pt idx="13">
                  <c:v>28</c:v>
                </c:pt>
                <c:pt idx="14">
                  <c:v>17</c:v>
                </c:pt>
              </c:numCache>
            </c:numRef>
          </c:val>
          <c:extLst>
            <c:ext xmlns:c16="http://schemas.microsoft.com/office/drawing/2014/chart" uri="{C3380CC4-5D6E-409C-BE32-E72D297353CC}">
              <c16:uniqueId val="{00000000-0E7C-464E-B3E6-B409FF7FBC20}"/>
            </c:ext>
          </c:extLst>
        </c:ser>
        <c:dLbls>
          <c:showLegendKey val="0"/>
          <c:showVal val="0"/>
          <c:showCatName val="0"/>
          <c:showSerName val="0"/>
          <c:showPercent val="0"/>
          <c:showBubbleSize val="0"/>
        </c:dLbls>
        <c:gapWidth val="150"/>
        <c:shape val="box"/>
        <c:axId val="1633884351"/>
        <c:axId val="1313608879"/>
        <c:axId val="0"/>
      </c:bar3DChart>
      <c:catAx>
        <c:axId val="1633884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08879"/>
        <c:crosses val="autoZero"/>
        <c:auto val="1"/>
        <c:lblAlgn val="ctr"/>
        <c:lblOffset val="100"/>
        <c:noMultiLvlLbl val="0"/>
      </c:catAx>
      <c:valAx>
        <c:axId val="1313608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88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TABLE'!$B$83:$B$84</c:f>
              <c:strCache>
                <c:ptCount val="1"/>
                <c:pt idx="0">
                  <c:v>Female</c:v>
                </c:pt>
              </c:strCache>
            </c:strRef>
          </c:tx>
          <c:spPr>
            <a:solidFill>
              <a:schemeClr val="accent1"/>
            </a:solidFill>
            <a:ln>
              <a:noFill/>
            </a:ln>
            <a:effectLst/>
          </c:spPr>
          <c:invertIfNegative val="0"/>
          <c:cat>
            <c:strRef>
              <c:f>'PIVOT TABLE'!$A$85:$A$93</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TABLE'!$B$85:$B$93</c:f>
              <c:numCache>
                <c:formatCode>General</c:formatCode>
                <c:ptCount val="8"/>
                <c:pt idx="0">
                  <c:v>30</c:v>
                </c:pt>
                <c:pt idx="1">
                  <c:v>52</c:v>
                </c:pt>
                <c:pt idx="2">
                  <c:v>33</c:v>
                </c:pt>
                <c:pt idx="3">
                  <c:v>34</c:v>
                </c:pt>
                <c:pt idx="4">
                  <c:v>77</c:v>
                </c:pt>
                <c:pt idx="5">
                  <c:v>32</c:v>
                </c:pt>
                <c:pt idx="6">
                  <c:v>55</c:v>
                </c:pt>
                <c:pt idx="7">
                  <c:v>44</c:v>
                </c:pt>
              </c:numCache>
            </c:numRef>
          </c:val>
          <c:extLst>
            <c:ext xmlns:c16="http://schemas.microsoft.com/office/drawing/2014/chart" uri="{C3380CC4-5D6E-409C-BE32-E72D297353CC}">
              <c16:uniqueId val="{00000000-E3AE-4FA4-B893-2C0797227E1F}"/>
            </c:ext>
          </c:extLst>
        </c:ser>
        <c:ser>
          <c:idx val="1"/>
          <c:order val="1"/>
          <c:tx>
            <c:strRef>
              <c:f>'PIVOT TABLE'!$C$83:$C$84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TABLE'!$A$85:$A$93</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TABLE'!$C$85:$C$93</c:f>
              <c:numCache>
                <c:formatCode>General</c:formatCode>
                <c:ptCount val="8"/>
                <c:pt idx="0">
                  <c:v>47</c:v>
                </c:pt>
                <c:pt idx="1">
                  <c:v>54</c:v>
                </c:pt>
                <c:pt idx="2">
                  <c:v>48</c:v>
                </c:pt>
                <c:pt idx="3">
                  <c:v>36</c:v>
                </c:pt>
                <c:pt idx="4">
                  <c:v>90</c:v>
                </c:pt>
                <c:pt idx="5">
                  <c:v>41</c:v>
                </c:pt>
                <c:pt idx="6">
                  <c:v>81</c:v>
                </c:pt>
                <c:pt idx="7">
                  <c:v>46</c:v>
                </c:pt>
              </c:numCache>
            </c:numRef>
          </c:val>
          <c:extLst>
            <c:ext xmlns:c16="http://schemas.microsoft.com/office/drawing/2014/chart" uri="{C3380CC4-5D6E-409C-BE32-E72D297353CC}">
              <c16:uniqueId val="{00000001-E3AE-4FA4-B893-2C0797227E1F}"/>
            </c:ext>
          </c:extLst>
        </c:ser>
        <c:dLbls>
          <c:showLegendKey val="0"/>
          <c:showVal val="0"/>
          <c:showCatName val="0"/>
          <c:showSerName val="0"/>
          <c:showPercent val="0"/>
          <c:showBubbleSize val="0"/>
        </c:dLbls>
        <c:gapWidth val="219"/>
        <c:axId val="27541456"/>
        <c:axId val="1634606095"/>
      </c:barChart>
      <c:catAx>
        <c:axId val="27541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606095"/>
        <c:crosses val="autoZero"/>
        <c:auto val="1"/>
        <c:lblAlgn val="ctr"/>
        <c:lblOffset val="100"/>
        <c:noMultiLvlLbl val="0"/>
      </c:catAx>
      <c:valAx>
        <c:axId val="1634606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41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TABLE'!$B$95</c:f>
              <c:strCache>
                <c:ptCount val="1"/>
                <c:pt idx="0">
                  <c:v>Total</c:v>
                </c:pt>
              </c:strCache>
            </c:strRef>
          </c:tx>
          <c:spPr>
            <a:ln w="28575" cap="rnd">
              <a:solidFill>
                <a:schemeClr val="accent1"/>
              </a:solidFill>
              <a:round/>
            </a:ln>
            <a:effectLst/>
          </c:spPr>
          <c:marker>
            <c:symbol val="none"/>
          </c:marker>
          <c:cat>
            <c:strRef>
              <c:f>'PIVOT TABLE'!$A$96:$A$111</c:f>
              <c:strCache>
                <c:ptCount val="15"/>
                <c:pt idx="0">
                  <c:v>Ahmedabad</c:v>
                </c:pt>
                <c:pt idx="1">
                  <c:v>Bengaluru</c:v>
                </c:pt>
                <c:pt idx="2">
                  <c:v>Chennai</c:v>
                </c:pt>
                <c:pt idx="3">
                  <c:v>Coimbatore</c:v>
                </c:pt>
                <c:pt idx="4">
                  <c:v>Delhi</c:v>
                </c:pt>
                <c:pt idx="5">
                  <c:v>Gurugram</c:v>
                </c:pt>
                <c:pt idx="6">
                  <c:v>Hubballi</c:v>
                </c:pt>
                <c:pt idx="7">
                  <c:v>Hyderabad</c:v>
                </c:pt>
                <c:pt idx="8">
                  <c:v>Kochi</c:v>
                </c:pt>
                <c:pt idx="9">
                  <c:v>Kolkata</c:v>
                </c:pt>
                <c:pt idx="10">
                  <c:v>Mangaluru</c:v>
                </c:pt>
                <c:pt idx="11">
                  <c:v>Mumbai</c:v>
                </c:pt>
                <c:pt idx="12">
                  <c:v>Mysuru</c:v>
                </c:pt>
                <c:pt idx="13">
                  <c:v>Noida</c:v>
                </c:pt>
                <c:pt idx="14">
                  <c:v>Pune</c:v>
                </c:pt>
              </c:strCache>
            </c:strRef>
          </c:cat>
          <c:val>
            <c:numRef>
              <c:f>'PIVOT TABLE'!$B$96:$B$111</c:f>
              <c:numCache>
                <c:formatCode>General</c:formatCode>
                <c:ptCount val="15"/>
                <c:pt idx="0">
                  <c:v>48</c:v>
                </c:pt>
                <c:pt idx="1">
                  <c:v>52</c:v>
                </c:pt>
                <c:pt idx="2">
                  <c:v>52</c:v>
                </c:pt>
                <c:pt idx="3">
                  <c:v>57</c:v>
                </c:pt>
                <c:pt idx="4">
                  <c:v>56</c:v>
                </c:pt>
                <c:pt idx="5">
                  <c:v>44</c:v>
                </c:pt>
                <c:pt idx="6">
                  <c:v>53</c:v>
                </c:pt>
                <c:pt idx="7">
                  <c:v>46</c:v>
                </c:pt>
                <c:pt idx="8">
                  <c:v>49</c:v>
                </c:pt>
                <c:pt idx="9">
                  <c:v>71</c:v>
                </c:pt>
                <c:pt idx="10">
                  <c:v>64</c:v>
                </c:pt>
                <c:pt idx="11">
                  <c:v>62</c:v>
                </c:pt>
                <c:pt idx="12">
                  <c:v>56</c:v>
                </c:pt>
                <c:pt idx="13">
                  <c:v>56</c:v>
                </c:pt>
                <c:pt idx="14">
                  <c:v>34</c:v>
                </c:pt>
              </c:numCache>
            </c:numRef>
          </c:val>
          <c:smooth val="0"/>
          <c:extLst>
            <c:ext xmlns:c16="http://schemas.microsoft.com/office/drawing/2014/chart" uri="{C3380CC4-5D6E-409C-BE32-E72D297353CC}">
              <c16:uniqueId val="{00000000-DC1B-4183-A555-357DECC32E38}"/>
            </c:ext>
          </c:extLst>
        </c:ser>
        <c:dLbls>
          <c:showLegendKey val="0"/>
          <c:showVal val="0"/>
          <c:showCatName val="0"/>
          <c:showSerName val="0"/>
          <c:showPercent val="0"/>
          <c:showBubbleSize val="0"/>
        </c:dLbls>
        <c:smooth val="0"/>
        <c:axId val="27671840"/>
        <c:axId val="1634571055"/>
      </c:lineChart>
      <c:catAx>
        <c:axId val="2767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71055"/>
        <c:crosses val="autoZero"/>
        <c:auto val="1"/>
        <c:lblAlgn val="ctr"/>
        <c:lblOffset val="100"/>
        <c:noMultiLvlLbl val="0"/>
      </c:catAx>
      <c:valAx>
        <c:axId val="163457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7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TABLE'!$A$118:$A$126</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TABLE'!$B$118:$B$126</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F9AC-43DD-B19A-D1D5E2916AAB}"/>
            </c:ext>
          </c:extLst>
        </c:ser>
        <c:dLbls>
          <c:showLegendKey val="0"/>
          <c:showVal val="0"/>
          <c:showCatName val="0"/>
          <c:showSerName val="0"/>
          <c:showPercent val="0"/>
          <c:showBubbleSize val="0"/>
        </c:dLbls>
        <c:gapWidth val="182"/>
        <c:axId val="361156592"/>
        <c:axId val="1634617615"/>
      </c:barChart>
      <c:catAx>
        <c:axId val="36115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617615"/>
        <c:crosses val="autoZero"/>
        <c:auto val="1"/>
        <c:lblAlgn val="ctr"/>
        <c:lblOffset val="100"/>
        <c:noMultiLvlLbl val="0"/>
      </c:catAx>
      <c:valAx>
        <c:axId val="1634617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5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TABLE'!$B$131</c:f>
              <c:strCache>
                <c:ptCount val="1"/>
                <c:pt idx="0">
                  <c:v>Total</c:v>
                </c:pt>
              </c:strCache>
            </c:strRef>
          </c:tx>
          <c:spPr>
            <a:solidFill>
              <a:schemeClr val="accent1"/>
            </a:solidFill>
            <a:ln>
              <a:noFill/>
            </a:ln>
            <a:effectLst/>
          </c:spPr>
          <c:invertIfNegative val="0"/>
          <c:cat>
            <c:strRef>
              <c:f>'PIVOT TABLE'!$A$132:$A$140</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TABLE'!$B$132:$B$140</c:f>
              <c:numCache>
                <c:formatCode>General</c:formatCode>
                <c:ptCount val="8"/>
                <c:pt idx="0">
                  <c:v>45103.896103896106</c:v>
                </c:pt>
                <c:pt idx="1">
                  <c:v>75052.830188679247</c:v>
                </c:pt>
                <c:pt idx="2">
                  <c:v>60823.456790123455</c:v>
                </c:pt>
                <c:pt idx="3">
                  <c:v>52557.142857142855</c:v>
                </c:pt>
                <c:pt idx="4">
                  <c:v>84931.736526946101</c:v>
                </c:pt>
                <c:pt idx="5">
                  <c:v>66110.95890410959</c:v>
                </c:pt>
                <c:pt idx="6">
                  <c:v>56519.852941176468</c:v>
                </c:pt>
                <c:pt idx="7">
                  <c:v>61303.333333333336</c:v>
                </c:pt>
              </c:numCache>
            </c:numRef>
          </c:val>
          <c:extLst>
            <c:ext xmlns:c16="http://schemas.microsoft.com/office/drawing/2014/chart" uri="{C3380CC4-5D6E-409C-BE32-E72D297353CC}">
              <c16:uniqueId val="{00000000-B790-4653-95DC-3A19C6279C9E}"/>
            </c:ext>
          </c:extLst>
        </c:ser>
        <c:dLbls>
          <c:showLegendKey val="0"/>
          <c:showVal val="0"/>
          <c:showCatName val="0"/>
          <c:showSerName val="0"/>
          <c:showPercent val="0"/>
          <c:showBubbleSize val="0"/>
        </c:dLbls>
        <c:gapWidth val="219"/>
        <c:overlap val="-27"/>
        <c:axId val="697765264"/>
        <c:axId val="1634566735"/>
      </c:barChart>
      <c:catAx>
        <c:axId val="69776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66735"/>
        <c:crosses val="autoZero"/>
        <c:auto val="1"/>
        <c:lblAlgn val="ctr"/>
        <c:lblOffset val="100"/>
        <c:noMultiLvlLbl val="0"/>
      </c:catAx>
      <c:valAx>
        <c:axId val="163456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6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TABLE!PivotTable15</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TABLE'!$B$149</c:f>
              <c:strCache>
                <c:ptCount val="1"/>
                <c:pt idx="0">
                  <c:v>Total</c:v>
                </c:pt>
              </c:strCache>
            </c:strRef>
          </c:tx>
          <c:spPr>
            <a:solidFill>
              <a:schemeClr val="accent1"/>
            </a:solidFill>
            <a:ln>
              <a:noFill/>
            </a:ln>
            <a:effectLst/>
            <a:sp3d/>
          </c:spPr>
          <c:invertIfNegative val="0"/>
          <c:cat>
            <c:multiLvlStrRef>
              <c:f>'PIVOT TABLE'!$A$150:$A$222</c:f>
              <c:multiLvlStrCache>
                <c:ptCount val="64"/>
                <c:lvl>
                  <c:pt idx="0">
                    <c:v>Customer Support</c:v>
                  </c:pt>
                  <c:pt idx="1">
                    <c:v>Data Analytics</c:v>
                  </c:pt>
                  <c:pt idx="2">
                    <c:v>Finance</c:v>
                  </c:pt>
                  <c:pt idx="3">
                    <c:v>HR</c:v>
                  </c:pt>
                  <c:pt idx="4">
                    <c:v>IT</c:v>
                  </c:pt>
                  <c:pt idx="5">
                    <c:v>Marketing</c:v>
                  </c:pt>
                  <c:pt idx="6">
                    <c:v>Operations</c:v>
                  </c:pt>
                  <c:pt idx="7">
                    <c:v>Sales</c:v>
                  </c:pt>
                  <c:pt idx="8">
                    <c:v>Customer Support</c:v>
                  </c:pt>
                  <c:pt idx="9">
                    <c:v>Data Analytics</c:v>
                  </c:pt>
                  <c:pt idx="10">
                    <c:v>Finance</c:v>
                  </c:pt>
                  <c:pt idx="11">
                    <c:v>HR</c:v>
                  </c:pt>
                  <c:pt idx="12">
                    <c:v>IT</c:v>
                  </c:pt>
                  <c:pt idx="13">
                    <c:v>Marketing</c:v>
                  </c:pt>
                  <c:pt idx="14">
                    <c:v>Operations</c:v>
                  </c:pt>
                  <c:pt idx="15">
                    <c:v>Sales</c:v>
                  </c:pt>
                  <c:pt idx="16">
                    <c:v>Customer Support</c:v>
                  </c:pt>
                  <c:pt idx="17">
                    <c:v>Data Analytics</c:v>
                  </c:pt>
                  <c:pt idx="18">
                    <c:v>Finance</c:v>
                  </c:pt>
                  <c:pt idx="19">
                    <c:v>HR</c:v>
                  </c:pt>
                  <c:pt idx="20">
                    <c:v>IT</c:v>
                  </c:pt>
                  <c:pt idx="21">
                    <c:v>Marketing</c:v>
                  </c:pt>
                  <c:pt idx="22">
                    <c:v>Operations</c:v>
                  </c:pt>
                  <c:pt idx="23">
                    <c:v>Sales</c:v>
                  </c:pt>
                  <c:pt idx="24">
                    <c:v>Customer Support</c:v>
                  </c:pt>
                  <c:pt idx="25">
                    <c:v>Data Analytics</c:v>
                  </c:pt>
                  <c:pt idx="26">
                    <c:v>Finance</c:v>
                  </c:pt>
                  <c:pt idx="27">
                    <c:v>HR</c:v>
                  </c:pt>
                  <c:pt idx="28">
                    <c:v>IT</c:v>
                  </c:pt>
                  <c:pt idx="29">
                    <c:v>Marketing</c:v>
                  </c:pt>
                  <c:pt idx="30">
                    <c:v>Operations</c:v>
                  </c:pt>
                  <c:pt idx="31">
                    <c:v>Sales</c:v>
                  </c:pt>
                  <c:pt idx="32">
                    <c:v>Customer Support</c:v>
                  </c:pt>
                  <c:pt idx="33">
                    <c:v>Data Analytics</c:v>
                  </c:pt>
                  <c:pt idx="34">
                    <c:v>Finance</c:v>
                  </c:pt>
                  <c:pt idx="35">
                    <c:v>HR</c:v>
                  </c:pt>
                  <c:pt idx="36">
                    <c:v>IT</c:v>
                  </c:pt>
                  <c:pt idx="37">
                    <c:v>Marketing</c:v>
                  </c:pt>
                  <c:pt idx="38">
                    <c:v>Operations</c:v>
                  </c:pt>
                  <c:pt idx="39">
                    <c:v>Sales</c:v>
                  </c:pt>
                  <c:pt idx="40">
                    <c:v>Customer Support</c:v>
                  </c:pt>
                  <c:pt idx="41">
                    <c:v>Data Analytics</c:v>
                  </c:pt>
                  <c:pt idx="42">
                    <c:v>Finance</c:v>
                  </c:pt>
                  <c:pt idx="43">
                    <c:v>HR</c:v>
                  </c:pt>
                  <c:pt idx="44">
                    <c:v>IT</c:v>
                  </c:pt>
                  <c:pt idx="45">
                    <c:v>Marketing</c:v>
                  </c:pt>
                  <c:pt idx="46">
                    <c:v>Operations</c:v>
                  </c:pt>
                  <c:pt idx="47">
                    <c:v>Sales</c:v>
                  </c:pt>
                  <c:pt idx="48">
                    <c:v>Customer Support</c:v>
                  </c:pt>
                  <c:pt idx="49">
                    <c:v>Data Analytics</c:v>
                  </c:pt>
                  <c:pt idx="50">
                    <c:v>Finance</c:v>
                  </c:pt>
                  <c:pt idx="51">
                    <c:v>HR</c:v>
                  </c:pt>
                  <c:pt idx="52">
                    <c:v>IT</c:v>
                  </c:pt>
                  <c:pt idx="53">
                    <c:v>Marketing</c:v>
                  </c:pt>
                  <c:pt idx="54">
                    <c:v>Operations</c:v>
                  </c:pt>
                  <c:pt idx="55">
                    <c:v>Sales</c:v>
                  </c:pt>
                  <c:pt idx="56">
                    <c:v>Customer Support</c:v>
                  </c:pt>
                  <c:pt idx="57">
                    <c:v>Data Analytics</c:v>
                  </c:pt>
                  <c:pt idx="58">
                    <c:v>Finance</c:v>
                  </c:pt>
                  <c:pt idx="59">
                    <c:v>HR</c:v>
                  </c:pt>
                  <c:pt idx="60">
                    <c:v>IT</c:v>
                  </c:pt>
                  <c:pt idx="61">
                    <c:v>Marketing</c:v>
                  </c:pt>
                  <c:pt idx="62">
                    <c:v>Operations</c:v>
                  </c:pt>
                  <c:pt idx="63">
                    <c:v>Sales</c:v>
                  </c:pt>
                </c:lvl>
                <c:lvl>
                  <c:pt idx="0">
                    <c:v>BBA</c:v>
                  </c:pt>
                  <c:pt idx="8">
                    <c:v>BCA</c:v>
                  </c:pt>
                  <c:pt idx="16">
                    <c:v>BCom</c:v>
                  </c:pt>
                  <c:pt idx="24">
                    <c:v>BE/BTech</c:v>
                  </c:pt>
                  <c:pt idx="32">
                    <c:v>BSc</c:v>
                  </c:pt>
                  <c:pt idx="40">
                    <c:v>MBA</c:v>
                  </c:pt>
                  <c:pt idx="48">
                    <c:v>MCA</c:v>
                  </c:pt>
                  <c:pt idx="56">
                    <c:v>MSc</c:v>
                  </c:pt>
                </c:lvl>
              </c:multiLvlStrCache>
            </c:multiLvlStrRef>
          </c:cat>
          <c:val>
            <c:numRef>
              <c:f>'PIVOT TABLE'!$B$150:$B$222</c:f>
              <c:numCache>
                <c:formatCode>General</c:formatCode>
                <c:ptCount val="64"/>
                <c:pt idx="0">
                  <c:v>8</c:v>
                </c:pt>
                <c:pt idx="1">
                  <c:v>11</c:v>
                </c:pt>
                <c:pt idx="2">
                  <c:v>8</c:v>
                </c:pt>
                <c:pt idx="3">
                  <c:v>7</c:v>
                </c:pt>
                <c:pt idx="4">
                  <c:v>17</c:v>
                </c:pt>
                <c:pt idx="5">
                  <c:v>11</c:v>
                </c:pt>
                <c:pt idx="6">
                  <c:v>21</c:v>
                </c:pt>
                <c:pt idx="7">
                  <c:v>13</c:v>
                </c:pt>
                <c:pt idx="8">
                  <c:v>8</c:v>
                </c:pt>
                <c:pt idx="9">
                  <c:v>21</c:v>
                </c:pt>
                <c:pt idx="10">
                  <c:v>9</c:v>
                </c:pt>
                <c:pt idx="11">
                  <c:v>8</c:v>
                </c:pt>
                <c:pt idx="12">
                  <c:v>24</c:v>
                </c:pt>
                <c:pt idx="13">
                  <c:v>6</c:v>
                </c:pt>
                <c:pt idx="14">
                  <c:v>13</c:v>
                </c:pt>
                <c:pt idx="15">
                  <c:v>11</c:v>
                </c:pt>
                <c:pt idx="16">
                  <c:v>13</c:v>
                </c:pt>
                <c:pt idx="17">
                  <c:v>16</c:v>
                </c:pt>
                <c:pt idx="18">
                  <c:v>13</c:v>
                </c:pt>
                <c:pt idx="19">
                  <c:v>13</c:v>
                </c:pt>
                <c:pt idx="20">
                  <c:v>21</c:v>
                </c:pt>
                <c:pt idx="21">
                  <c:v>5</c:v>
                </c:pt>
                <c:pt idx="22">
                  <c:v>19</c:v>
                </c:pt>
                <c:pt idx="23">
                  <c:v>10</c:v>
                </c:pt>
                <c:pt idx="24">
                  <c:v>8</c:v>
                </c:pt>
                <c:pt idx="25">
                  <c:v>13</c:v>
                </c:pt>
                <c:pt idx="26">
                  <c:v>8</c:v>
                </c:pt>
                <c:pt idx="27">
                  <c:v>11</c:v>
                </c:pt>
                <c:pt idx="28">
                  <c:v>24</c:v>
                </c:pt>
                <c:pt idx="29">
                  <c:v>11</c:v>
                </c:pt>
                <c:pt idx="30">
                  <c:v>17</c:v>
                </c:pt>
                <c:pt idx="31">
                  <c:v>8</c:v>
                </c:pt>
                <c:pt idx="32">
                  <c:v>15</c:v>
                </c:pt>
                <c:pt idx="33">
                  <c:v>8</c:v>
                </c:pt>
                <c:pt idx="34">
                  <c:v>13</c:v>
                </c:pt>
                <c:pt idx="35">
                  <c:v>8</c:v>
                </c:pt>
                <c:pt idx="36">
                  <c:v>25</c:v>
                </c:pt>
                <c:pt idx="37">
                  <c:v>9</c:v>
                </c:pt>
                <c:pt idx="38">
                  <c:v>14</c:v>
                </c:pt>
                <c:pt idx="39">
                  <c:v>18</c:v>
                </c:pt>
                <c:pt idx="40">
                  <c:v>6</c:v>
                </c:pt>
                <c:pt idx="41">
                  <c:v>10</c:v>
                </c:pt>
                <c:pt idx="42">
                  <c:v>12</c:v>
                </c:pt>
                <c:pt idx="43">
                  <c:v>9</c:v>
                </c:pt>
                <c:pt idx="44">
                  <c:v>23</c:v>
                </c:pt>
                <c:pt idx="45">
                  <c:v>9</c:v>
                </c:pt>
                <c:pt idx="46">
                  <c:v>21</c:v>
                </c:pt>
                <c:pt idx="47">
                  <c:v>9</c:v>
                </c:pt>
                <c:pt idx="48">
                  <c:v>12</c:v>
                </c:pt>
                <c:pt idx="49">
                  <c:v>13</c:v>
                </c:pt>
                <c:pt idx="50">
                  <c:v>9</c:v>
                </c:pt>
                <c:pt idx="51">
                  <c:v>6</c:v>
                </c:pt>
                <c:pt idx="52">
                  <c:v>19</c:v>
                </c:pt>
                <c:pt idx="53">
                  <c:v>13</c:v>
                </c:pt>
                <c:pt idx="54">
                  <c:v>17</c:v>
                </c:pt>
                <c:pt idx="55">
                  <c:v>12</c:v>
                </c:pt>
                <c:pt idx="56">
                  <c:v>7</c:v>
                </c:pt>
                <c:pt idx="57">
                  <c:v>14</c:v>
                </c:pt>
                <c:pt idx="58">
                  <c:v>9</c:v>
                </c:pt>
                <c:pt idx="59">
                  <c:v>8</c:v>
                </c:pt>
                <c:pt idx="60">
                  <c:v>14</c:v>
                </c:pt>
                <c:pt idx="61">
                  <c:v>9</c:v>
                </c:pt>
                <c:pt idx="62">
                  <c:v>14</c:v>
                </c:pt>
                <c:pt idx="63">
                  <c:v>9</c:v>
                </c:pt>
              </c:numCache>
            </c:numRef>
          </c:val>
          <c:extLst>
            <c:ext xmlns:c16="http://schemas.microsoft.com/office/drawing/2014/chart" uri="{C3380CC4-5D6E-409C-BE32-E72D297353CC}">
              <c16:uniqueId val="{00000000-CDAD-4DA9-87A2-F5755341794D}"/>
            </c:ext>
          </c:extLst>
        </c:ser>
        <c:dLbls>
          <c:showLegendKey val="0"/>
          <c:showVal val="0"/>
          <c:showCatName val="0"/>
          <c:showSerName val="0"/>
          <c:showPercent val="0"/>
          <c:showBubbleSize val="0"/>
        </c:dLbls>
        <c:gapWidth val="182"/>
        <c:shape val="box"/>
        <c:axId val="735835456"/>
        <c:axId val="671788048"/>
        <c:axId val="0"/>
      </c:bar3DChart>
      <c:catAx>
        <c:axId val="73583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788048"/>
        <c:crosses val="autoZero"/>
        <c:auto val="1"/>
        <c:lblAlgn val="ctr"/>
        <c:lblOffset val="100"/>
        <c:noMultiLvlLbl val="0"/>
      </c:catAx>
      <c:valAx>
        <c:axId val="67178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83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TABLE'!$B$224</c:f>
              <c:strCache>
                <c:ptCount val="1"/>
                <c:pt idx="0">
                  <c:v>Total</c:v>
                </c:pt>
              </c:strCache>
            </c:strRef>
          </c:tx>
          <c:spPr>
            <a:solidFill>
              <a:schemeClr val="accent1"/>
            </a:solidFill>
            <a:ln>
              <a:noFill/>
            </a:ln>
            <a:effectLst/>
          </c:spPr>
          <c:invertIfNegative val="0"/>
          <c:cat>
            <c:strRef>
              <c:f>'PIVOT TABLE'!$A$225:$A$233</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TABLE'!$B$225:$B$233</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D5B1-4809-92C8-5CBC5231E911}"/>
            </c:ext>
          </c:extLst>
        </c:ser>
        <c:dLbls>
          <c:showLegendKey val="0"/>
          <c:showVal val="0"/>
          <c:showCatName val="0"/>
          <c:showSerName val="0"/>
          <c:showPercent val="0"/>
          <c:showBubbleSize val="0"/>
        </c:dLbls>
        <c:gapWidth val="150"/>
        <c:overlap val="100"/>
        <c:axId val="570683040"/>
        <c:axId val="236891024"/>
      </c:barChart>
      <c:catAx>
        <c:axId val="57068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891024"/>
        <c:crosses val="autoZero"/>
        <c:auto val="1"/>
        <c:lblAlgn val="ctr"/>
        <c:lblOffset val="100"/>
        <c:noMultiLvlLbl val="0"/>
      </c:catAx>
      <c:valAx>
        <c:axId val="23689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68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 TABLE'!$B$239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64-40C6-A006-7011395028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64-40C6-A006-7011395028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64-40C6-A006-7011395028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64-40C6-A006-7011395028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64-40C6-A006-7011395028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64-40C6-A006-7011395028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364-40C6-A006-7011395028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TABLE'!$A$240:$A$247</c:f>
              <c:strCache>
                <c:ptCount val="7"/>
                <c:pt idx="0">
                  <c:v>Campus Hiring</c:v>
                </c:pt>
                <c:pt idx="1">
                  <c:v>Company Website</c:v>
                </c:pt>
                <c:pt idx="2">
                  <c:v>Consultancy</c:v>
                </c:pt>
                <c:pt idx="3">
                  <c:v>Employee Referral</c:v>
                </c:pt>
                <c:pt idx="4">
                  <c:v>Indeed</c:v>
                </c:pt>
                <c:pt idx="5">
                  <c:v>LinkedIn</c:v>
                </c:pt>
                <c:pt idx="6">
                  <c:v>Naukri</c:v>
                </c:pt>
              </c:strCache>
            </c:strRef>
          </c:cat>
          <c:val>
            <c:numRef>
              <c:f>'PIVOT TABLE'!$B$240:$B$247</c:f>
              <c:numCache>
                <c:formatCode>General</c:formatCode>
                <c:ptCount val="7"/>
                <c:pt idx="0">
                  <c:v>119</c:v>
                </c:pt>
                <c:pt idx="1">
                  <c:v>130</c:v>
                </c:pt>
                <c:pt idx="2">
                  <c:v>125</c:v>
                </c:pt>
                <c:pt idx="3">
                  <c:v>107</c:v>
                </c:pt>
                <c:pt idx="4">
                  <c:v>112</c:v>
                </c:pt>
                <c:pt idx="5">
                  <c:v>111</c:v>
                </c:pt>
                <c:pt idx="6">
                  <c:v>96</c:v>
                </c:pt>
              </c:numCache>
            </c:numRef>
          </c:val>
          <c:extLst>
            <c:ext xmlns:c16="http://schemas.microsoft.com/office/drawing/2014/chart" uri="{C3380CC4-5D6E-409C-BE32-E72D297353CC}">
              <c16:uniqueId val="{0000000E-A364-40C6-A006-70113950284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a:t>
            </a:r>
            <a:r>
              <a:rPr lang="en-US" baseline="0"/>
              <a:t> TREND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TABLE'!$B$262</c:f>
              <c:strCache>
                <c:ptCount val="1"/>
                <c:pt idx="0">
                  <c:v>Total</c:v>
                </c:pt>
              </c:strCache>
            </c:strRef>
          </c:tx>
          <c:spPr>
            <a:ln w="28575" cap="rnd">
              <a:solidFill>
                <a:schemeClr val="accent1"/>
              </a:solidFill>
              <a:round/>
            </a:ln>
            <a:effectLst/>
          </c:spPr>
          <c:marker>
            <c:symbol val="none"/>
          </c:marker>
          <c:cat>
            <c:strRef>
              <c:f>'PIVOT TABLE'!$A$263:$A$275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TABLE'!$B$263:$B$275</c:f>
              <c:numCache>
                <c:formatCode>General</c:formatCode>
                <c:ptCount val="12"/>
                <c:pt idx="0">
                  <c:v>77</c:v>
                </c:pt>
                <c:pt idx="1">
                  <c:v>59</c:v>
                </c:pt>
                <c:pt idx="2">
                  <c:v>82</c:v>
                </c:pt>
                <c:pt idx="3">
                  <c:v>67</c:v>
                </c:pt>
                <c:pt idx="4">
                  <c:v>68</c:v>
                </c:pt>
                <c:pt idx="5">
                  <c:v>57</c:v>
                </c:pt>
                <c:pt idx="6">
                  <c:v>76</c:v>
                </c:pt>
                <c:pt idx="7">
                  <c:v>67</c:v>
                </c:pt>
                <c:pt idx="8">
                  <c:v>69</c:v>
                </c:pt>
                <c:pt idx="9">
                  <c:v>58</c:v>
                </c:pt>
                <c:pt idx="10">
                  <c:v>56</c:v>
                </c:pt>
                <c:pt idx="11">
                  <c:v>64</c:v>
                </c:pt>
              </c:numCache>
            </c:numRef>
          </c:val>
          <c:smooth val="0"/>
          <c:extLst>
            <c:ext xmlns:c16="http://schemas.microsoft.com/office/drawing/2014/chart" uri="{C3380CC4-5D6E-409C-BE32-E72D297353CC}">
              <c16:uniqueId val="{00000000-C954-4043-B10F-12ADDE719680}"/>
            </c:ext>
          </c:extLst>
        </c:ser>
        <c:dLbls>
          <c:showLegendKey val="0"/>
          <c:showVal val="0"/>
          <c:showCatName val="0"/>
          <c:showSerName val="0"/>
          <c:showPercent val="0"/>
          <c:showBubbleSize val="0"/>
        </c:dLbls>
        <c:smooth val="0"/>
        <c:axId val="735744512"/>
        <c:axId val="8303376"/>
      </c:lineChart>
      <c:catAx>
        <c:axId val="73574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3376"/>
        <c:crosses val="autoZero"/>
        <c:auto val="1"/>
        <c:lblAlgn val="ctr"/>
        <c:lblOffset val="100"/>
        <c:noMultiLvlLbl val="0"/>
      </c:catAx>
      <c:valAx>
        <c:axId val="8303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4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HIRES</a:t>
            </a:r>
            <a:r>
              <a:rPr lang="en-US" baseline="0"/>
              <a:t>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TABLE'!$B$278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TABLE'!$A$279:$A$287</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TABLE'!$B$279:$B$287</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64A7-45E4-894F-E7444A1C5B5C}"/>
            </c:ext>
          </c:extLst>
        </c:ser>
        <c:dLbls>
          <c:showLegendKey val="0"/>
          <c:showVal val="0"/>
          <c:showCatName val="0"/>
          <c:showSerName val="0"/>
          <c:showPercent val="0"/>
          <c:showBubbleSize val="0"/>
        </c:dLbls>
        <c:gapWidth val="150"/>
        <c:shape val="box"/>
        <c:axId val="893455600"/>
        <c:axId val="236919344"/>
        <c:axId val="0"/>
      </c:bar3DChart>
      <c:catAx>
        <c:axId val="893455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919344"/>
        <c:crosses val="autoZero"/>
        <c:auto val="1"/>
        <c:lblAlgn val="ctr"/>
        <c:lblOffset val="100"/>
        <c:noMultiLvlLbl val="0"/>
      </c:catAx>
      <c:valAx>
        <c:axId val="23691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5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TABLE'!$B$297</c:f>
              <c:strCache>
                <c:ptCount val="1"/>
                <c:pt idx="0">
                  <c:v>Total</c:v>
                </c:pt>
              </c:strCache>
            </c:strRef>
          </c:tx>
          <c:spPr>
            <a:solidFill>
              <a:schemeClr val="accent1"/>
            </a:solidFill>
            <a:ln>
              <a:noFill/>
            </a:ln>
            <a:effectLst/>
          </c:spPr>
          <c:invertIfNegative val="0"/>
          <c:cat>
            <c:strRef>
              <c:f>'PIVOT TABLE'!$A$298:$A$304</c:f>
              <c:strCache>
                <c:ptCount val="6"/>
                <c:pt idx="0">
                  <c:v>Associate</c:v>
                </c:pt>
                <c:pt idx="1">
                  <c:v>Intern</c:v>
                </c:pt>
                <c:pt idx="2">
                  <c:v>Junior</c:v>
                </c:pt>
                <c:pt idx="3">
                  <c:v>Lead</c:v>
                </c:pt>
                <c:pt idx="4">
                  <c:v>Manager</c:v>
                </c:pt>
                <c:pt idx="5">
                  <c:v>Senior</c:v>
                </c:pt>
              </c:strCache>
            </c:strRef>
          </c:cat>
          <c:val>
            <c:numRef>
              <c:f>'PIVOT TABLE'!$B$298:$B$304</c:f>
              <c:numCache>
                <c:formatCode>General</c:formatCode>
                <c:ptCount val="6"/>
                <c:pt idx="0">
                  <c:v>4492.8114035087719</c:v>
                </c:pt>
                <c:pt idx="1">
                  <c:v>1906.081081081081</c:v>
                </c:pt>
                <c:pt idx="2">
                  <c:v>3118.7045454545455</c:v>
                </c:pt>
                <c:pt idx="3">
                  <c:v>8172.69</c:v>
                </c:pt>
                <c:pt idx="4">
                  <c:v>10530.754098360656</c:v>
                </c:pt>
                <c:pt idx="5">
                  <c:v>6316.045454545455</c:v>
                </c:pt>
              </c:numCache>
            </c:numRef>
          </c:val>
          <c:extLst>
            <c:ext xmlns:c16="http://schemas.microsoft.com/office/drawing/2014/chart" uri="{C3380CC4-5D6E-409C-BE32-E72D297353CC}">
              <c16:uniqueId val="{00000000-A3B4-4723-8409-36069C77016C}"/>
            </c:ext>
          </c:extLst>
        </c:ser>
        <c:dLbls>
          <c:showLegendKey val="0"/>
          <c:showVal val="0"/>
          <c:showCatName val="0"/>
          <c:showSerName val="0"/>
          <c:showPercent val="0"/>
          <c:showBubbleSize val="0"/>
        </c:dLbls>
        <c:gapWidth val="182"/>
        <c:axId val="735751472"/>
        <c:axId val="1453966351"/>
      </c:barChart>
      <c:catAx>
        <c:axId val="73575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66351"/>
        <c:crosses val="autoZero"/>
        <c:auto val="1"/>
        <c:lblAlgn val="ctr"/>
        <c:lblOffset val="100"/>
        <c:noMultiLvlLbl val="0"/>
      </c:catAx>
      <c:valAx>
        <c:axId val="1453966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75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BY EMPLOYEE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TABLE'!$B$315</c:f>
              <c:strCache>
                <c:ptCount val="1"/>
                <c:pt idx="0">
                  <c:v>Total</c:v>
                </c:pt>
              </c:strCache>
            </c:strRef>
          </c:tx>
          <c:spPr>
            <a:solidFill>
              <a:schemeClr val="accent1"/>
            </a:solidFill>
            <a:ln>
              <a:noFill/>
            </a:ln>
            <a:effectLst/>
          </c:spPr>
          <c:invertIfNegative val="0"/>
          <c:cat>
            <c:strRef>
              <c:f>'PIVOT TABLE'!$A$316:$A$319</c:f>
              <c:strCache>
                <c:ptCount val="3"/>
                <c:pt idx="0">
                  <c:v>Hybrid</c:v>
                </c:pt>
                <c:pt idx="1">
                  <c:v>Onsite</c:v>
                </c:pt>
                <c:pt idx="2">
                  <c:v>Remote</c:v>
                </c:pt>
              </c:strCache>
            </c:strRef>
          </c:cat>
          <c:val>
            <c:numRef>
              <c:f>'PIVOT TABLE'!$B$316:$B$319</c:f>
              <c:numCache>
                <c:formatCode>General</c:formatCode>
                <c:ptCount val="3"/>
                <c:pt idx="0">
                  <c:v>21538100</c:v>
                </c:pt>
                <c:pt idx="1">
                  <c:v>22555000</c:v>
                </c:pt>
                <c:pt idx="2">
                  <c:v>8154900</c:v>
                </c:pt>
              </c:numCache>
            </c:numRef>
          </c:val>
          <c:extLst>
            <c:ext xmlns:c16="http://schemas.microsoft.com/office/drawing/2014/chart" uri="{C3380CC4-5D6E-409C-BE32-E72D297353CC}">
              <c16:uniqueId val="{00000000-3493-44FA-8813-2750637AADF8}"/>
            </c:ext>
          </c:extLst>
        </c:ser>
        <c:dLbls>
          <c:showLegendKey val="0"/>
          <c:showVal val="0"/>
          <c:showCatName val="0"/>
          <c:showSerName val="0"/>
          <c:showPercent val="0"/>
          <c:showBubbleSize val="0"/>
        </c:dLbls>
        <c:gapWidth val="219"/>
        <c:overlap val="-27"/>
        <c:axId val="893572064"/>
        <c:axId val="671819728"/>
      </c:barChart>
      <c:catAx>
        <c:axId val="89357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19728"/>
        <c:crosses val="autoZero"/>
        <c:auto val="1"/>
        <c:lblAlgn val="ctr"/>
        <c:lblOffset val="100"/>
        <c:noMultiLvlLbl val="0"/>
      </c:catAx>
      <c:valAx>
        <c:axId val="67181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57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TABLE!PivotTable26</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TABLE'!$B$336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7B8-4F14-A7FF-9165C205A2C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7B8-4F14-A7FF-9165C205A2C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7B8-4F14-A7FF-9165C205A2C2}"/>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7B8-4F14-A7FF-9165C205A2C2}"/>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87B8-4F14-A7FF-9165C205A2C2}"/>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87B8-4F14-A7FF-9165C205A2C2}"/>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87B8-4F14-A7FF-9165C205A2C2}"/>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87B8-4F14-A7FF-9165C205A2C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TABLE'!$A$337:$A$345</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TABLE'!$B$337:$B$345</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10-87B8-4F14-A7FF-9165C205A2C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TABLE!PivotTable28</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PERFORMANCE V/S PROJECT COMPLETED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TABLE'!$B$370</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TABLE'!$A$371:$A$387</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 TABLE'!$B$371:$B$387</c:f>
              <c:numCache>
                <c:formatCode>General</c:formatCode>
                <c:ptCount val="16"/>
                <c:pt idx="0">
                  <c:v>43</c:v>
                </c:pt>
                <c:pt idx="1">
                  <c:v>44</c:v>
                </c:pt>
                <c:pt idx="2">
                  <c:v>42</c:v>
                </c:pt>
                <c:pt idx="3">
                  <c:v>62</c:v>
                </c:pt>
                <c:pt idx="4">
                  <c:v>63</c:v>
                </c:pt>
                <c:pt idx="5">
                  <c:v>50</c:v>
                </c:pt>
                <c:pt idx="6">
                  <c:v>40</c:v>
                </c:pt>
                <c:pt idx="7">
                  <c:v>44</c:v>
                </c:pt>
                <c:pt idx="8">
                  <c:v>51</c:v>
                </c:pt>
                <c:pt idx="9">
                  <c:v>50</c:v>
                </c:pt>
                <c:pt idx="10">
                  <c:v>52</c:v>
                </c:pt>
                <c:pt idx="11">
                  <c:v>51</c:v>
                </c:pt>
                <c:pt idx="12">
                  <c:v>52</c:v>
                </c:pt>
                <c:pt idx="13">
                  <c:v>53</c:v>
                </c:pt>
                <c:pt idx="14">
                  <c:v>54</c:v>
                </c:pt>
                <c:pt idx="15">
                  <c:v>49</c:v>
                </c:pt>
              </c:numCache>
            </c:numRef>
          </c:val>
          <c:extLst>
            <c:ext xmlns:c16="http://schemas.microsoft.com/office/drawing/2014/chart" uri="{C3380CC4-5D6E-409C-BE32-E72D297353CC}">
              <c16:uniqueId val="{00000000-256E-47AD-A601-8291DFB0CCD8}"/>
            </c:ext>
          </c:extLst>
        </c:ser>
        <c:dLbls>
          <c:dLblPos val="ctr"/>
          <c:showLegendKey val="0"/>
          <c:showVal val="1"/>
          <c:showCatName val="0"/>
          <c:showSerName val="0"/>
          <c:showPercent val="0"/>
          <c:showBubbleSize val="0"/>
        </c:dLbls>
        <c:gapWidth val="150"/>
        <c:overlap val="100"/>
        <c:axId val="1088956496"/>
        <c:axId val="671630608"/>
      </c:barChart>
      <c:catAx>
        <c:axId val="108895649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30608"/>
        <c:crosses val="autoZero"/>
        <c:auto val="1"/>
        <c:lblAlgn val="ctr"/>
        <c:lblOffset val="100"/>
        <c:noMultiLvlLbl val="0"/>
      </c:catAx>
      <c:valAx>
        <c:axId val="671630608"/>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95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TABLE!PivotTable27</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PERFORMANCE BY DEPARTMENT RATE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TABLE'!$B$356</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TABLE'!$A$357:$A$365</c:f>
              <c:strCache>
                <c:ptCount val="8"/>
                <c:pt idx="0">
                  <c:v>Customer Support</c:v>
                </c:pt>
                <c:pt idx="1">
                  <c:v>Data Analytics</c:v>
                </c:pt>
                <c:pt idx="2">
                  <c:v>Finance</c:v>
                </c:pt>
                <c:pt idx="3">
                  <c:v>HR</c:v>
                </c:pt>
                <c:pt idx="4">
                  <c:v>IT</c:v>
                </c:pt>
                <c:pt idx="5">
                  <c:v>Marketing</c:v>
                </c:pt>
                <c:pt idx="6">
                  <c:v>Operations</c:v>
                </c:pt>
                <c:pt idx="7">
                  <c:v>Sales</c:v>
                </c:pt>
              </c:strCache>
            </c:strRef>
          </c:cat>
          <c:val>
            <c:numRef>
              <c:f>'PIVOT TABLE'!$B$357:$B$365</c:f>
              <c:numCache>
                <c:formatCode>General</c:formatCode>
                <c:ptCount val="8"/>
                <c:pt idx="0">
                  <c:v>77</c:v>
                </c:pt>
                <c:pt idx="1">
                  <c:v>106</c:v>
                </c:pt>
                <c:pt idx="2">
                  <c:v>81</c:v>
                </c:pt>
                <c:pt idx="3">
                  <c:v>70</c:v>
                </c:pt>
                <c:pt idx="4">
                  <c:v>167</c:v>
                </c:pt>
                <c:pt idx="5">
                  <c:v>73</c:v>
                </c:pt>
                <c:pt idx="6">
                  <c:v>136</c:v>
                </c:pt>
                <c:pt idx="7">
                  <c:v>90</c:v>
                </c:pt>
              </c:numCache>
            </c:numRef>
          </c:val>
          <c:extLst>
            <c:ext xmlns:c16="http://schemas.microsoft.com/office/drawing/2014/chart" uri="{C3380CC4-5D6E-409C-BE32-E72D297353CC}">
              <c16:uniqueId val="{00000000-295F-42A3-8B2A-D1D76929EF81}"/>
            </c:ext>
          </c:extLst>
        </c:ser>
        <c:dLbls>
          <c:dLblPos val="inEnd"/>
          <c:showLegendKey val="0"/>
          <c:showVal val="1"/>
          <c:showCatName val="0"/>
          <c:showSerName val="0"/>
          <c:showPercent val="0"/>
          <c:showBubbleSize val="0"/>
        </c:dLbls>
        <c:gapWidth val="227"/>
        <c:overlap val="-48"/>
        <c:axId val="333701616"/>
        <c:axId val="671678608"/>
      </c:barChart>
      <c:catAx>
        <c:axId val="33370161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678608"/>
        <c:crosses val="autoZero"/>
        <c:auto val="1"/>
        <c:lblAlgn val="ctr"/>
        <c:lblOffset val="100"/>
        <c:noMultiLvlLbl val="0"/>
      </c:catAx>
      <c:valAx>
        <c:axId val="671678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70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SALARY DISTRUBUTION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SALARY DISTRUBUTION</a:t>
          </a:r>
        </a:p>
      </cx:txPr>
    </cx:title>
    <cx:plotArea>
      <cx:plotAreaRegion>
        <cx:series layoutId="clusteredColumn" uniqueId="{00000000-1795-41F4-A876-778237301708}">
          <cx:tx>
            <cx:txData>
              <cx:f>_xlchart.v1.0</cx:f>
              <cx:v>Annual_Salary_INR</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SALARY DISTRUBUTION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SALARY DISTRUBUTION</a:t>
          </a:r>
        </a:p>
      </cx:txPr>
    </cx:title>
    <cx:plotArea>
      <cx:plotAreaRegion>
        <cx:series layoutId="clusteredColumn" uniqueId="{00000000-1795-41F4-A876-778237301708}">
          <cx:tx>
            <cx:txData>
              <cx:f>_xlchart.v1.2</cx:f>
              <cx:v>Annual_Salary_INR</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hyperlink" Target="#PRODUCTIVITY!A1"/><Relationship Id="rId7" Type="http://schemas.openxmlformats.org/officeDocument/2006/relationships/chart" Target="../charts/chart19.xml"/><Relationship Id="rId2" Type="http://schemas.openxmlformats.org/officeDocument/2006/relationships/hyperlink" Target="#OVERVIEW!A1"/><Relationship Id="rId1" Type="http://schemas.openxmlformats.org/officeDocument/2006/relationships/chart" Target="../charts/chart18.xml"/><Relationship Id="rId6" Type="http://schemas.openxmlformats.org/officeDocument/2006/relationships/hyperlink" Target="#RECUITMENT!A1"/><Relationship Id="rId5" Type="http://schemas.openxmlformats.org/officeDocument/2006/relationships/hyperlink" Target="#WORKFORCE!A1"/><Relationship Id="rId10" Type="http://schemas.openxmlformats.org/officeDocument/2006/relationships/chart" Target="../charts/chart22.xml"/><Relationship Id="rId4" Type="http://schemas.openxmlformats.org/officeDocument/2006/relationships/hyperlink" Target="#COMPENSATION!A1"/><Relationship Id="rId9"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hyperlink" Target="#RECUITMENT!A1"/><Relationship Id="rId7" Type="http://schemas.openxmlformats.org/officeDocument/2006/relationships/chart" Target="../charts/chart24.xml"/><Relationship Id="rId2" Type="http://schemas.openxmlformats.org/officeDocument/2006/relationships/hyperlink" Target="#WORKFORCE!A1"/><Relationship Id="rId1" Type="http://schemas.openxmlformats.org/officeDocument/2006/relationships/hyperlink" Target="#OVERVIEW!A1"/><Relationship Id="rId6" Type="http://schemas.openxmlformats.org/officeDocument/2006/relationships/chart" Target="../charts/chart23.xml"/><Relationship Id="rId5" Type="http://schemas.openxmlformats.org/officeDocument/2006/relationships/hyperlink" Target="#PRODUCTIVITY!A1"/><Relationship Id="rId4" Type="http://schemas.openxmlformats.org/officeDocument/2006/relationships/hyperlink" Target="#COMPENSATION!A1"/></Relationships>
</file>

<file path=xl/drawings/_rels/drawing6.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hyperlink" Target="#OVERVIEW!A1"/><Relationship Id="rId7" Type="http://schemas.openxmlformats.org/officeDocument/2006/relationships/chart" Target="../charts/chart27.xml"/><Relationship Id="rId2" Type="http://schemas.openxmlformats.org/officeDocument/2006/relationships/hyperlink" Target="#WORKFORCE!A1"/><Relationship Id="rId1" Type="http://schemas.openxmlformats.org/officeDocument/2006/relationships/hyperlink" Target="#PRODUCTIVITY!A1"/><Relationship Id="rId6" Type="http://schemas.openxmlformats.org/officeDocument/2006/relationships/chart" Target="../charts/chart26.xml"/><Relationship Id="rId5" Type="http://schemas.openxmlformats.org/officeDocument/2006/relationships/hyperlink" Target="#COMPENSATION!A1"/><Relationship Id="rId4" Type="http://schemas.openxmlformats.org/officeDocument/2006/relationships/hyperlink" Target="#RECUITMENT!A1"/><Relationship Id="rId9"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hyperlink" Target="#WORKFORCE!A1"/><Relationship Id="rId7" Type="http://schemas.openxmlformats.org/officeDocument/2006/relationships/chart" Target="../charts/chart30.xml"/><Relationship Id="rId2" Type="http://schemas.openxmlformats.org/officeDocument/2006/relationships/hyperlink" Target="#OVERVIEW!A1"/><Relationship Id="rId1" Type="http://schemas.openxmlformats.org/officeDocument/2006/relationships/hyperlink" Target="#PRODUCTIVITY!A1"/><Relationship Id="rId6" Type="http://schemas.microsoft.com/office/2014/relationships/chartEx" Target="../charts/chartEx2.xml"/><Relationship Id="rId5" Type="http://schemas.openxmlformats.org/officeDocument/2006/relationships/hyperlink" Target="#COMPENSATION!A1"/><Relationship Id="rId4" Type="http://schemas.openxmlformats.org/officeDocument/2006/relationships/hyperlink" Target="#RECUITMENT!A1"/></Relationships>
</file>

<file path=xl/drawings/_rels/drawing8.xml.rels><?xml version="1.0" encoding="UTF-8" standalone="yes"?>
<Relationships xmlns="http://schemas.openxmlformats.org/package/2006/relationships"><Relationship Id="rId8" Type="http://schemas.openxmlformats.org/officeDocument/2006/relationships/chart" Target="../charts/chart34.xml"/><Relationship Id="rId3" Type="http://schemas.openxmlformats.org/officeDocument/2006/relationships/hyperlink" Target="#OVERVIEW!A1"/><Relationship Id="rId7" Type="http://schemas.openxmlformats.org/officeDocument/2006/relationships/chart" Target="../charts/chart33.xml"/><Relationship Id="rId2" Type="http://schemas.openxmlformats.org/officeDocument/2006/relationships/hyperlink" Target="#WORKFORCE!A1"/><Relationship Id="rId1" Type="http://schemas.openxmlformats.org/officeDocument/2006/relationships/hyperlink" Target="#PRODUCTIVITY!A1"/><Relationship Id="rId6" Type="http://schemas.openxmlformats.org/officeDocument/2006/relationships/chart" Target="../charts/chart32.xml"/><Relationship Id="rId5" Type="http://schemas.openxmlformats.org/officeDocument/2006/relationships/hyperlink" Target="#COMPENSATION!A1"/><Relationship Id="rId4" Type="http://schemas.openxmlformats.org/officeDocument/2006/relationships/hyperlink" Target="#RECUITMENT!A1"/></Relationships>
</file>

<file path=xl/drawings/drawing1.xml><?xml version="1.0" encoding="utf-8"?>
<xdr:wsDr xmlns:xdr="http://schemas.openxmlformats.org/drawingml/2006/spreadsheetDrawing" xmlns:a="http://schemas.openxmlformats.org/drawingml/2006/main">
  <xdr:twoCellAnchor>
    <xdr:from>
      <xdr:col>5</xdr:col>
      <xdr:colOff>1051560</xdr:colOff>
      <xdr:row>805</xdr:row>
      <xdr:rowOff>163830</xdr:rowOff>
    </xdr:from>
    <xdr:to>
      <xdr:col>11</xdr:col>
      <xdr:colOff>586740</xdr:colOff>
      <xdr:row>820</xdr:row>
      <xdr:rowOff>163830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A58EA4A-FB4F-A4EE-7FBD-EA2B6BFEC2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43500" y="1473822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342900</xdr:colOff>
      <xdr:row>0</xdr:row>
      <xdr:rowOff>45721</xdr:rowOff>
    </xdr:from>
    <xdr:to>
      <xdr:col>7</xdr:col>
      <xdr:colOff>114300</xdr:colOff>
      <xdr:row>16</xdr:row>
      <xdr:rowOff>22860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E187F9E2-6DC9-4052-4691-EB99906F095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352800" y="45721"/>
              <a:ext cx="1828800" cy="2903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251460</xdr:colOff>
      <xdr:row>0</xdr:row>
      <xdr:rowOff>106680</xdr:rowOff>
    </xdr:from>
    <xdr:to>
      <xdr:col>11</xdr:col>
      <xdr:colOff>297180</xdr:colOff>
      <xdr:row>8</xdr:row>
      <xdr:rowOff>15240</xdr:rowOff>
    </xdr:to>
    <mc:AlternateContent xmlns:mc="http://schemas.openxmlformats.org/markup-compatibility/2006" xmlns:tsle="http://schemas.microsoft.com/office/drawing/2012/timeslicer">
      <mc:Choice Requires="tsle">
        <xdr:graphicFrame macro="">
          <xdr:nvGraphicFramePr>
            <xdr:cNvPr id="3" name="Joining_Date">
              <a:extLst>
                <a:ext uri="{FF2B5EF4-FFF2-40B4-BE49-F238E27FC236}">
                  <a16:creationId xmlns:a16="http://schemas.microsoft.com/office/drawing/2014/main" id="{D7F40C72-DF24-DF0D-DB90-4104CF9B3B9A}"/>
                </a:ext>
              </a:extLst>
            </xdr:cNvPr>
            <xdr:cNvGraphicFramePr/>
          </xdr:nvGraphicFramePr>
          <xdr:xfrm>
            <a:off x="0" y="0"/>
            <a:ext cx="0" cy="0"/>
          </xdr:xfrm>
          <a:graphic>
            <a:graphicData uri="http://schemas.microsoft.com/office/drawing/2012/timeslicer">
              <tsle:timeslicer name="Joining_Date"/>
            </a:graphicData>
          </a:graphic>
        </xdr:graphicFrame>
      </mc:Choice>
      <mc:Fallback xmlns="">
        <xdr:sp macro="" textlink="">
          <xdr:nvSpPr>
            <xdr:cNvPr id="0" name=""/>
            <xdr:cNvSpPr>
              <a:spLocks noTextEdit="1"/>
            </xdr:cNvSpPr>
          </xdr:nvSpPr>
          <xdr:spPr>
            <a:xfrm>
              <a:off x="4937760" y="1066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83820</xdr:colOff>
      <xdr:row>22</xdr:row>
      <xdr:rowOff>64770</xdr:rowOff>
    </xdr:from>
    <xdr:to>
      <xdr:col>9</xdr:col>
      <xdr:colOff>480060</xdr:colOff>
      <xdr:row>37</xdr:row>
      <xdr:rowOff>64770</xdr:rowOff>
    </xdr:to>
    <xdr:graphicFrame macro="">
      <xdr:nvGraphicFramePr>
        <xdr:cNvPr id="6" name="Chart 5">
          <a:extLst>
            <a:ext uri="{FF2B5EF4-FFF2-40B4-BE49-F238E27FC236}">
              <a16:creationId xmlns:a16="http://schemas.microsoft.com/office/drawing/2014/main" id="{8CD74B62-4BDD-93A8-5961-1925EC5C5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xdr:colOff>
      <xdr:row>43</xdr:row>
      <xdr:rowOff>41910</xdr:rowOff>
    </xdr:from>
    <xdr:to>
      <xdr:col>10</xdr:col>
      <xdr:colOff>266700</xdr:colOff>
      <xdr:row>58</xdr:row>
      <xdr:rowOff>41910</xdr:rowOff>
    </xdr:to>
    <xdr:graphicFrame macro="">
      <xdr:nvGraphicFramePr>
        <xdr:cNvPr id="7" name="Chart 6">
          <a:extLst>
            <a:ext uri="{FF2B5EF4-FFF2-40B4-BE49-F238E27FC236}">
              <a16:creationId xmlns:a16="http://schemas.microsoft.com/office/drawing/2014/main" id="{B49E3E84-41ED-DCAF-6BAC-B29B3A1E0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57</xdr:row>
      <xdr:rowOff>72390</xdr:rowOff>
    </xdr:from>
    <xdr:to>
      <xdr:col>11</xdr:col>
      <xdr:colOff>845820</xdr:colOff>
      <xdr:row>72</xdr:row>
      <xdr:rowOff>72390</xdr:rowOff>
    </xdr:to>
    <xdr:graphicFrame macro="">
      <xdr:nvGraphicFramePr>
        <xdr:cNvPr id="10" name="Chart 9">
          <a:extLst>
            <a:ext uri="{FF2B5EF4-FFF2-40B4-BE49-F238E27FC236}">
              <a16:creationId xmlns:a16="http://schemas.microsoft.com/office/drawing/2014/main" id="{5B5FE2F4-EA70-5796-4D61-83F12A8BF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556260</xdr:colOff>
      <xdr:row>59</xdr:row>
      <xdr:rowOff>1</xdr:rowOff>
    </xdr:from>
    <xdr:to>
      <xdr:col>10</xdr:col>
      <xdr:colOff>579120</xdr:colOff>
      <xdr:row>64</xdr:row>
      <xdr:rowOff>38100</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0063954D-4F7E-DED9-F895-D077B7A3785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7320" y="10789921"/>
              <a:ext cx="18288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556260</xdr:colOff>
      <xdr:row>59</xdr:row>
      <xdr:rowOff>0</xdr:rowOff>
    </xdr:from>
    <xdr:to>
      <xdr:col>10</xdr:col>
      <xdr:colOff>579120</xdr:colOff>
      <xdr:row>73</xdr:row>
      <xdr:rowOff>20955</xdr:rowOff>
    </xdr:to>
    <mc:AlternateContent xmlns:mc="http://schemas.openxmlformats.org/markup-compatibility/2006" xmlns:a14="http://schemas.microsoft.com/office/drawing/2010/main">
      <mc:Choice Requires="a14">
        <xdr:graphicFrame macro="">
          <xdr:nvGraphicFramePr>
            <xdr:cNvPr id="12" name="Education">
              <a:extLst>
                <a:ext uri="{FF2B5EF4-FFF2-40B4-BE49-F238E27FC236}">
                  <a16:creationId xmlns:a16="http://schemas.microsoft.com/office/drawing/2014/main" id="{10DA12B9-1561-FABC-A588-AFE80F942B0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27320" y="10789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68580</xdr:colOff>
      <xdr:row>46</xdr:row>
      <xdr:rowOff>144781</xdr:rowOff>
    </xdr:from>
    <xdr:to>
      <xdr:col>5</xdr:col>
      <xdr:colOff>601980</xdr:colOff>
      <xdr:row>53</xdr:row>
      <xdr:rowOff>106681</xdr:rowOff>
    </xdr:to>
    <mc:AlternateContent xmlns:mc="http://schemas.openxmlformats.org/markup-compatibility/2006" xmlns:a14="http://schemas.microsoft.com/office/drawing/2010/main">
      <mc:Choice Requires="a14">
        <xdr:graphicFrame macro="">
          <xdr:nvGraphicFramePr>
            <xdr:cNvPr id="14" name="City 2">
              <a:extLst>
                <a:ext uri="{FF2B5EF4-FFF2-40B4-BE49-F238E27FC236}">
                  <a16:creationId xmlns:a16="http://schemas.microsoft.com/office/drawing/2014/main" id="{34257289-D33F-D9F7-FB1D-07BE2213A633}"/>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2796540" y="855726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426720</xdr:colOff>
      <xdr:row>81</xdr:row>
      <xdr:rowOff>64770</xdr:rowOff>
    </xdr:from>
    <xdr:to>
      <xdr:col>12</xdr:col>
      <xdr:colOff>716280</xdr:colOff>
      <xdr:row>93</xdr:row>
      <xdr:rowOff>114300</xdr:rowOff>
    </xdr:to>
    <xdr:graphicFrame macro="">
      <xdr:nvGraphicFramePr>
        <xdr:cNvPr id="15" name="Chart 14">
          <a:extLst>
            <a:ext uri="{FF2B5EF4-FFF2-40B4-BE49-F238E27FC236}">
              <a16:creationId xmlns:a16="http://schemas.microsoft.com/office/drawing/2014/main" id="{251792C9-10B9-4C0D-CFA2-5CEDC6306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60960</xdr:colOff>
      <xdr:row>100</xdr:row>
      <xdr:rowOff>41910</xdr:rowOff>
    </xdr:from>
    <xdr:to>
      <xdr:col>12</xdr:col>
      <xdr:colOff>182880</xdr:colOff>
      <xdr:row>115</xdr:row>
      <xdr:rowOff>41910</xdr:rowOff>
    </xdr:to>
    <xdr:graphicFrame macro="">
      <xdr:nvGraphicFramePr>
        <xdr:cNvPr id="16" name="Chart 15">
          <a:extLst>
            <a:ext uri="{FF2B5EF4-FFF2-40B4-BE49-F238E27FC236}">
              <a16:creationId xmlns:a16="http://schemas.microsoft.com/office/drawing/2014/main" id="{3A6DC6D7-28D3-28BB-C4A7-B797D3303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114300</xdr:colOff>
      <xdr:row>115</xdr:row>
      <xdr:rowOff>163830</xdr:rowOff>
    </xdr:from>
    <xdr:to>
      <xdr:col>12</xdr:col>
      <xdr:colOff>236220</xdr:colOff>
      <xdr:row>130</xdr:row>
      <xdr:rowOff>163830</xdr:rowOff>
    </xdr:to>
    <xdr:graphicFrame macro="">
      <xdr:nvGraphicFramePr>
        <xdr:cNvPr id="17" name="Chart 16">
          <a:extLst>
            <a:ext uri="{FF2B5EF4-FFF2-40B4-BE49-F238E27FC236}">
              <a16:creationId xmlns:a16="http://schemas.microsoft.com/office/drawing/2014/main" id="{8148F02F-7EFD-6F70-A172-668A4C47A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304800</xdr:colOff>
      <xdr:row>132</xdr:row>
      <xdr:rowOff>57150</xdr:rowOff>
    </xdr:from>
    <xdr:to>
      <xdr:col>9</xdr:col>
      <xdr:colOff>678180</xdr:colOff>
      <xdr:row>147</xdr:row>
      <xdr:rowOff>57150</xdr:rowOff>
    </xdr:to>
    <xdr:graphicFrame macro="">
      <xdr:nvGraphicFramePr>
        <xdr:cNvPr id="18" name="Chart 17">
          <a:extLst>
            <a:ext uri="{FF2B5EF4-FFF2-40B4-BE49-F238E27FC236}">
              <a16:creationId xmlns:a16="http://schemas.microsoft.com/office/drawing/2014/main" id="{5221C241-6B19-282D-2677-5DE3223B3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1051560</xdr:colOff>
      <xdr:row>152</xdr:row>
      <xdr:rowOff>76200</xdr:rowOff>
    </xdr:from>
    <xdr:to>
      <xdr:col>11</xdr:col>
      <xdr:colOff>53340</xdr:colOff>
      <xdr:row>170</xdr:row>
      <xdr:rowOff>7620</xdr:rowOff>
    </xdr:to>
    <xdr:graphicFrame macro="">
      <xdr:nvGraphicFramePr>
        <xdr:cNvPr id="19" name="Chart 18">
          <a:extLst>
            <a:ext uri="{FF2B5EF4-FFF2-40B4-BE49-F238E27FC236}">
              <a16:creationId xmlns:a16="http://schemas.microsoft.com/office/drawing/2014/main" id="{E38748C9-850A-BA0A-79E0-688B7F10A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1264920</xdr:colOff>
      <xdr:row>222</xdr:row>
      <xdr:rowOff>102870</xdr:rowOff>
    </xdr:from>
    <xdr:to>
      <xdr:col>11</xdr:col>
      <xdr:colOff>60960</xdr:colOff>
      <xdr:row>237</xdr:row>
      <xdr:rowOff>102870</xdr:rowOff>
    </xdr:to>
    <xdr:graphicFrame macro="">
      <xdr:nvGraphicFramePr>
        <xdr:cNvPr id="20" name="Chart 19">
          <a:extLst>
            <a:ext uri="{FF2B5EF4-FFF2-40B4-BE49-F238E27FC236}">
              <a16:creationId xmlns:a16="http://schemas.microsoft.com/office/drawing/2014/main" id="{2AE837AB-30B6-FBDF-ADF7-E7ABA616F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1257300</xdr:colOff>
      <xdr:row>243</xdr:row>
      <xdr:rowOff>179070</xdr:rowOff>
    </xdr:from>
    <xdr:to>
      <xdr:col>11</xdr:col>
      <xdr:colOff>53340</xdr:colOff>
      <xdr:row>258</xdr:row>
      <xdr:rowOff>179070</xdr:rowOff>
    </xdr:to>
    <xdr:graphicFrame macro="">
      <xdr:nvGraphicFramePr>
        <xdr:cNvPr id="21" name="Chart 20">
          <a:extLst>
            <a:ext uri="{FF2B5EF4-FFF2-40B4-BE49-F238E27FC236}">
              <a16:creationId xmlns:a16="http://schemas.microsoft.com/office/drawing/2014/main" id="{1C7F2696-41B8-C039-3355-5ABBCAFD7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220980</xdr:colOff>
      <xdr:row>258</xdr:row>
      <xdr:rowOff>34290</xdr:rowOff>
    </xdr:from>
    <xdr:to>
      <xdr:col>12</xdr:col>
      <xdr:colOff>243840</xdr:colOff>
      <xdr:row>273</xdr:row>
      <xdr:rowOff>34290</xdr:rowOff>
    </xdr:to>
    <xdr:graphicFrame macro="">
      <xdr:nvGraphicFramePr>
        <xdr:cNvPr id="22" name="Chart 21">
          <a:extLst>
            <a:ext uri="{FF2B5EF4-FFF2-40B4-BE49-F238E27FC236}">
              <a16:creationId xmlns:a16="http://schemas.microsoft.com/office/drawing/2014/main" id="{C1C5A994-FD40-4712-477D-7D91B3FD1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7620</xdr:colOff>
      <xdr:row>278</xdr:row>
      <xdr:rowOff>95250</xdr:rowOff>
    </xdr:from>
    <xdr:to>
      <xdr:col>12</xdr:col>
      <xdr:colOff>30480</xdr:colOff>
      <xdr:row>293</xdr:row>
      <xdr:rowOff>95250</xdr:rowOff>
    </xdr:to>
    <xdr:graphicFrame macro="">
      <xdr:nvGraphicFramePr>
        <xdr:cNvPr id="23" name="Chart 22">
          <a:extLst>
            <a:ext uri="{FF2B5EF4-FFF2-40B4-BE49-F238E27FC236}">
              <a16:creationId xmlns:a16="http://schemas.microsoft.com/office/drawing/2014/main" id="{0AF5A1C3-3B2E-D199-7539-E2BA8A2C3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266700</xdr:colOff>
      <xdr:row>296</xdr:row>
      <xdr:rowOff>140970</xdr:rowOff>
    </xdr:from>
    <xdr:to>
      <xdr:col>11</xdr:col>
      <xdr:colOff>76200</xdr:colOff>
      <xdr:row>311</xdr:row>
      <xdr:rowOff>140970</xdr:rowOff>
    </xdr:to>
    <xdr:graphicFrame macro="">
      <xdr:nvGraphicFramePr>
        <xdr:cNvPr id="24" name="Chart 23">
          <a:extLst>
            <a:ext uri="{FF2B5EF4-FFF2-40B4-BE49-F238E27FC236}">
              <a16:creationId xmlns:a16="http://schemas.microsoft.com/office/drawing/2014/main" id="{A3A38803-F8E4-5B46-1344-9E8A50A1F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266700</xdr:colOff>
      <xdr:row>316</xdr:row>
      <xdr:rowOff>156210</xdr:rowOff>
    </xdr:from>
    <xdr:to>
      <xdr:col>11</xdr:col>
      <xdr:colOff>76200</xdr:colOff>
      <xdr:row>331</xdr:row>
      <xdr:rowOff>156210</xdr:rowOff>
    </xdr:to>
    <xdr:graphicFrame macro="">
      <xdr:nvGraphicFramePr>
        <xdr:cNvPr id="25" name="Chart 24">
          <a:extLst>
            <a:ext uri="{FF2B5EF4-FFF2-40B4-BE49-F238E27FC236}">
              <a16:creationId xmlns:a16="http://schemas.microsoft.com/office/drawing/2014/main" id="{A6B60001-309E-601A-D003-215E1F984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53340</xdr:colOff>
      <xdr:row>336</xdr:row>
      <xdr:rowOff>72390</xdr:rowOff>
    </xdr:from>
    <xdr:to>
      <xdr:col>11</xdr:col>
      <xdr:colOff>205740</xdr:colOff>
      <xdr:row>351</xdr:row>
      <xdr:rowOff>72390</xdr:rowOff>
    </xdr:to>
    <xdr:graphicFrame macro="">
      <xdr:nvGraphicFramePr>
        <xdr:cNvPr id="26" name="Chart 25">
          <a:extLst>
            <a:ext uri="{FF2B5EF4-FFF2-40B4-BE49-F238E27FC236}">
              <a16:creationId xmlns:a16="http://schemas.microsoft.com/office/drawing/2014/main" id="{E19B9820-07C5-A41F-D230-DB0397CFE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228600</xdr:colOff>
      <xdr:row>352</xdr:row>
      <xdr:rowOff>57150</xdr:rowOff>
    </xdr:from>
    <xdr:to>
      <xdr:col>11</xdr:col>
      <xdr:colOff>38100</xdr:colOff>
      <xdr:row>367</xdr:row>
      <xdr:rowOff>57150</xdr:rowOff>
    </xdr:to>
    <xdr:graphicFrame macro="">
      <xdr:nvGraphicFramePr>
        <xdr:cNvPr id="27" name="Chart 26">
          <a:extLst>
            <a:ext uri="{FF2B5EF4-FFF2-40B4-BE49-F238E27FC236}">
              <a16:creationId xmlns:a16="http://schemas.microsoft.com/office/drawing/2014/main" id="{BD3EBD0C-592B-17BD-7B4C-775B23F7B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99060</xdr:colOff>
      <xdr:row>368</xdr:row>
      <xdr:rowOff>171450</xdr:rowOff>
    </xdr:from>
    <xdr:to>
      <xdr:col>10</xdr:col>
      <xdr:colOff>213360</xdr:colOff>
      <xdr:row>383</xdr:row>
      <xdr:rowOff>171450</xdr:rowOff>
    </xdr:to>
    <xdr:graphicFrame macro="">
      <xdr:nvGraphicFramePr>
        <xdr:cNvPr id="28" name="Chart 27">
          <a:extLst>
            <a:ext uri="{FF2B5EF4-FFF2-40B4-BE49-F238E27FC236}">
              <a16:creationId xmlns:a16="http://schemas.microsoft.com/office/drawing/2014/main" id="{A1B96E7F-2CC0-A5EC-42A8-A3FAF5E61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45720</xdr:rowOff>
    </xdr:from>
    <xdr:to>
      <xdr:col>21</xdr:col>
      <xdr:colOff>533400</xdr:colOff>
      <xdr:row>37</xdr:row>
      <xdr:rowOff>38100</xdr:rowOff>
    </xdr:to>
    <xdr:sp macro="" textlink="">
      <xdr:nvSpPr>
        <xdr:cNvPr id="13" name="Rectangle: Rounded Corners 12">
          <a:extLst>
            <a:ext uri="{FF2B5EF4-FFF2-40B4-BE49-F238E27FC236}">
              <a16:creationId xmlns:a16="http://schemas.microsoft.com/office/drawing/2014/main" id="{0419E56C-97A7-C19D-2460-BBE41B6F2AF9}"/>
            </a:ext>
          </a:extLst>
        </xdr:cNvPr>
        <xdr:cNvSpPr/>
      </xdr:nvSpPr>
      <xdr:spPr>
        <a:xfrm>
          <a:off x="0" y="1363980"/>
          <a:ext cx="13540740" cy="5486400"/>
        </a:xfrm>
        <a:prstGeom prst="roundRect">
          <a:avLst>
            <a:gd name="adj" fmla="val 2333"/>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7</xdr:row>
      <xdr:rowOff>76200</xdr:rowOff>
    </xdr:from>
    <xdr:to>
      <xdr:col>5</xdr:col>
      <xdr:colOff>259080</xdr:colOff>
      <xdr:row>22</xdr:row>
      <xdr:rowOff>68580</xdr:rowOff>
    </xdr:to>
    <xdr:graphicFrame macro="">
      <xdr:nvGraphicFramePr>
        <xdr:cNvPr id="14" name="Chart 13">
          <a:extLst>
            <a:ext uri="{FF2B5EF4-FFF2-40B4-BE49-F238E27FC236}">
              <a16:creationId xmlns:a16="http://schemas.microsoft.com/office/drawing/2014/main" id="{CED78722-CE78-4E4F-8DCE-802AC2698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68580</xdr:colOff>
      <xdr:row>4</xdr:row>
      <xdr:rowOff>152400</xdr:rowOff>
    </xdr:from>
    <xdr:to>
      <xdr:col>21</xdr:col>
      <xdr:colOff>518160</xdr:colOff>
      <xdr:row>12</xdr:row>
      <xdr:rowOff>113732</xdr:rowOff>
    </xdr:to>
    <mc:AlternateContent xmlns:mc="http://schemas.openxmlformats.org/markup-compatibility/2006" xmlns:a14="http://schemas.microsoft.com/office/drawing/2010/main">
      <mc:Choice Requires="a14">
        <xdr:graphicFrame macro="">
          <xdr:nvGraphicFramePr>
            <xdr:cNvPr id="15" name="Department 1">
              <a:extLst>
                <a:ext uri="{FF2B5EF4-FFF2-40B4-BE49-F238E27FC236}">
                  <a16:creationId xmlns:a16="http://schemas.microsoft.com/office/drawing/2014/main" id="{6E72144F-F54F-4B80-BE97-7936DE8CF8F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586980" y="897467"/>
              <a:ext cx="5935980" cy="1485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0</xdr:row>
      <xdr:rowOff>68580</xdr:rowOff>
    </xdr:from>
    <xdr:to>
      <xdr:col>21</xdr:col>
      <xdr:colOff>586740</xdr:colOff>
      <xdr:row>4</xdr:row>
      <xdr:rowOff>137160</xdr:rowOff>
    </xdr:to>
    <xdr:sp macro="" textlink="">
      <xdr:nvSpPr>
        <xdr:cNvPr id="22" name="Rectangle: Rounded Corners 21">
          <a:extLst>
            <a:ext uri="{FF2B5EF4-FFF2-40B4-BE49-F238E27FC236}">
              <a16:creationId xmlns:a16="http://schemas.microsoft.com/office/drawing/2014/main" id="{1FC1E9D0-5B44-4D23-630C-406E414DB622}"/>
            </a:ext>
          </a:extLst>
        </xdr:cNvPr>
        <xdr:cNvSpPr/>
      </xdr:nvSpPr>
      <xdr:spPr>
        <a:xfrm>
          <a:off x="7620" y="68580"/>
          <a:ext cx="13586460" cy="8001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0</xdr:row>
      <xdr:rowOff>15240</xdr:rowOff>
    </xdr:from>
    <xdr:to>
      <xdr:col>21</xdr:col>
      <xdr:colOff>574040</xdr:colOff>
      <xdr:row>2</xdr:row>
      <xdr:rowOff>163286</xdr:rowOff>
    </xdr:to>
    <xdr:sp macro="" textlink="">
      <xdr:nvSpPr>
        <xdr:cNvPr id="23" name="Rectangle: Rounded Corners 22">
          <a:extLst>
            <a:ext uri="{FF2B5EF4-FFF2-40B4-BE49-F238E27FC236}">
              <a16:creationId xmlns:a16="http://schemas.microsoft.com/office/drawing/2014/main" id="{EA260EAC-AB19-4727-BB42-9D2D15F2E729}"/>
            </a:ext>
          </a:extLst>
        </xdr:cNvPr>
        <xdr:cNvSpPr/>
      </xdr:nvSpPr>
      <xdr:spPr>
        <a:xfrm>
          <a:off x="30480" y="15240"/>
          <a:ext cx="13550900" cy="513806"/>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chemeClr val="tx2">
                  <a:lumMod val="50000"/>
                  <a:lumOff val="50000"/>
                </a:schemeClr>
              </a:solidFill>
            </a:rPr>
            <a:t>EXECUTIVE OVERVIEW </a:t>
          </a:r>
          <a:endParaRPr lang="en-IN" sz="2800" b="1">
            <a:solidFill>
              <a:schemeClr val="tx2">
                <a:lumMod val="50000"/>
                <a:lumOff val="50000"/>
              </a:schemeClr>
            </a:solidFill>
          </a:endParaRPr>
        </a:p>
      </xdr:txBody>
    </xdr:sp>
    <xdr:clientData/>
  </xdr:twoCellAnchor>
  <xdr:twoCellAnchor>
    <xdr:from>
      <xdr:col>0</xdr:col>
      <xdr:colOff>121920</xdr:colOff>
      <xdr:row>3</xdr:row>
      <xdr:rowOff>15240</xdr:rowOff>
    </xdr:from>
    <xdr:to>
      <xdr:col>3</xdr:col>
      <xdr:colOff>10160</xdr:colOff>
      <xdr:row>4</xdr:row>
      <xdr:rowOff>96156</xdr:rowOff>
    </xdr:to>
    <xdr:sp macro="" textlink="">
      <xdr:nvSpPr>
        <xdr:cNvPr id="24" name="Rectangle: Rounded Corners 23">
          <a:hlinkClick xmlns:r="http://schemas.openxmlformats.org/officeDocument/2006/relationships" r:id="rId2"/>
          <a:extLst>
            <a:ext uri="{FF2B5EF4-FFF2-40B4-BE49-F238E27FC236}">
              <a16:creationId xmlns:a16="http://schemas.microsoft.com/office/drawing/2014/main" id="{82F6817E-CDA8-4598-80AD-E1AC5BA76984}"/>
            </a:ext>
          </a:extLst>
        </xdr:cNvPr>
        <xdr:cNvSpPr/>
      </xdr:nvSpPr>
      <xdr:spPr>
        <a:xfrm>
          <a:off x="121920" y="563880"/>
          <a:ext cx="1717040" cy="263796"/>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OVERVIEW</a:t>
          </a:r>
        </a:p>
      </xdr:txBody>
    </xdr:sp>
    <xdr:clientData/>
  </xdr:twoCellAnchor>
  <xdr:twoCellAnchor>
    <xdr:from>
      <xdr:col>12</xdr:col>
      <xdr:colOff>114300</xdr:colOff>
      <xdr:row>3</xdr:row>
      <xdr:rowOff>15240</xdr:rowOff>
    </xdr:from>
    <xdr:to>
      <xdr:col>14</xdr:col>
      <xdr:colOff>510540</xdr:colOff>
      <xdr:row>4</xdr:row>
      <xdr:rowOff>96156</xdr:rowOff>
    </xdr:to>
    <xdr:sp macro="" textlink="">
      <xdr:nvSpPr>
        <xdr:cNvPr id="25" name="Rectangle: Rounded Corners 24">
          <a:hlinkClick xmlns:r="http://schemas.openxmlformats.org/officeDocument/2006/relationships" r:id="rId3"/>
          <a:extLst>
            <a:ext uri="{FF2B5EF4-FFF2-40B4-BE49-F238E27FC236}">
              <a16:creationId xmlns:a16="http://schemas.microsoft.com/office/drawing/2014/main" id="{88855F62-AA23-4F07-BDCD-4CAD891C803D}"/>
            </a:ext>
          </a:extLst>
        </xdr:cNvPr>
        <xdr:cNvSpPr/>
      </xdr:nvSpPr>
      <xdr:spPr>
        <a:xfrm>
          <a:off x="7635240" y="56388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PRODUCTIVITY</a:t>
          </a:r>
        </a:p>
      </xdr:txBody>
    </xdr:sp>
    <xdr:clientData/>
  </xdr:twoCellAnchor>
  <xdr:twoCellAnchor>
    <xdr:from>
      <xdr:col>8</xdr:col>
      <xdr:colOff>548640</xdr:colOff>
      <xdr:row>3</xdr:row>
      <xdr:rowOff>22860</xdr:rowOff>
    </xdr:from>
    <xdr:to>
      <xdr:col>11</xdr:col>
      <xdr:colOff>541020</xdr:colOff>
      <xdr:row>4</xdr:row>
      <xdr:rowOff>103776</xdr:rowOff>
    </xdr:to>
    <xdr:sp macro="" textlink="">
      <xdr:nvSpPr>
        <xdr:cNvPr id="26" name="Rectangle: Rounded Corners 25">
          <a:hlinkClick xmlns:r="http://schemas.openxmlformats.org/officeDocument/2006/relationships" r:id="rId4"/>
          <a:extLst>
            <a:ext uri="{FF2B5EF4-FFF2-40B4-BE49-F238E27FC236}">
              <a16:creationId xmlns:a16="http://schemas.microsoft.com/office/drawing/2014/main" id="{85FF35BB-BBA6-4BE1-95F9-1E99540F3603}"/>
            </a:ext>
          </a:extLst>
        </xdr:cNvPr>
        <xdr:cNvSpPr/>
      </xdr:nvSpPr>
      <xdr:spPr>
        <a:xfrm>
          <a:off x="5631180" y="571500"/>
          <a:ext cx="182118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COMPENSATION</a:t>
          </a:r>
        </a:p>
      </xdr:txBody>
    </xdr:sp>
    <xdr:clientData/>
  </xdr:twoCellAnchor>
  <xdr:twoCellAnchor>
    <xdr:from>
      <xdr:col>3</xdr:col>
      <xdr:colOff>213360</xdr:colOff>
      <xdr:row>3</xdr:row>
      <xdr:rowOff>15240</xdr:rowOff>
    </xdr:from>
    <xdr:to>
      <xdr:col>6</xdr:col>
      <xdr:colOff>0</xdr:colOff>
      <xdr:row>4</xdr:row>
      <xdr:rowOff>96156</xdr:rowOff>
    </xdr:to>
    <xdr:sp macro="" textlink="">
      <xdr:nvSpPr>
        <xdr:cNvPr id="27" name="Rectangle: Rounded Corners 26">
          <a:hlinkClick xmlns:r="http://schemas.openxmlformats.org/officeDocument/2006/relationships" r:id="rId5"/>
          <a:extLst>
            <a:ext uri="{FF2B5EF4-FFF2-40B4-BE49-F238E27FC236}">
              <a16:creationId xmlns:a16="http://schemas.microsoft.com/office/drawing/2014/main" id="{0BCCFD09-FC59-4DD1-A8B5-E32D3825C4E4}"/>
            </a:ext>
          </a:extLst>
        </xdr:cNvPr>
        <xdr:cNvSpPr/>
      </xdr:nvSpPr>
      <xdr:spPr>
        <a:xfrm>
          <a:off x="2042160" y="56388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WORKFORCE</a:t>
          </a:r>
        </a:p>
      </xdr:txBody>
    </xdr:sp>
    <xdr:clientData/>
  </xdr:twoCellAnchor>
  <xdr:twoCellAnchor>
    <xdr:from>
      <xdr:col>6</xdr:col>
      <xdr:colOff>220980</xdr:colOff>
      <xdr:row>3</xdr:row>
      <xdr:rowOff>7620</xdr:rowOff>
    </xdr:from>
    <xdr:to>
      <xdr:col>8</xdr:col>
      <xdr:colOff>411480</xdr:colOff>
      <xdr:row>4</xdr:row>
      <xdr:rowOff>88536</xdr:rowOff>
    </xdr:to>
    <xdr:sp macro="" textlink="">
      <xdr:nvSpPr>
        <xdr:cNvPr id="28" name="Rectangle: Rounded Corners 27">
          <a:hlinkClick xmlns:r="http://schemas.openxmlformats.org/officeDocument/2006/relationships" r:id="rId6"/>
          <a:extLst>
            <a:ext uri="{FF2B5EF4-FFF2-40B4-BE49-F238E27FC236}">
              <a16:creationId xmlns:a16="http://schemas.microsoft.com/office/drawing/2014/main" id="{D4609276-5F86-48AF-8092-219347EFEB3F}"/>
            </a:ext>
          </a:extLst>
        </xdr:cNvPr>
        <xdr:cNvSpPr/>
      </xdr:nvSpPr>
      <xdr:spPr>
        <a:xfrm>
          <a:off x="3878580" y="55626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RECUITMENT</a:t>
          </a:r>
        </a:p>
      </xdr:txBody>
    </xdr:sp>
    <xdr:clientData/>
  </xdr:twoCellAnchor>
  <xdr:twoCellAnchor>
    <xdr:from>
      <xdr:col>5</xdr:col>
      <xdr:colOff>304800</xdr:colOff>
      <xdr:row>7</xdr:row>
      <xdr:rowOff>76200</xdr:rowOff>
    </xdr:from>
    <xdr:to>
      <xdr:col>12</xdr:col>
      <xdr:colOff>30480</xdr:colOff>
      <xdr:row>22</xdr:row>
      <xdr:rowOff>68580</xdr:rowOff>
    </xdr:to>
    <xdr:graphicFrame macro="">
      <xdr:nvGraphicFramePr>
        <xdr:cNvPr id="29" name="Chart 28">
          <a:extLst>
            <a:ext uri="{FF2B5EF4-FFF2-40B4-BE49-F238E27FC236}">
              <a16:creationId xmlns:a16="http://schemas.microsoft.com/office/drawing/2014/main" id="{85248096-BA4D-4947-B04B-2AAD1D75B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41966</xdr:colOff>
      <xdr:row>24</xdr:row>
      <xdr:rowOff>25400</xdr:rowOff>
    </xdr:from>
    <xdr:to>
      <xdr:col>21</xdr:col>
      <xdr:colOff>476306</xdr:colOff>
      <xdr:row>36</xdr:row>
      <xdr:rowOff>180252</xdr:rowOff>
    </xdr:to>
    <xdr:graphicFrame macro="">
      <xdr:nvGraphicFramePr>
        <xdr:cNvPr id="31" name="Chart 30">
          <a:extLst>
            <a:ext uri="{FF2B5EF4-FFF2-40B4-BE49-F238E27FC236}">
              <a16:creationId xmlns:a16="http://schemas.microsoft.com/office/drawing/2014/main" id="{63F90D6D-5A76-4B29-98D8-878894A2F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33867</xdr:colOff>
      <xdr:row>24</xdr:row>
      <xdr:rowOff>70437</xdr:rowOff>
    </xdr:from>
    <xdr:to>
      <xdr:col>12</xdr:col>
      <xdr:colOff>33867</xdr:colOff>
      <xdr:row>37</xdr:row>
      <xdr:rowOff>0</xdr:rowOff>
    </xdr:to>
    <xdr:graphicFrame macro="">
      <xdr:nvGraphicFramePr>
        <xdr:cNvPr id="5" name="Chart 4">
          <a:extLst>
            <a:ext uri="{FF2B5EF4-FFF2-40B4-BE49-F238E27FC236}">
              <a16:creationId xmlns:a16="http://schemas.microsoft.com/office/drawing/2014/main" id="{11999FA5-F531-4EF7-A170-091385360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67734</xdr:colOff>
      <xdr:row>12</xdr:row>
      <xdr:rowOff>152399</xdr:rowOff>
    </xdr:from>
    <xdr:to>
      <xdr:col>21</xdr:col>
      <xdr:colOff>508000</xdr:colOff>
      <xdr:row>24</xdr:row>
      <xdr:rowOff>2</xdr:rowOff>
    </xdr:to>
    <xdr:graphicFrame macro="">
      <xdr:nvGraphicFramePr>
        <xdr:cNvPr id="7" name="Chart 6">
          <a:extLst>
            <a:ext uri="{FF2B5EF4-FFF2-40B4-BE49-F238E27FC236}">
              <a16:creationId xmlns:a16="http://schemas.microsoft.com/office/drawing/2014/main" id="{F06367D8-7AA1-4F93-9C77-B395D78FE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575592</xdr:colOff>
      <xdr:row>13</xdr:row>
      <xdr:rowOff>2519</xdr:rowOff>
    </xdr:from>
    <xdr:to>
      <xdr:col>15</xdr:col>
      <xdr:colOff>566777</xdr:colOff>
      <xdr:row>14</xdr:row>
      <xdr:rowOff>56677</xdr:rowOff>
    </xdr:to>
    <xdr:sp macro="" textlink="">
      <xdr:nvSpPr>
        <xdr:cNvPr id="8" name="TextBox 7">
          <a:extLst>
            <a:ext uri="{FF2B5EF4-FFF2-40B4-BE49-F238E27FC236}">
              <a16:creationId xmlns:a16="http://schemas.microsoft.com/office/drawing/2014/main" id="{F7662983-305F-BEAA-5A9B-240D20ED4856}"/>
            </a:ext>
          </a:extLst>
        </xdr:cNvPr>
        <xdr:cNvSpPr txBox="1"/>
      </xdr:nvSpPr>
      <xdr:spPr>
        <a:xfrm>
          <a:off x="8107427" y="2414469"/>
          <a:ext cx="1823763" cy="23678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Employees </a:t>
          </a:r>
          <a:r>
            <a:rPr lang="en-IN" sz="1100" b="1" baseline="0"/>
            <a:t> On Each City</a:t>
          </a:r>
          <a:endParaRPr lang="en-IN" sz="1100" b="1"/>
        </a:p>
      </xdr:txBody>
    </xdr:sp>
    <xdr:clientData/>
  </xdr:twoCellAnchor>
  <xdr:twoCellAnchor>
    <xdr:from>
      <xdr:col>0</xdr:col>
      <xdr:colOff>44824</xdr:colOff>
      <xdr:row>22</xdr:row>
      <xdr:rowOff>102454</xdr:rowOff>
    </xdr:from>
    <xdr:to>
      <xdr:col>12</xdr:col>
      <xdr:colOff>19211</xdr:colOff>
      <xdr:row>24</xdr:row>
      <xdr:rowOff>51227</xdr:rowOff>
    </xdr:to>
    <xdr:sp macro="" textlink="">
      <xdr:nvSpPr>
        <xdr:cNvPr id="9" name="TextBox 8">
          <a:extLst>
            <a:ext uri="{FF2B5EF4-FFF2-40B4-BE49-F238E27FC236}">
              <a16:creationId xmlns:a16="http://schemas.microsoft.com/office/drawing/2014/main" id="{B5E782AE-47EC-F1EA-FDB5-34A15E0E9783}"/>
            </a:ext>
          </a:extLst>
        </xdr:cNvPr>
        <xdr:cNvSpPr txBox="1"/>
      </xdr:nvSpPr>
      <xdr:spPr>
        <a:xfrm>
          <a:off x="44824" y="4226219"/>
          <a:ext cx="7479126" cy="3201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EMPLOYEES IN EACH DEPARTMENT</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0.0851</cdr:x>
      <cdr:y>0.06424</cdr:y>
    </cdr:from>
    <cdr:to>
      <cdr:x>0.46054</cdr:x>
      <cdr:y>0.17542</cdr:y>
    </cdr:to>
    <cdr:sp macro="" textlink="">
      <cdr:nvSpPr>
        <cdr:cNvPr id="2" name="TextBox 1">
          <a:extLst xmlns:a="http://schemas.openxmlformats.org/drawingml/2006/main">
            <a:ext uri="{FF2B5EF4-FFF2-40B4-BE49-F238E27FC236}">
              <a16:creationId xmlns:a16="http://schemas.microsoft.com/office/drawing/2014/main" id="{BEA700C2-87B4-3A5C-0CC7-25F14638C658}"/>
            </a:ext>
          </a:extLst>
        </cdr:cNvPr>
        <cdr:cNvSpPr txBox="1"/>
      </cdr:nvSpPr>
      <cdr:spPr>
        <a:xfrm xmlns:a="http://schemas.openxmlformats.org/drawingml/2006/main">
          <a:off x="505340" y="130990"/>
          <a:ext cx="2229322" cy="2267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68580</xdr:colOff>
      <xdr:row>0</xdr:row>
      <xdr:rowOff>53340</xdr:rowOff>
    </xdr:from>
    <xdr:to>
      <xdr:col>22</xdr:col>
      <xdr:colOff>228600</xdr:colOff>
      <xdr:row>32</xdr:row>
      <xdr:rowOff>160020</xdr:rowOff>
    </xdr:to>
    <xdr:sp macro="" textlink="">
      <xdr:nvSpPr>
        <xdr:cNvPr id="2" name="Rectangle: Rounded Corners 1">
          <a:extLst>
            <a:ext uri="{FF2B5EF4-FFF2-40B4-BE49-F238E27FC236}">
              <a16:creationId xmlns:a16="http://schemas.microsoft.com/office/drawing/2014/main" id="{36BFC59F-884B-478A-AA2C-79D364E888C3}"/>
            </a:ext>
          </a:extLst>
        </xdr:cNvPr>
        <xdr:cNvSpPr/>
      </xdr:nvSpPr>
      <xdr:spPr>
        <a:xfrm>
          <a:off x="68580" y="53340"/>
          <a:ext cx="13571220" cy="5958840"/>
        </a:xfrm>
        <a:prstGeom prst="roundRect">
          <a:avLst>
            <a:gd name="adj" fmla="val 1417"/>
          </a:avLst>
        </a:prstGeom>
        <a:solidFill>
          <a:schemeClr val="tx2">
            <a:lumMod val="25000"/>
            <a:lumOff val="7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76200</xdr:colOff>
      <xdr:row>0</xdr:row>
      <xdr:rowOff>83820</xdr:rowOff>
    </xdr:from>
    <xdr:to>
      <xdr:col>22</xdr:col>
      <xdr:colOff>215900</xdr:colOff>
      <xdr:row>3</xdr:row>
      <xdr:rowOff>48986</xdr:rowOff>
    </xdr:to>
    <xdr:sp macro="" textlink="">
      <xdr:nvSpPr>
        <xdr:cNvPr id="3" name="Rectangle: Rounded Corners 2">
          <a:extLst>
            <a:ext uri="{FF2B5EF4-FFF2-40B4-BE49-F238E27FC236}">
              <a16:creationId xmlns:a16="http://schemas.microsoft.com/office/drawing/2014/main" id="{CE00AF11-F929-4360-ABDF-13E7A3861FA7}"/>
            </a:ext>
          </a:extLst>
        </xdr:cNvPr>
        <xdr:cNvSpPr/>
      </xdr:nvSpPr>
      <xdr:spPr>
        <a:xfrm>
          <a:off x="76200" y="83820"/>
          <a:ext cx="13550900" cy="513806"/>
        </a:xfrm>
        <a:prstGeom prst="roundRect">
          <a:avLst>
            <a:gd name="adj" fmla="val 24082"/>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chemeClr val="tx2">
                  <a:lumMod val="50000"/>
                  <a:lumOff val="50000"/>
                </a:schemeClr>
              </a:solidFill>
            </a:rPr>
            <a:t>WORKFORCE ANALYSIS </a:t>
          </a:r>
          <a:endParaRPr lang="en-IN" sz="2800" b="1">
            <a:solidFill>
              <a:schemeClr val="tx2">
                <a:lumMod val="50000"/>
                <a:lumOff val="50000"/>
              </a:schemeClr>
            </a:solidFill>
          </a:endParaRPr>
        </a:p>
      </xdr:txBody>
    </xdr:sp>
    <xdr:clientData/>
  </xdr:twoCellAnchor>
  <xdr:twoCellAnchor>
    <xdr:from>
      <xdr:col>0</xdr:col>
      <xdr:colOff>121920</xdr:colOff>
      <xdr:row>3</xdr:row>
      <xdr:rowOff>91440</xdr:rowOff>
    </xdr:from>
    <xdr:to>
      <xdr:col>3</xdr:col>
      <xdr:colOff>10160</xdr:colOff>
      <xdr:row>4</xdr:row>
      <xdr:rowOff>172356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71995FB6-3F44-4557-BAB9-22B8D82F4682}"/>
            </a:ext>
          </a:extLst>
        </xdr:cNvPr>
        <xdr:cNvSpPr/>
      </xdr:nvSpPr>
      <xdr:spPr>
        <a:xfrm>
          <a:off x="121920" y="640080"/>
          <a:ext cx="17170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OVERVIEW</a:t>
          </a:r>
        </a:p>
      </xdr:txBody>
    </xdr:sp>
    <xdr:clientData/>
  </xdr:twoCellAnchor>
  <xdr:twoCellAnchor>
    <xdr:from>
      <xdr:col>3</xdr:col>
      <xdr:colOff>160020</xdr:colOff>
      <xdr:row>3</xdr:row>
      <xdr:rowOff>91440</xdr:rowOff>
    </xdr:from>
    <xdr:to>
      <xdr:col>5</xdr:col>
      <xdr:colOff>556260</xdr:colOff>
      <xdr:row>4</xdr:row>
      <xdr:rowOff>172356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C7A6954E-B1A2-4924-B79C-ED1C402DBB5B}"/>
            </a:ext>
          </a:extLst>
        </xdr:cNvPr>
        <xdr:cNvSpPr/>
      </xdr:nvSpPr>
      <xdr:spPr>
        <a:xfrm>
          <a:off x="1988820" y="640080"/>
          <a:ext cx="1615440" cy="263796"/>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WORKFORCE</a:t>
          </a:r>
        </a:p>
      </xdr:txBody>
    </xdr:sp>
    <xdr:clientData/>
  </xdr:twoCellAnchor>
  <xdr:twoCellAnchor>
    <xdr:from>
      <xdr:col>6</xdr:col>
      <xdr:colOff>129540</xdr:colOff>
      <xdr:row>3</xdr:row>
      <xdr:rowOff>91440</xdr:rowOff>
    </xdr:from>
    <xdr:to>
      <xdr:col>8</xdr:col>
      <xdr:colOff>525780</xdr:colOff>
      <xdr:row>4</xdr:row>
      <xdr:rowOff>172356</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A3AA77FF-C427-43D3-AF34-D1EFEB915E5B}"/>
            </a:ext>
          </a:extLst>
        </xdr:cNvPr>
        <xdr:cNvSpPr/>
      </xdr:nvSpPr>
      <xdr:spPr>
        <a:xfrm>
          <a:off x="3787140" y="64008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RECUITMENT</a:t>
          </a:r>
        </a:p>
      </xdr:txBody>
    </xdr:sp>
    <xdr:clientData/>
  </xdr:twoCellAnchor>
  <xdr:twoCellAnchor>
    <xdr:from>
      <xdr:col>9</xdr:col>
      <xdr:colOff>121920</xdr:colOff>
      <xdr:row>3</xdr:row>
      <xdr:rowOff>91440</xdr:rowOff>
    </xdr:from>
    <xdr:to>
      <xdr:col>12</xdr:col>
      <xdr:colOff>114300</xdr:colOff>
      <xdr:row>4</xdr:row>
      <xdr:rowOff>172356</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510C2A61-38EB-4A5B-AC9E-C18CE69CDA31}"/>
            </a:ext>
          </a:extLst>
        </xdr:cNvPr>
        <xdr:cNvSpPr/>
      </xdr:nvSpPr>
      <xdr:spPr>
        <a:xfrm>
          <a:off x="5608320" y="640080"/>
          <a:ext cx="182118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COMPENSATION</a:t>
          </a:r>
        </a:p>
      </xdr:txBody>
    </xdr:sp>
    <xdr:clientData/>
  </xdr:twoCellAnchor>
  <xdr:twoCellAnchor>
    <xdr:from>
      <xdr:col>12</xdr:col>
      <xdr:colOff>342900</xdr:colOff>
      <xdr:row>3</xdr:row>
      <xdr:rowOff>83820</xdr:rowOff>
    </xdr:from>
    <xdr:to>
      <xdr:col>15</xdr:col>
      <xdr:colOff>129540</xdr:colOff>
      <xdr:row>4</xdr:row>
      <xdr:rowOff>164736</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662A2D31-368A-407F-9FEE-8EC8802E70D2}"/>
            </a:ext>
          </a:extLst>
        </xdr:cNvPr>
        <xdr:cNvSpPr/>
      </xdr:nvSpPr>
      <xdr:spPr>
        <a:xfrm>
          <a:off x="7658100" y="63246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PRODUCTIVITY</a:t>
          </a:r>
        </a:p>
      </xdr:txBody>
    </xdr:sp>
    <xdr:clientData/>
  </xdr:twoCellAnchor>
  <xdr:twoCellAnchor>
    <xdr:from>
      <xdr:col>0</xdr:col>
      <xdr:colOff>99060</xdr:colOff>
      <xdr:row>5</xdr:row>
      <xdr:rowOff>22860</xdr:rowOff>
    </xdr:from>
    <xdr:to>
      <xdr:col>7</xdr:col>
      <xdr:colOff>403860</xdr:colOff>
      <xdr:row>32</xdr:row>
      <xdr:rowOff>119529</xdr:rowOff>
    </xdr:to>
    <xdr:graphicFrame macro="">
      <xdr:nvGraphicFramePr>
        <xdr:cNvPr id="10" name="Chart 9">
          <a:extLst>
            <a:ext uri="{FF2B5EF4-FFF2-40B4-BE49-F238E27FC236}">
              <a16:creationId xmlns:a16="http://schemas.microsoft.com/office/drawing/2014/main" id="{72960509-CBDA-4A9F-89E8-2812D3256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83820</xdr:colOff>
      <xdr:row>4</xdr:row>
      <xdr:rowOff>175260</xdr:rowOff>
    </xdr:from>
    <xdr:to>
      <xdr:col>22</xdr:col>
      <xdr:colOff>190500</xdr:colOff>
      <xdr:row>32</xdr:row>
      <xdr:rowOff>121920</xdr:rowOff>
    </xdr:to>
    <xdr:graphicFrame macro="">
      <xdr:nvGraphicFramePr>
        <xdr:cNvPr id="11" name="Chart 10">
          <a:extLst>
            <a:ext uri="{FF2B5EF4-FFF2-40B4-BE49-F238E27FC236}">
              <a16:creationId xmlns:a16="http://schemas.microsoft.com/office/drawing/2014/main" id="{5C2E0EC1-02FE-4E77-960C-CEF96B6B7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434340</xdr:colOff>
      <xdr:row>5</xdr:row>
      <xdr:rowOff>22860</xdr:rowOff>
    </xdr:from>
    <xdr:to>
      <xdr:col>15</xdr:col>
      <xdr:colOff>45720</xdr:colOff>
      <xdr:row>32</xdr:row>
      <xdr:rowOff>106680</xdr:rowOff>
    </xdr:to>
    <xdr:graphicFrame macro="">
      <xdr:nvGraphicFramePr>
        <xdr:cNvPr id="12" name="Chart 11">
          <a:extLst>
            <a:ext uri="{FF2B5EF4-FFF2-40B4-BE49-F238E27FC236}">
              <a16:creationId xmlns:a16="http://schemas.microsoft.com/office/drawing/2014/main" id="{4B8936F4-F999-4CA0-AABE-B32A2B709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160020</xdr:colOff>
      <xdr:row>32</xdr:row>
      <xdr:rowOff>106680</xdr:rowOff>
    </xdr:to>
    <xdr:sp macro="" textlink="">
      <xdr:nvSpPr>
        <xdr:cNvPr id="2" name="Rectangle: Rounded Corners 1">
          <a:extLst>
            <a:ext uri="{FF2B5EF4-FFF2-40B4-BE49-F238E27FC236}">
              <a16:creationId xmlns:a16="http://schemas.microsoft.com/office/drawing/2014/main" id="{79AF5398-41C6-40CC-AEA6-E9FBC3C404F2}"/>
            </a:ext>
          </a:extLst>
        </xdr:cNvPr>
        <xdr:cNvSpPr/>
      </xdr:nvSpPr>
      <xdr:spPr>
        <a:xfrm>
          <a:off x="0" y="0"/>
          <a:ext cx="13571220" cy="5958840"/>
        </a:xfrm>
        <a:prstGeom prst="roundRect">
          <a:avLst>
            <a:gd name="adj" fmla="val 1417"/>
          </a:avLst>
        </a:prstGeom>
        <a:solidFill>
          <a:schemeClr val="tx2">
            <a:lumMod val="25000"/>
            <a:lumOff val="7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0</xdr:colOff>
      <xdr:row>0</xdr:row>
      <xdr:rowOff>0</xdr:rowOff>
    </xdr:from>
    <xdr:to>
      <xdr:col>22</xdr:col>
      <xdr:colOff>139700</xdr:colOff>
      <xdr:row>2</xdr:row>
      <xdr:rowOff>148046</xdr:rowOff>
    </xdr:to>
    <xdr:sp macro="" textlink="">
      <xdr:nvSpPr>
        <xdr:cNvPr id="3" name="Rectangle: Rounded Corners 2">
          <a:extLst>
            <a:ext uri="{FF2B5EF4-FFF2-40B4-BE49-F238E27FC236}">
              <a16:creationId xmlns:a16="http://schemas.microsoft.com/office/drawing/2014/main" id="{AE28A84B-63A4-49EF-947E-577F45DC8544}"/>
            </a:ext>
          </a:extLst>
        </xdr:cNvPr>
        <xdr:cNvSpPr/>
      </xdr:nvSpPr>
      <xdr:spPr>
        <a:xfrm>
          <a:off x="0" y="0"/>
          <a:ext cx="13550900" cy="513806"/>
        </a:xfrm>
        <a:prstGeom prst="roundRect">
          <a:avLst>
            <a:gd name="adj" fmla="val 24082"/>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chemeClr val="tx2">
                  <a:lumMod val="50000"/>
                  <a:lumOff val="50000"/>
                </a:schemeClr>
              </a:solidFill>
            </a:rPr>
            <a:t>		RECUITMENT ANALYSIS </a:t>
          </a:r>
          <a:endParaRPr lang="en-IN" sz="2800" b="1">
            <a:solidFill>
              <a:schemeClr val="tx2">
                <a:lumMod val="50000"/>
                <a:lumOff val="50000"/>
              </a:schemeClr>
            </a:solidFill>
          </a:endParaRPr>
        </a:p>
      </xdr:txBody>
    </xdr:sp>
    <xdr:clientData/>
  </xdr:twoCellAnchor>
  <xdr:twoCellAnchor>
    <xdr:from>
      <xdr:col>12</xdr:col>
      <xdr:colOff>243840</xdr:colOff>
      <xdr:row>3</xdr:row>
      <xdr:rowOff>0</xdr:rowOff>
    </xdr:from>
    <xdr:to>
      <xdr:col>15</xdr:col>
      <xdr:colOff>30480</xdr:colOff>
      <xdr:row>4</xdr:row>
      <xdr:rowOff>80916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1BF7B7EE-E320-44C1-BEC2-9287504D8D9A}"/>
            </a:ext>
          </a:extLst>
        </xdr:cNvPr>
        <xdr:cNvSpPr/>
      </xdr:nvSpPr>
      <xdr:spPr>
        <a:xfrm>
          <a:off x="7559040" y="54864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PRODUCTIVITY</a:t>
          </a:r>
        </a:p>
      </xdr:txBody>
    </xdr:sp>
    <xdr:clientData/>
  </xdr:twoCellAnchor>
  <xdr:twoCellAnchor>
    <xdr:from>
      <xdr:col>3</xdr:col>
      <xdr:colOff>121920</xdr:colOff>
      <xdr:row>3</xdr:row>
      <xdr:rowOff>7620</xdr:rowOff>
    </xdr:from>
    <xdr:to>
      <xdr:col>5</xdr:col>
      <xdr:colOff>518160</xdr:colOff>
      <xdr:row>4</xdr:row>
      <xdr:rowOff>88536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3572ACA3-A65E-4E6B-9C62-09009885AC5D}"/>
            </a:ext>
          </a:extLst>
        </xdr:cNvPr>
        <xdr:cNvSpPr/>
      </xdr:nvSpPr>
      <xdr:spPr>
        <a:xfrm>
          <a:off x="1950720" y="55626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WORKFORCE</a:t>
          </a:r>
        </a:p>
      </xdr:txBody>
    </xdr:sp>
    <xdr:clientData/>
  </xdr:twoCellAnchor>
  <xdr:twoCellAnchor>
    <xdr:from>
      <xdr:col>0</xdr:col>
      <xdr:colOff>30480</xdr:colOff>
      <xdr:row>3</xdr:row>
      <xdr:rowOff>15240</xdr:rowOff>
    </xdr:from>
    <xdr:to>
      <xdr:col>2</xdr:col>
      <xdr:colOff>528320</xdr:colOff>
      <xdr:row>4</xdr:row>
      <xdr:rowOff>96156</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18B77386-56E4-4D00-9925-81F566C958FC}"/>
            </a:ext>
          </a:extLst>
        </xdr:cNvPr>
        <xdr:cNvSpPr/>
      </xdr:nvSpPr>
      <xdr:spPr>
        <a:xfrm>
          <a:off x="30480" y="563880"/>
          <a:ext cx="17170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OVERVIEW</a:t>
          </a:r>
        </a:p>
      </xdr:txBody>
    </xdr:sp>
    <xdr:clientData/>
  </xdr:twoCellAnchor>
  <xdr:twoCellAnchor>
    <xdr:from>
      <xdr:col>6</xdr:col>
      <xdr:colOff>152400</xdr:colOff>
      <xdr:row>3</xdr:row>
      <xdr:rowOff>7620</xdr:rowOff>
    </xdr:from>
    <xdr:to>
      <xdr:col>8</xdr:col>
      <xdr:colOff>548640</xdr:colOff>
      <xdr:row>4</xdr:row>
      <xdr:rowOff>88536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A9D553A0-D895-4F9C-B2E0-01A85B86BF1D}"/>
            </a:ext>
          </a:extLst>
        </xdr:cNvPr>
        <xdr:cNvSpPr/>
      </xdr:nvSpPr>
      <xdr:spPr>
        <a:xfrm>
          <a:off x="3810000" y="556260"/>
          <a:ext cx="1615440" cy="263796"/>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RECUITMENT</a:t>
          </a:r>
        </a:p>
      </xdr:txBody>
    </xdr:sp>
    <xdr:clientData/>
  </xdr:twoCellAnchor>
  <xdr:twoCellAnchor>
    <xdr:from>
      <xdr:col>9</xdr:col>
      <xdr:colOff>83820</xdr:colOff>
      <xdr:row>3</xdr:row>
      <xdr:rowOff>7620</xdr:rowOff>
    </xdr:from>
    <xdr:to>
      <xdr:col>12</xdr:col>
      <xdr:colOff>76200</xdr:colOff>
      <xdr:row>4</xdr:row>
      <xdr:rowOff>88536</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62ECCF68-2A53-4D5C-ABC4-D7BD5D6144A7}"/>
            </a:ext>
          </a:extLst>
        </xdr:cNvPr>
        <xdr:cNvSpPr/>
      </xdr:nvSpPr>
      <xdr:spPr>
        <a:xfrm>
          <a:off x="5570220" y="556260"/>
          <a:ext cx="182118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COMPENSATION</a:t>
          </a:r>
        </a:p>
      </xdr:txBody>
    </xdr:sp>
    <xdr:clientData/>
  </xdr:twoCellAnchor>
  <xdr:twoCellAnchor>
    <xdr:from>
      <xdr:col>0</xdr:col>
      <xdr:colOff>45720</xdr:colOff>
      <xdr:row>4</xdr:row>
      <xdr:rowOff>129540</xdr:rowOff>
    </xdr:from>
    <xdr:to>
      <xdr:col>8</xdr:col>
      <xdr:colOff>297180</xdr:colOff>
      <xdr:row>19</xdr:row>
      <xdr:rowOff>129540</xdr:rowOff>
    </xdr:to>
    <xdr:graphicFrame macro="">
      <xdr:nvGraphicFramePr>
        <xdr:cNvPr id="9" name="Chart 8">
          <a:extLst>
            <a:ext uri="{FF2B5EF4-FFF2-40B4-BE49-F238E27FC236}">
              <a16:creationId xmlns:a16="http://schemas.microsoft.com/office/drawing/2014/main" id="{A7C7CAFC-AB6B-4B26-93A2-76E601877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365760</xdr:colOff>
      <xdr:row>4</xdr:row>
      <xdr:rowOff>137160</xdr:rowOff>
    </xdr:from>
    <xdr:to>
      <xdr:col>17</xdr:col>
      <xdr:colOff>22860</xdr:colOff>
      <xdr:row>19</xdr:row>
      <xdr:rowOff>137160</xdr:rowOff>
    </xdr:to>
    <xdr:graphicFrame macro="">
      <xdr:nvGraphicFramePr>
        <xdr:cNvPr id="10" name="Chart 9">
          <a:extLst>
            <a:ext uri="{FF2B5EF4-FFF2-40B4-BE49-F238E27FC236}">
              <a16:creationId xmlns:a16="http://schemas.microsoft.com/office/drawing/2014/main" id="{A9ED7951-1670-4D17-980C-B210D148A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59376</xdr:colOff>
      <xdr:row>20</xdr:row>
      <xdr:rowOff>9896</xdr:rowOff>
    </xdr:from>
    <xdr:to>
      <xdr:col>17</xdr:col>
      <xdr:colOff>19792</xdr:colOff>
      <xdr:row>32</xdr:row>
      <xdr:rowOff>39584</xdr:rowOff>
    </xdr:to>
    <xdr:graphicFrame macro="">
      <xdr:nvGraphicFramePr>
        <xdr:cNvPr id="11" name="Chart 10">
          <a:extLst>
            <a:ext uri="{FF2B5EF4-FFF2-40B4-BE49-F238E27FC236}">
              <a16:creationId xmlns:a16="http://schemas.microsoft.com/office/drawing/2014/main" id="{A7D60A13-8FBE-48A5-80FA-C8618B6FE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79168</xdr:colOff>
      <xdr:row>3</xdr:row>
      <xdr:rowOff>9896</xdr:rowOff>
    </xdr:from>
    <xdr:to>
      <xdr:col>22</xdr:col>
      <xdr:colOff>89065</xdr:colOff>
      <xdr:row>32</xdr:row>
      <xdr:rowOff>59376</xdr:rowOff>
    </xdr:to>
    <xdr:graphicFrame macro="">
      <xdr:nvGraphicFramePr>
        <xdr:cNvPr id="12" name="Chart 11">
          <a:extLst>
            <a:ext uri="{FF2B5EF4-FFF2-40B4-BE49-F238E27FC236}">
              <a16:creationId xmlns:a16="http://schemas.microsoft.com/office/drawing/2014/main" id="{9C5B2C51-0BA4-48B0-8804-6966E5B30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160020</xdr:colOff>
      <xdr:row>32</xdr:row>
      <xdr:rowOff>106680</xdr:rowOff>
    </xdr:to>
    <xdr:sp macro="" textlink="">
      <xdr:nvSpPr>
        <xdr:cNvPr id="2" name="Rectangle: Rounded Corners 1">
          <a:extLst>
            <a:ext uri="{FF2B5EF4-FFF2-40B4-BE49-F238E27FC236}">
              <a16:creationId xmlns:a16="http://schemas.microsoft.com/office/drawing/2014/main" id="{24C27877-5B66-41EF-9E27-5E8D3C8C0D64}"/>
            </a:ext>
          </a:extLst>
        </xdr:cNvPr>
        <xdr:cNvSpPr/>
      </xdr:nvSpPr>
      <xdr:spPr>
        <a:xfrm>
          <a:off x="0" y="0"/>
          <a:ext cx="13571220" cy="5958840"/>
        </a:xfrm>
        <a:prstGeom prst="roundRect">
          <a:avLst>
            <a:gd name="adj" fmla="val 1417"/>
          </a:avLst>
        </a:prstGeom>
        <a:solidFill>
          <a:schemeClr val="tx2">
            <a:lumMod val="25000"/>
            <a:lumOff val="7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0</xdr:colOff>
      <xdr:row>0</xdr:row>
      <xdr:rowOff>0</xdr:rowOff>
    </xdr:from>
    <xdr:to>
      <xdr:col>22</xdr:col>
      <xdr:colOff>225669</xdr:colOff>
      <xdr:row>2</xdr:row>
      <xdr:rowOff>142575</xdr:rowOff>
    </xdr:to>
    <xdr:sp macro="" textlink="">
      <xdr:nvSpPr>
        <xdr:cNvPr id="3" name="Rectangle: Rounded Corners 2">
          <a:extLst>
            <a:ext uri="{FF2B5EF4-FFF2-40B4-BE49-F238E27FC236}">
              <a16:creationId xmlns:a16="http://schemas.microsoft.com/office/drawing/2014/main" id="{B7690799-5D9F-493D-A458-0E437A1CE110}"/>
            </a:ext>
          </a:extLst>
        </xdr:cNvPr>
        <xdr:cNvSpPr/>
      </xdr:nvSpPr>
      <xdr:spPr>
        <a:xfrm>
          <a:off x="0" y="0"/>
          <a:ext cx="13550900" cy="513806"/>
        </a:xfrm>
        <a:prstGeom prst="roundRect">
          <a:avLst>
            <a:gd name="adj" fmla="val 24082"/>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chemeClr val="tx2">
                  <a:lumMod val="50000"/>
                  <a:lumOff val="50000"/>
                </a:schemeClr>
              </a:solidFill>
            </a:rPr>
            <a:t>COMPENSATION ANALYSIS </a:t>
          </a:r>
          <a:endParaRPr lang="en-IN" sz="2800" b="1">
            <a:solidFill>
              <a:schemeClr val="tx2">
                <a:lumMod val="50000"/>
                <a:lumOff val="50000"/>
              </a:schemeClr>
            </a:solidFill>
          </a:endParaRPr>
        </a:p>
      </xdr:txBody>
    </xdr:sp>
    <xdr:clientData/>
  </xdr:twoCellAnchor>
  <xdr:twoCellAnchor>
    <xdr:from>
      <xdr:col>12</xdr:col>
      <xdr:colOff>414190</xdr:colOff>
      <xdr:row>3</xdr:row>
      <xdr:rowOff>13679</xdr:rowOff>
    </xdr:from>
    <xdr:to>
      <xdr:col>15</xdr:col>
      <xdr:colOff>212553</xdr:colOff>
      <xdr:row>4</xdr:row>
      <xdr:rowOff>91859</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2CF50015-76ED-430A-8B99-235E5535FB5F}"/>
            </a:ext>
          </a:extLst>
        </xdr:cNvPr>
        <xdr:cNvSpPr/>
      </xdr:nvSpPr>
      <xdr:spPr>
        <a:xfrm>
          <a:off x="7682498" y="570525"/>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PRODUCTIVITY</a:t>
          </a:r>
        </a:p>
      </xdr:txBody>
    </xdr:sp>
    <xdr:clientData/>
  </xdr:twoCellAnchor>
  <xdr:twoCellAnchor>
    <xdr:from>
      <xdr:col>0</xdr:col>
      <xdr:colOff>48847</xdr:colOff>
      <xdr:row>3</xdr:row>
      <xdr:rowOff>19540</xdr:rowOff>
    </xdr:from>
    <xdr:to>
      <xdr:col>2</xdr:col>
      <xdr:colOff>554502</xdr:colOff>
      <xdr:row>4</xdr:row>
      <xdr:rowOff>97720</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A67DBA19-E4C6-4E19-93E6-175F58691114}"/>
            </a:ext>
          </a:extLst>
        </xdr:cNvPr>
        <xdr:cNvSpPr/>
      </xdr:nvSpPr>
      <xdr:spPr>
        <a:xfrm>
          <a:off x="48847" y="576386"/>
          <a:ext cx="17170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OVERVIEW</a:t>
          </a:r>
        </a:p>
      </xdr:txBody>
    </xdr:sp>
    <xdr:clientData/>
  </xdr:twoCellAnchor>
  <xdr:twoCellAnchor>
    <xdr:from>
      <xdr:col>3</xdr:col>
      <xdr:colOff>166072</xdr:colOff>
      <xdr:row>3</xdr:row>
      <xdr:rowOff>29300</xdr:rowOff>
    </xdr:from>
    <xdr:to>
      <xdr:col>5</xdr:col>
      <xdr:colOff>570127</xdr:colOff>
      <xdr:row>4</xdr:row>
      <xdr:rowOff>107480</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FC1D8342-3973-42AF-8CE3-CE2B18F58D2A}"/>
            </a:ext>
          </a:extLst>
        </xdr:cNvPr>
        <xdr:cNvSpPr/>
      </xdr:nvSpPr>
      <xdr:spPr>
        <a:xfrm>
          <a:off x="1983149" y="586146"/>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WORKFORCE</a:t>
          </a:r>
        </a:p>
      </xdr:txBody>
    </xdr:sp>
    <xdr:clientData/>
  </xdr:twoCellAnchor>
  <xdr:twoCellAnchor>
    <xdr:from>
      <xdr:col>6</xdr:col>
      <xdr:colOff>224686</xdr:colOff>
      <xdr:row>3</xdr:row>
      <xdr:rowOff>19541</xdr:rowOff>
    </xdr:from>
    <xdr:to>
      <xdr:col>9</xdr:col>
      <xdr:colOff>23049</xdr:colOff>
      <xdr:row>4</xdr:row>
      <xdr:rowOff>97721</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2D5AA71A-0904-4687-BD7C-F5D2BB7A3828}"/>
            </a:ext>
          </a:extLst>
        </xdr:cNvPr>
        <xdr:cNvSpPr/>
      </xdr:nvSpPr>
      <xdr:spPr>
        <a:xfrm>
          <a:off x="3858840" y="576387"/>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RECUITMENT</a:t>
          </a:r>
        </a:p>
      </xdr:txBody>
    </xdr:sp>
    <xdr:clientData/>
  </xdr:twoCellAnchor>
  <xdr:twoCellAnchor>
    <xdr:from>
      <xdr:col>9</xdr:col>
      <xdr:colOff>273526</xdr:colOff>
      <xdr:row>3</xdr:row>
      <xdr:rowOff>9765</xdr:rowOff>
    </xdr:from>
    <xdr:to>
      <xdr:col>12</xdr:col>
      <xdr:colOff>277629</xdr:colOff>
      <xdr:row>4</xdr:row>
      <xdr:rowOff>87945</xdr:rowOff>
    </xdr:to>
    <xdr:sp macro="" textlink="">
      <xdr:nvSpPr>
        <xdr:cNvPr id="12" name="Rectangle: Rounded Corners 11">
          <a:hlinkClick xmlns:r="http://schemas.openxmlformats.org/officeDocument/2006/relationships" r:id="rId5"/>
          <a:extLst>
            <a:ext uri="{FF2B5EF4-FFF2-40B4-BE49-F238E27FC236}">
              <a16:creationId xmlns:a16="http://schemas.microsoft.com/office/drawing/2014/main" id="{9B7DBA98-B0CF-4C04-83CE-072E23411BAC}"/>
            </a:ext>
          </a:extLst>
        </xdr:cNvPr>
        <xdr:cNvSpPr/>
      </xdr:nvSpPr>
      <xdr:spPr>
        <a:xfrm>
          <a:off x="5724757" y="566611"/>
          <a:ext cx="1821180" cy="263796"/>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COMPENSATION</a:t>
          </a:r>
        </a:p>
      </xdr:txBody>
    </xdr:sp>
    <xdr:clientData/>
  </xdr:twoCellAnchor>
  <xdr:twoCellAnchor>
    <xdr:from>
      <xdr:col>0</xdr:col>
      <xdr:colOff>48845</xdr:colOff>
      <xdr:row>4</xdr:row>
      <xdr:rowOff>156308</xdr:rowOff>
    </xdr:from>
    <xdr:to>
      <xdr:col>7</xdr:col>
      <xdr:colOff>449384</xdr:colOff>
      <xdr:row>32</xdr:row>
      <xdr:rowOff>48846</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B57226DC-516B-4399-AAE3-3DA5186BBB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845" y="887828"/>
              <a:ext cx="4667739" cy="50131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498231</xdr:colOff>
      <xdr:row>4</xdr:row>
      <xdr:rowOff>166075</xdr:rowOff>
    </xdr:from>
    <xdr:to>
      <xdr:col>15</xdr:col>
      <xdr:colOff>224692</xdr:colOff>
      <xdr:row>32</xdr:row>
      <xdr:rowOff>39076</xdr:rowOff>
    </xdr:to>
    <xdr:graphicFrame macro="">
      <xdr:nvGraphicFramePr>
        <xdr:cNvPr id="14" name="Chart 13">
          <a:extLst>
            <a:ext uri="{FF2B5EF4-FFF2-40B4-BE49-F238E27FC236}">
              <a16:creationId xmlns:a16="http://schemas.microsoft.com/office/drawing/2014/main" id="{008F997B-AEBD-4FFD-B687-77CC076E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283307</xdr:colOff>
      <xdr:row>4</xdr:row>
      <xdr:rowOff>175844</xdr:rowOff>
    </xdr:from>
    <xdr:to>
      <xdr:col>22</xdr:col>
      <xdr:colOff>87923</xdr:colOff>
      <xdr:row>32</xdr:row>
      <xdr:rowOff>48845</xdr:rowOff>
    </xdr:to>
    <xdr:graphicFrame macro="">
      <xdr:nvGraphicFramePr>
        <xdr:cNvPr id="15" name="Chart 14">
          <a:extLst>
            <a:ext uri="{FF2B5EF4-FFF2-40B4-BE49-F238E27FC236}">
              <a16:creationId xmlns:a16="http://schemas.microsoft.com/office/drawing/2014/main" id="{AB52EE22-5D9E-495E-8F7C-27EED485E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86264</xdr:rowOff>
    </xdr:from>
    <xdr:to>
      <xdr:col>26</xdr:col>
      <xdr:colOff>1869</xdr:colOff>
      <xdr:row>37</xdr:row>
      <xdr:rowOff>72541</xdr:rowOff>
    </xdr:to>
    <xdr:sp macro="" textlink="">
      <xdr:nvSpPr>
        <xdr:cNvPr id="2" name="Rectangle: Rounded Corners 1">
          <a:extLst>
            <a:ext uri="{FF2B5EF4-FFF2-40B4-BE49-F238E27FC236}">
              <a16:creationId xmlns:a16="http://schemas.microsoft.com/office/drawing/2014/main" id="{FC3A8FCA-2E25-4F7D-9B61-7EA4692F4AC7}"/>
            </a:ext>
          </a:extLst>
        </xdr:cNvPr>
        <xdr:cNvSpPr/>
      </xdr:nvSpPr>
      <xdr:spPr>
        <a:xfrm>
          <a:off x="0" y="86264"/>
          <a:ext cx="15701944" cy="6901786"/>
        </a:xfrm>
        <a:prstGeom prst="roundRect">
          <a:avLst>
            <a:gd name="adj" fmla="val 1417"/>
          </a:avLst>
        </a:prstGeom>
        <a:solidFill>
          <a:schemeClr val="tx2">
            <a:lumMod val="25000"/>
            <a:lumOff val="7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0</xdr:colOff>
      <xdr:row>0</xdr:row>
      <xdr:rowOff>0</xdr:rowOff>
    </xdr:from>
    <xdr:to>
      <xdr:col>26</xdr:col>
      <xdr:colOff>14377</xdr:colOff>
      <xdr:row>2</xdr:row>
      <xdr:rowOff>148046</xdr:rowOff>
    </xdr:to>
    <xdr:sp macro="" textlink="">
      <xdr:nvSpPr>
        <xdr:cNvPr id="3" name="Rectangle: Rounded Corners 2">
          <a:extLst>
            <a:ext uri="{FF2B5EF4-FFF2-40B4-BE49-F238E27FC236}">
              <a16:creationId xmlns:a16="http://schemas.microsoft.com/office/drawing/2014/main" id="{EEA4ECC8-561B-4E2E-BBD7-A21DF6AE7395}"/>
            </a:ext>
          </a:extLst>
        </xdr:cNvPr>
        <xdr:cNvSpPr/>
      </xdr:nvSpPr>
      <xdr:spPr>
        <a:xfrm>
          <a:off x="0" y="0"/>
          <a:ext cx="15714452" cy="521857"/>
        </a:xfrm>
        <a:prstGeom prst="roundRect">
          <a:avLst>
            <a:gd name="adj" fmla="val 24082"/>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chemeClr val="tx1"/>
              </a:solidFill>
            </a:rPr>
            <a:t>PRODUCTIVITY ANALYSIS </a:t>
          </a:r>
          <a:endParaRPr lang="en-IN" sz="2800" b="1">
            <a:solidFill>
              <a:schemeClr val="tx1"/>
            </a:solidFill>
          </a:endParaRPr>
        </a:p>
      </xdr:txBody>
    </xdr:sp>
    <xdr:clientData/>
  </xdr:twoCellAnchor>
  <xdr:twoCellAnchor>
    <xdr:from>
      <xdr:col>12</xdr:col>
      <xdr:colOff>304800</xdr:colOff>
      <xdr:row>3</xdr:row>
      <xdr:rowOff>15240</xdr:rowOff>
    </xdr:from>
    <xdr:to>
      <xdr:col>15</xdr:col>
      <xdr:colOff>91440</xdr:colOff>
      <xdr:row>4</xdr:row>
      <xdr:rowOff>96156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D935CB8E-2F5C-4A5A-92A5-E00D2D0C77BD}"/>
            </a:ext>
          </a:extLst>
        </xdr:cNvPr>
        <xdr:cNvSpPr/>
      </xdr:nvSpPr>
      <xdr:spPr>
        <a:xfrm>
          <a:off x="7620000" y="563880"/>
          <a:ext cx="1615440" cy="263796"/>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PRODUCTIVITY</a:t>
          </a:r>
        </a:p>
      </xdr:txBody>
    </xdr:sp>
    <xdr:clientData/>
  </xdr:twoCellAnchor>
  <xdr:twoCellAnchor>
    <xdr:from>
      <xdr:col>3</xdr:col>
      <xdr:colOff>83820</xdr:colOff>
      <xdr:row>3</xdr:row>
      <xdr:rowOff>7620</xdr:rowOff>
    </xdr:from>
    <xdr:to>
      <xdr:col>5</xdr:col>
      <xdr:colOff>480060</xdr:colOff>
      <xdr:row>4</xdr:row>
      <xdr:rowOff>88536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5DF3238D-BE77-4D11-92FA-9FE3ED780FC0}"/>
            </a:ext>
          </a:extLst>
        </xdr:cNvPr>
        <xdr:cNvSpPr/>
      </xdr:nvSpPr>
      <xdr:spPr>
        <a:xfrm>
          <a:off x="1912620" y="55626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WORKFORCE</a:t>
          </a:r>
        </a:p>
      </xdr:txBody>
    </xdr:sp>
    <xdr:clientData/>
  </xdr:twoCellAnchor>
  <xdr:twoCellAnchor>
    <xdr:from>
      <xdr:col>0</xdr:col>
      <xdr:colOff>38100</xdr:colOff>
      <xdr:row>3</xdr:row>
      <xdr:rowOff>7620</xdr:rowOff>
    </xdr:from>
    <xdr:to>
      <xdr:col>2</xdr:col>
      <xdr:colOff>535940</xdr:colOff>
      <xdr:row>4</xdr:row>
      <xdr:rowOff>88536</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CA6AF9C5-399D-4CD2-8685-7C1D16E91B77}"/>
            </a:ext>
          </a:extLst>
        </xdr:cNvPr>
        <xdr:cNvSpPr/>
      </xdr:nvSpPr>
      <xdr:spPr>
        <a:xfrm>
          <a:off x="38100" y="556260"/>
          <a:ext cx="17170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OVERVIEW</a:t>
          </a:r>
        </a:p>
      </xdr:txBody>
    </xdr:sp>
    <xdr:clientData/>
  </xdr:twoCellAnchor>
  <xdr:twoCellAnchor>
    <xdr:from>
      <xdr:col>6</xdr:col>
      <xdr:colOff>68580</xdr:colOff>
      <xdr:row>3</xdr:row>
      <xdr:rowOff>0</xdr:rowOff>
    </xdr:from>
    <xdr:to>
      <xdr:col>8</xdr:col>
      <xdr:colOff>464820</xdr:colOff>
      <xdr:row>4</xdr:row>
      <xdr:rowOff>80916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673D9689-4DBC-46B1-A065-A2A077229E03}"/>
            </a:ext>
          </a:extLst>
        </xdr:cNvPr>
        <xdr:cNvSpPr/>
      </xdr:nvSpPr>
      <xdr:spPr>
        <a:xfrm>
          <a:off x="3726180" y="548640"/>
          <a:ext cx="161544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RECUITMENT</a:t>
          </a:r>
        </a:p>
      </xdr:txBody>
    </xdr:sp>
    <xdr:clientData/>
  </xdr:twoCellAnchor>
  <xdr:twoCellAnchor>
    <xdr:from>
      <xdr:col>9</xdr:col>
      <xdr:colOff>91440</xdr:colOff>
      <xdr:row>3</xdr:row>
      <xdr:rowOff>0</xdr:rowOff>
    </xdr:from>
    <xdr:to>
      <xdr:col>12</xdr:col>
      <xdr:colOff>83820</xdr:colOff>
      <xdr:row>4</xdr:row>
      <xdr:rowOff>80916</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6F1725AE-CF55-4B53-86E6-A65A9AF7E8FA}"/>
            </a:ext>
          </a:extLst>
        </xdr:cNvPr>
        <xdr:cNvSpPr/>
      </xdr:nvSpPr>
      <xdr:spPr>
        <a:xfrm>
          <a:off x="5577840" y="548640"/>
          <a:ext cx="1821180" cy="263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COMPENSATION</a:t>
          </a:r>
        </a:p>
      </xdr:txBody>
    </xdr:sp>
    <xdr:clientData/>
  </xdr:twoCellAnchor>
  <xdr:twoCellAnchor>
    <xdr:from>
      <xdr:col>0</xdr:col>
      <xdr:colOff>45720</xdr:colOff>
      <xdr:row>4</xdr:row>
      <xdr:rowOff>137160</xdr:rowOff>
    </xdr:from>
    <xdr:to>
      <xdr:col>9</xdr:col>
      <xdr:colOff>71718</xdr:colOff>
      <xdr:row>20</xdr:row>
      <xdr:rowOff>92364</xdr:rowOff>
    </xdr:to>
    <xdr:graphicFrame macro="">
      <xdr:nvGraphicFramePr>
        <xdr:cNvPr id="9" name="Chart 8">
          <a:extLst>
            <a:ext uri="{FF2B5EF4-FFF2-40B4-BE49-F238E27FC236}">
              <a16:creationId xmlns:a16="http://schemas.microsoft.com/office/drawing/2014/main" id="{76F385C6-0C23-4EB3-A548-583E4B8A9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93199</xdr:colOff>
      <xdr:row>4</xdr:row>
      <xdr:rowOff>115018</xdr:rowOff>
    </xdr:from>
    <xdr:to>
      <xdr:col>25</xdr:col>
      <xdr:colOff>560717</xdr:colOff>
      <xdr:row>36</xdr:row>
      <xdr:rowOff>150707</xdr:rowOff>
    </xdr:to>
    <xdr:graphicFrame macro="">
      <xdr:nvGraphicFramePr>
        <xdr:cNvPr id="10" name="Chart 9">
          <a:extLst>
            <a:ext uri="{FF2B5EF4-FFF2-40B4-BE49-F238E27FC236}">
              <a16:creationId xmlns:a16="http://schemas.microsoft.com/office/drawing/2014/main" id="{58600260-09F6-4C95-A7A6-BD59B697C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11545</xdr:colOff>
      <xdr:row>20</xdr:row>
      <xdr:rowOff>125506</xdr:rowOff>
    </xdr:from>
    <xdr:to>
      <xdr:col>9</xdr:col>
      <xdr:colOff>75044</xdr:colOff>
      <xdr:row>36</xdr:row>
      <xdr:rowOff>115334</xdr:rowOff>
    </xdr:to>
    <xdr:graphicFrame macro="">
      <xdr:nvGraphicFramePr>
        <xdr:cNvPr id="11" name="Chart 10">
          <a:extLst>
            <a:ext uri="{FF2B5EF4-FFF2-40B4-BE49-F238E27FC236}">
              <a16:creationId xmlns:a16="http://schemas.microsoft.com/office/drawing/2014/main" id="{3E0612C0-07E0-41B4-A3C1-DC9C71E03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7d1e502f476512d3/Desktop/EXCEL%20PROJECT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rnima B G" refreshedDate="46250.68517222222" createdVersion="8" refreshedVersion="8" minRefreshableVersion="3" recordCount="800" xr:uid="{4C99B6D0-F60E-47C8-A799-4F4139BA482A}">
  <cacheSource type="worksheet">
    <worksheetSource ref="A1:Y801" sheet="MASTERDATA" r:id="rId2"/>
  </cacheSource>
  <cacheFields count="28">
    <cacheField name="E_ID" numFmtId="0">
      <sharedItems count="800">
        <s v="EMP10001"/>
        <s v="EMP10002"/>
        <s v="EMP10003"/>
        <s v="EMP10004"/>
        <s v="EMP10005"/>
        <s v="EMP10006"/>
        <s v="EMP10007"/>
        <s v="EMP10008"/>
        <s v="EMP10009"/>
        <s v="EMP10010"/>
        <s v="EMP10011"/>
        <s v="EMP10012"/>
        <s v="EMP10013"/>
        <s v="EMP10014"/>
        <s v="EMP10015"/>
        <s v="EMP10016"/>
        <s v="EMP10017"/>
        <s v="EMP10018"/>
        <s v="EMP10019"/>
        <s v="EMP10020"/>
        <s v="EMP10021"/>
        <s v="EMP10022"/>
        <s v="EMP10023"/>
        <s v="EMP10024"/>
        <s v="EMP10025"/>
        <s v="EMP10026"/>
        <s v="EMP10027"/>
        <s v="EMP10028"/>
        <s v="EMP10029"/>
        <s v="EMP10030"/>
        <s v="EMP10031"/>
        <s v="EMP10032"/>
        <s v="EMP10033"/>
        <s v="EMP10034"/>
        <s v="EMP10035"/>
        <s v="EMP10036"/>
        <s v="EMP10037"/>
        <s v="EMP10038"/>
        <s v="EMP10039"/>
        <s v="EMP10040"/>
        <s v="EMP10041"/>
        <s v="EMP10042"/>
        <s v="EMP10043"/>
        <s v="EMP10044"/>
        <s v="EMP10045"/>
        <s v="EMP10046"/>
        <s v="EMP10047"/>
        <s v="EMP10048"/>
        <s v="EMP10049"/>
        <s v="EMP10050"/>
        <s v="EMP10051"/>
        <s v="EMP10052"/>
        <s v="EMP10053"/>
        <s v="EMP10054"/>
        <s v="EMP10055"/>
        <s v="EMP10056"/>
        <s v="EMP10057"/>
        <s v="EMP10058"/>
        <s v="EMP10059"/>
        <s v="EMP10060"/>
        <s v="EMP10061"/>
        <s v="EMP10062"/>
        <s v="EMP10063"/>
        <s v="EMP10064"/>
        <s v="EMP10065"/>
        <s v="EMP10066"/>
        <s v="EMP10067"/>
        <s v="EMP10068"/>
        <s v="EMP10069"/>
        <s v="EMP10070"/>
        <s v="EMP10071"/>
        <s v="EMP10072"/>
        <s v="EMP10073"/>
        <s v="EMP10074"/>
        <s v="EMP10075"/>
        <s v="EMP10076"/>
        <s v="EMP10077"/>
        <s v="EMP10078"/>
        <s v="EMP10079"/>
        <s v="EMP10080"/>
        <s v="EMP10081"/>
        <s v="EMP10082"/>
        <s v="EMP10083"/>
        <s v="EMP10084"/>
        <s v="EMP10085"/>
        <s v="EMP10086"/>
        <s v="EMP10087"/>
        <s v="EMP10088"/>
        <s v="EMP10089"/>
        <s v="EMP10090"/>
        <s v="EMP10091"/>
        <s v="EMP10092"/>
        <s v="EMP10093"/>
        <s v="EMP10094"/>
        <s v="EMP10095"/>
        <s v="EMP10096"/>
        <s v="EMP10097"/>
        <s v="EMP10098"/>
        <s v="EMP10099"/>
        <s v="EMP10100"/>
        <s v="EMP10101"/>
        <s v="EMP10102"/>
        <s v="EMP10103"/>
        <s v="EMP10104"/>
        <s v="EMP10105"/>
        <s v="EMP10106"/>
        <s v="EMP10107"/>
        <s v="EMP10108"/>
        <s v="EMP10109"/>
        <s v="EMP10110"/>
        <s v="EMP10111"/>
        <s v="EMP10112"/>
        <s v="EMP10113"/>
        <s v="EMP10114"/>
        <s v="EMP10115"/>
        <s v="EMP10116"/>
        <s v="EMP10117"/>
        <s v="EMP10118"/>
        <s v="EMP10119"/>
        <s v="EMP10120"/>
        <s v="EMP10121"/>
        <s v="EMP10122"/>
        <s v="EMP10123"/>
        <s v="EMP10124"/>
        <s v="EMP10125"/>
        <s v="EMP10126"/>
        <s v="EMP10127"/>
        <s v="EMP10128"/>
        <s v="EMP10129"/>
        <s v="EMP10130"/>
        <s v="EMP10131"/>
        <s v="EMP10132"/>
        <s v="EMP10133"/>
        <s v="EMP10134"/>
        <s v="EMP10135"/>
        <s v="EMP10136"/>
        <s v="EMP10137"/>
        <s v="EMP10138"/>
        <s v="EMP10139"/>
        <s v="EMP10140"/>
        <s v="EMP10141"/>
        <s v="EMP10142"/>
        <s v="EMP10143"/>
        <s v="EMP10144"/>
        <s v="EMP10145"/>
        <s v="EMP10146"/>
        <s v="EMP10147"/>
        <s v="EMP10148"/>
        <s v="EMP10149"/>
        <s v="EMP10150"/>
        <s v="EMP10151"/>
        <s v="EMP10152"/>
        <s v="EMP10153"/>
        <s v="EMP10154"/>
        <s v="EMP10155"/>
        <s v="EMP10156"/>
        <s v="EMP10157"/>
        <s v="EMP10158"/>
        <s v="EMP10159"/>
        <s v="EMP10160"/>
        <s v="EMP10161"/>
        <s v="EMP10162"/>
        <s v="EMP10163"/>
        <s v="EMP10164"/>
        <s v="EMP10165"/>
        <s v="EMP10166"/>
        <s v="EMP10167"/>
        <s v="EMP10168"/>
        <s v="EMP10169"/>
        <s v="EMP10170"/>
        <s v="EMP10171"/>
        <s v="EMP10172"/>
        <s v="EMP10173"/>
        <s v="EMP10174"/>
        <s v="EMP10175"/>
        <s v="EMP10176"/>
        <s v="EMP10177"/>
        <s v="EMP10178"/>
        <s v="EMP10179"/>
        <s v="EMP10180"/>
        <s v="EMP10181"/>
        <s v="EMP10182"/>
        <s v="EMP10183"/>
        <s v="EMP10184"/>
        <s v="EMP10185"/>
        <s v="EMP10186"/>
        <s v="EMP10187"/>
        <s v="EMP10188"/>
        <s v="EMP10189"/>
        <s v="EMP10190"/>
        <s v="EMP10191"/>
        <s v="EMP10192"/>
        <s v="EMP10193"/>
        <s v="EMP10194"/>
        <s v="EMP10195"/>
        <s v="EMP10196"/>
        <s v="EMP10197"/>
        <s v="EMP10198"/>
        <s v="EMP10199"/>
        <s v="EMP10200"/>
        <s v="EMP10201"/>
        <s v="EMP10202"/>
        <s v="EMP10203"/>
        <s v="EMP10204"/>
        <s v="EMP10205"/>
        <s v="EMP10206"/>
        <s v="EMP10207"/>
        <s v="EMP10208"/>
        <s v="EMP10209"/>
        <s v="EMP10210"/>
        <s v="EMP10211"/>
        <s v="EMP10212"/>
        <s v="EMP10213"/>
        <s v="EMP10214"/>
        <s v="EMP10215"/>
        <s v="EMP10216"/>
        <s v="EMP10217"/>
        <s v="EMP10218"/>
        <s v="EMP10219"/>
        <s v="EMP10220"/>
        <s v="EMP10221"/>
        <s v="EMP10222"/>
        <s v="EMP10223"/>
        <s v="EMP10224"/>
        <s v="EMP10225"/>
        <s v="EMP10226"/>
        <s v="EMP10227"/>
        <s v="EMP10228"/>
        <s v="EMP10229"/>
        <s v="EMP10230"/>
        <s v="EMP10231"/>
        <s v="EMP10232"/>
        <s v="EMP10233"/>
        <s v="EMP10234"/>
        <s v="EMP10235"/>
        <s v="EMP10236"/>
        <s v="EMP10237"/>
        <s v="EMP10238"/>
        <s v="EMP10239"/>
        <s v="EMP10240"/>
        <s v="EMP10241"/>
        <s v="EMP10242"/>
        <s v="EMP10243"/>
        <s v="EMP10244"/>
        <s v="EMP10245"/>
        <s v="EMP10246"/>
        <s v="EMP10247"/>
        <s v="EMP10248"/>
        <s v="EMP10249"/>
        <s v="EMP10250"/>
        <s v="EMP10251"/>
        <s v="EMP10252"/>
        <s v="EMP10253"/>
        <s v="EMP10254"/>
        <s v="EMP10255"/>
        <s v="EMP10256"/>
        <s v="EMP10257"/>
        <s v="EMP10258"/>
        <s v="EMP10259"/>
        <s v="EMP10260"/>
        <s v="EMP10261"/>
        <s v="EMP10262"/>
        <s v="EMP10263"/>
        <s v="EMP10264"/>
        <s v="EMP10265"/>
        <s v="EMP10266"/>
        <s v="EMP10267"/>
        <s v="EMP10268"/>
        <s v="EMP10269"/>
        <s v="EMP10270"/>
        <s v="EMP10271"/>
        <s v="EMP10272"/>
        <s v="EMP10273"/>
        <s v="EMP10274"/>
        <s v="EMP10275"/>
        <s v="EMP10276"/>
        <s v="EMP10277"/>
        <s v="EMP10278"/>
        <s v="EMP10279"/>
        <s v="EMP10280"/>
        <s v="EMP10281"/>
        <s v="EMP10282"/>
        <s v="EMP10283"/>
        <s v="EMP10284"/>
        <s v="EMP10285"/>
        <s v="EMP10286"/>
        <s v="EMP10287"/>
        <s v="EMP10288"/>
        <s v="EMP10289"/>
        <s v="EMP10290"/>
        <s v="EMP10291"/>
        <s v="EMP10292"/>
        <s v="EMP10293"/>
        <s v="EMP10294"/>
        <s v="EMP10295"/>
        <s v="EMP10296"/>
        <s v="EMP10297"/>
        <s v="EMP10298"/>
        <s v="EMP10299"/>
        <s v="EMP10300"/>
        <s v="EMP10301"/>
        <s v="EMP10302"/>
        <s v="EMP10303"/>
        <s v="EMP10304"/>
        <s v="EMP10305"/>
        <s v="EMP10306"/>
        <s v="EMP10307"/>
        <s v="EMP10308"/>
        <s v="EMP10309"/>
        <s v="EMP10310"/>
        <s v="EMP10311"/>
        <s v="EMP10312"/>
        <s v="EMP10313"/>
        <s v="EMP10314"/>
        <s v="EMP10315"/>
        <s v="EMP10316"/>
        <s v="EMP10317"/>
        <s v="EMP10318"/>
        <s v="EMP10319"/>
        <s v="EMP10320"/>
        <s v="EMP10321"/>
        <s v="EMP10322"/>
        <s v="EMP10323"/>
        <s v="EMP10324"/>
        <s v="EMP10325"/>
        <s v="EMP10326"/>
        <s v="EMP10327"/>
        <s v="EMP10328"/>
        <s v="EMP10329"/>
        <s v="EMP10330"/>
        <s v="EMP10331"/>
        <s v="EMP10332"/>
        <s v="EMP10333"/>
        <s v="EMP10334"/>
        <s v="EMP10335"/>
        <s v="EMP10336"/>
        <s v="EMP10337"/>
        <s v="EMP10338"/>
        <s v="EMP10339"/>
        <s v="EMP10340"/>
        <s v="EMP10341"/>
        <s v="EMP10342"/>
        <s v="EMP10343"/>
        <s v="EMP10344"/>
        <s v="EMP10345"/>
        <s v="EMP10346"/>
        <s v="EMP10347"/>
        <s v="EMP10348"/>
        <s v="EMP10349"/>
        <s v="EMP10350"/>
        <s v="EMP10351"/>
        <s v="EMP10352"/>
        <s v="EMP10353"/>
        <s v="EMP10354"/>
        <s v="EMP10355"/>
        <s v="EMP10356"/>
        <s v="EMP10357"/>
        <s v="EMP10358"/>
        <s v="EMP10359"/>
        <s v="EMP10360"/>
        <s v="EMP10361"/>
        <s v="EMP10362"/>
        <s v="EMP10363"/>
        <s v="EMP10364"/>
        <s v="EMP10365"/>
        <s v="EMP10366"/>
        <s v="EMP10367"/>
        <s v="EMP10368"/>
        <s v="EMP10369"/>
        <s v="EMP10370"/>
        <s v="EMP10371"/>
        <s v="EMP10372"/>
        <s v="EMP10373"/>
        <s v="EMP10374"/>
        <s v="EMP10375"/>
        <s v="EMP10376"/>
        <s v="EMP10377"/>
        <s v="EMP10378"/>
        <s v="EMP10379"/>
        <s v="EMP10380"/>
        <s v="EMP10381"/>
        <s v="EMP10382"/>
        <s v="EMP10383"/>
        <s v="EMP10384"/>
        <s v="EMP10385"/>
        <s v="EMP10386"/>
        <s v="EMP10387"/>
        <s v="EMP10388"/>
        <s v="EMP10389"/>
        <s v="EMP10390"/>
        <s v="EMP10391"/>
        <s v="EMP10392"/>
        <s v="EMP10393"/>
        <s v="EMP10394"/>
        <s v="EMP10395"/>
        <s v="EMP10396"/>
        <s v="EMP10397"/>
        <s v="EMP10398"/>
        <s v="EMP10399"/>
        <s v="EMP10400"/>
        <s v="EMP10401"/>
        <s v="EMP10402"/>
        <s v="EMP10403"/>
        <s v="EMP10404"/>
        <s v="EMP10405"/>
        <s v="EMP10406"/>
        <s v="EMP10407"/>
        <s v="EMP10408"/>
        <s v="EMP10409"/>
        <s v="EMP10410"/>
        <s v="EMP10411"/>
        <s v="EMP10412"/>
        <s v="EMP10413"/>
        <s v="EMP10414"/>
        <s v="EMP10415"/>
        <s v="EMP10416"/>
        <s v="EMP10417"/>
        <s v="EMP10418"/>
        <s v="EMP10419"/>
        <s v="EMP10420"/>
        <s v="EMP10421"/>
        <s v="EMP10422"/>
        <s v="EMP10423"/>
        <s v="EMP10424"/>
        <s v="EMP10425"/>
        <s v="EMP10426"/>
        <s v="EMP10427"/>
        <s v="EMP10428"/>
        <s v="EMP10429"/>
        <s v="EMP10430"/>
        <s v="EMP10431"/>
        <s v="EMP10432"/>
        <s v="EMP10433"/>
        <s v="EMP10434"/>
        <s v="EMP10435"/>
        <s v="EMP10436"/>
        <s v="EMP10437"/>
        <s v="EMP10438"/>
        <s v="EMP10439"/>
        <s v="EMP10440"/>
        <s v="EMP10441"/>
        <s v="EMP10442"/>
        <s v="EMP10443"/>
        <s v="EMP10444"/>
        <s v="EMP10445"/>
        <s v="EMP10446"/>
        <s v="EMP10447"/>
        <s v="EMP10448"/>
        <s v="EMP10449"/>
        <s v="EMP10450"/>
        <s v="EMP10451"/>
        <s v="EMP10452"/>
        <s v="EMP10453"/>
        <s v="EMP10454"/>
        <s v="EMP10455"/>
        <s v="EMP10456"/>
        <s v="EMP10457"/>
        <s v="EMP10458"/>
        <s v="EMP10459"/>
        <s v="EMP10460"/>
        <s v="EMP10461"/>
        <s v="EMP10462"/>
        <s v="EMP10463"/>
        <s v="EMP10464"/>
        <s v="EMP10465"/>
        <s v="EMP10466"/>
        <s v="EMP10467"/>
        <s v="EMP10468"/>
        <s v="EMP10469"/>
        <s v="EMP10470"/>
        <s v="EMP10471"/>
        <s v="EMP10472"/>
        <s v="EMP10473"/>
        <s v="EMP10474"/>
        <s v="EMP10475"/>
        <s v="EMP10476"/>
        <s v="EMP10477"/>
        <s v="EMP10478"/>
        <s v="EMP10479"/>
        <s v="EMP10480"/>
        <s v="EMP10481"/>
        <s v="EMP10482"/>
        <s v="EMP10483"/>
        <s v="EMP10484"/>
        <s v="EMP10485"/>
        <s v="EMP10486"/>
        <s v="EMP10487"/>
        <s v="EMP10488"/>
        <s v="EMP10489"/>
        <s v="EMP10490"/>
        <s v="EMP10491"/>
        <s v="EMP10492"/>
        <s v="EMP10493"/>
        <s v="EMP10494"/>
        <s v="EMP10495"/>
        <s v="EMP10496"/>
        <s v="EMP10497"/>
        <s v="EMP10498"/>
        <s v="EMP10499"/>
        <s v="EMP10500"/>
        <s v="EMP10501"/>
        <s v="EMP10502"/>
        <s v="EMP10503"/>
        <s v="EMP10504"/>
        <s v="EMP10505"/>
        <s v="EMP10506"/>
        <s v="EMP10507"/>
        <s v="EMP10508"/>
        <s v="EMP10509"/>
        <s v="EMP10510"/>
        <s v="EMP10511"/>
        <s v="EMP10512"/>
        <s v="EMP10513"/>
        <s v="EMP10514"/>
        <s v="EMP10515"/>
        <s v="EMP10516"/>
        <s v="EMP10517"/>
        <s v="EMP10518"/>
        <s v="EMP10519"/>
        <s v="EMP10520"/>
        <s v="EMP10521"/>
        <s v="EMP10522"/>
        <s v="EMP10523"/>
        <s v="EMP10524"/>
        <s v="EMP10525"/>
        <s v="EMP10526"/>
        <s v="EMP10527"/>
        <s v="EMP10528"/>
        <s v="EMP10529"/>
        <s v="EMP10530"/>
        <s v="EMP10531"/>
        <s v="EMP10532"/>
        <s v="EMP10533"/>
        <s v="EMP10534"/>
        <s v="EMP10535"/>
        <s v="EMP10536"/>
        <s v="EMP10537"/>
        <s v="EMP10538"/>
        <s v="EMP10539"/>
        <s v="EMP10540"/>
        <s v="EMP10541"/>
        <s v="EMP10542"/>
        <s v="EMP10543"/>
        <s v="EMP10544"/>
        <s v="EMP10545"/>
        <s v="EMP10546"/>
        <s v="EMP10547"/>
        <s v="EMP10548"/>
        <s v="EMP10549"/>
        <s v="EMP10550"/>
        <s v="EMP10551"/>
        <s v="EMP10552"/>
        <s v="EMP10553"/>
        <s v="EMP10554"/>
        <s v="EMP10555"/>
        <s v="EMP10556"/>
        <s v="EMP10557"/>
        <s v="EMP10558"/>
        <s v="EMP10559"/>
        <s v="EMP10560"/>
        <s v="EMP10561"/>
        <s v="EMP10562"/>
        <s v="EMP10563"/>
        <s v="EMP10564"/>
        <s v="EMP10565"/>
        <s v="EMP10566"/>
        <s v="EMP10567"/>
        <s v="EMP10568"/>
        <s v="EMP10569"/>
        <s v="EMP10570"/>
        <s v="EMP10571"/>
        <s v="EMP10572"/>
        <s v="EMP10573"/>
        <s v="EMP10574"/>
        <s v="EMP10575"/>
        <s v="EMP10576"/>
        <s v="EMP10577"/>
        <s v="EMP10578"/>
        <s v="EMP10579"/>
        <s v="EMP10580"/>
        <s v="EMP10581"/>
        <s v="EMP10582"/>
        <s v="EMP10583"/>
        <s v="EMP10584"/>
        <s v="EMP10585"/>
        <s v="EMP10586"/>
        <s v="EMP10587"/>
        <s v="EMP10588"/>
        <s v="EMP10589"/>
        <s v="EMP10590"/>
        <s v="EMP10591"/>
        <s v="EMP10592"/>
        <s v="EMP10593"/>
        <s v="EMP10594"/>
        <s v="EMP10595"/>
        <s v="EMP10596"/>
        <s v="EMP10597"/>
        <s v="EMP10598"/>
        <s v="EMP10599"/>
        <s v="EMP10600"/>
        <s v="EMP10601"/>
        <s v="EMP10602"/>
        <s v="EMP10603"/>
        <s v="EMP10604"/>
        <s v="EMP10605"/>
        <s v="EMP10606"/>
        <s v="EMP10607"/>
        <s v="EMP10608"/>
        <s v="EMP10609"/>
        <s v="EMP10610"/>
        <s v="EMP10611"/>
        <s v="EMP10612"/>
        <s v="EMP10613"/>
        <s v="EMP10614"/>
        <s v="EMP10615"/>
        <s v="EMP10616"/>
        <s v="EMP10617"/>
        <s v="EMP10618"/>
        <s v="EMP10619"/>
        <s v="EMP10620"/>
        <s v="EMP10621"/>
        <s v="EMP10622"/>
        <s v="EMP10623"/>
        <s v="EMP10624"/>
        <s v="EMP10625"/>
        <s v="EMP10626"/>
        <s v="EMP10627"/>
        <s v="EMP10628"/>
        <s v="EMP10629"/>
        <s v="EMP10630"/>
        <s v="EMP10631"/>
        <s v="EMP10632"/>
        <s v="EMP10633"/>
        <s v="EMP10634"/>
        <s v="EMP10635"/>
        <s v="EMP10636"/>
        <s v="EMP10637"/>
        <s v="EMP10638"/>
        <s v="EMP10639"/>
        <s v="EMP10640"/>
        <s v="EMP10641"/>
        <s v="EMP10642"/>
        <s v="EMP10643"/>
        <s v="EMP10644"/>
        <s v="EMP10645"/>
        <s v="EMP10646"/>
        <s v="EMP10647"/>
        <s v="EMP10648"/>
        <s v="EMP10649"/>
        <s v="EMP10650"/>
        <s v="EMP10651"/>
        <s v="EMP10652"/>
        <s v="EMP10653"/>
        <s v="EMP10654"/>
        <s v="EMP10655"/>
        <s v="EMP10656"/>
        <s v="EMP10657"/>
        <s v="EMP10658"/>
        <s v="EMP10659"/>
        <s v="EMP10660"/>
        <s v="EMP10661"/>
        <s v="EMP10662"/>
        <s v="EMP10663"/>
        <s v="EMP10664"/>
        <s v="EMP10665"/>
        <s v="EMP10666"/>
        <s v="EMP10667"/>
        <s v="EMP10668"/>
        <s v="EMP10669"/>
        <s v="EMP10670"/>
        <s v="EMP10671"/>
        <s v="EMP10672"/>
        <s v="EMP10673"/>
        <s v="EMP10674"/>
        <s v="EMP10675"/>
        <s v="EMP10676"/>
        <s v="EMP10677"/>
        <s v="EMP10678"/>
        <s v="EMP10679"/>
        <s v="EMP10680"/>
        <s v="EMP10681"/>
        <s v="EMP10682"/>
        <s v="EMP10683"/>
        <s v="EMP10684"/>
        <s v="EMP10685"/>
        <s v="EMP10686"/>
        <s v="EMP10687"/>
        <s v="EMP10688"/>
        <s v="EMP10689"/>
        <s v="EMP10690"/>
        <s v="EMP10691"/>
        <s v="EMP10692"/>
        <s v="EMP10693"/>
        <s v="EMP10694"/>
        <s v="EMP10695"/>
        <s v="EMP10696"/>
        <s v="EMP10697"/>
        <s v="EMP10698"/>
        <s v="EMP10699"/>
        <s v="EMP10700"/>
        <s v="EMP10701"/>
        <s v="EMP10702"/>
        <s v="EMP10703"/>
        <s v="EMP10704"/>
        <s v="EMP10705"/>
        <s v="EMP10706"/>
        <s v="EMP10707"/>
        <s v="EMP10708"/>
        <s v="EMP10709"/>
        <s v="EMP10710"/>
        <s v="EMP10711"/>
        <s v="EMP10712"/>
        <s v="EMP10713"/>
        <s v="EMP10714"/>
        <s v="EMP10715"/>
        <s v="EMP10716"/>
        <s v="EMP10717"/>
        <s v="EMP10718"/>
        <s v="EMP10719"/>
        <s v="EMP10720"/>
        <s v="EMP10721"/>
        <s v="EMP10722"/>
        <s v="EMP10723"/>
        <s v="EMP10724"/>
        <s v="EMP10725"/>
        <s v="EMP10726"/>
        <s v="EMP10727"/>
        <s v="EMP10728"/>
        <s v="EMP10729"/>
        <s v="EMP10730"/>
        <s v="EMP10731"/>
        <s v="EMP10732"/>
        <s v="EMP10733"/>
        <s v="EMP10734"/>
        <s v="EMP10735"/>
        <s v="EMP10736"/>
        <s v="EMP10737"/>
        <s v="EMP10738"/>
        <s v="EMP10739"/>
        <s v="EMP10740"/>
        <s v="EMP10741"/>
        <s v="EMP10742"/>
        <s v="EMP10743"/>
        <s v="EMP10744"/>
        <s v="EMP10745"/>
        <s v="EMP10746"/>
        <s v="EMP10747"/>
        <s v="EMP10748"/>
        <s v="EMP10749"/>
        <s v="EMP10750"/>
        <s v="EMP10751"/>
        <s v="EMP10752"/>
        <s v="EMP10753"/>
        <s v="EMP10754"/>
        <s v="EMP10755"/>
        <s v="EMP10756"/>
        <s v="EMP10757"/>
        <s v="EMP10758"/>
        <s v="EMP10759"/>
        <s v="EMP10760"/>
        <s v="EMP10761"/>
        <s v="EMP10762"/>
        <s v="EMP10763"/>
        <s v="EMP10764"/>
        <s v="EMP10765"/>
        <s v="EMP10766"/>
        <s v="EMP10767"/>
        <s v="EMP10768"/>
        <s v="EMP10769"/>
        <s v="EMP10770"/>
        <s v="EMP10771"/>
        <s v="EMP10772"/>
        <s v="EMP10773"/>
        <s v="EMP10774"/>
        <s v="EMP10775"/>
        <s v="EMP10776"/>
        <s v="EMP10777"/>
        <s v="EMP10778"/>
        <s v="EMP10779"/>
        <s v="EMP10780"/>
        <s v="EMP10781"/>
        <s v="EMP10782"/>
        <s v="EMP10783"/>
        <s v="EMP10784"/>
        <s v="EMP10785"/>
        <s v="EMP10786"/>
        <s v="EMP10787"/>
        <s v="EMP10788"/>
        <s v="EMP10789"/>
        <s v="EMP10790"/>
        <s v="EMP10791"/>
        <s v="EMP10792"/>
        <s v="EMP10793"/>
        <s v="EMP10794"/>
        <s v="EMP10795"/>
        <s v="EMP10796"/>
        <s v="EMP10797"/>
        <s v="EMP10798"/>
        <s v="EMP10799"/>
        <s v="EMP10800"/>
      </sharedItems>
    </cacheField>
    <cacheField name="E_Name" numFmtId="0">
      <sharedItems count="234">
        <s v="Kiran Kumar"/>
        <s v="Sneha Joshi"/>
        <s v="Vikram Iyer"/>
        <s v="Kiran Das"/>
        <s v="Aisha Rao"/>
        <s v="Ananya Joshi"/>
        <s v="Arjun Shetty"/>
        <s v="Aditya Nair"/>
        <s v="Vivaan Shetty"/>
        <s v="Diya Nair"/>
        <s v="Vivaan Pillai"/>
        <s v="Aarav Pillai"/>
        <s v="Diya Singh"/>
        <s v="Pooja Joshi"/>
        <s v="Nikhil Pillai"/>
        <s v="Kavya Reddy"/>
        <s v="Diya Rao"/>
        <s v="Neha Singh"/>
        <s v="Aditya Iyer"/>
        <s v="Sanjay Rao"/>
        <s v="Meera Kumar"/>
        <s v="Priya Patel"/>
        <s v="Sanjay Das"/>
        <s v="Vivaan Kumar"/>
        <s v="Sneha Pillai"/>
        <s v="Kiran Pillai"/>
        <s v="Vikram Reddy"/>
        <s v="Priya Sharma"/>
        <s v="Arjun Patel"/>
        <s v="Vikram Kumar"/>
        <s v="Vivaan Nair"/>
        <s v="Nikhil Kumar"/>
        <s v="Meera Das"/>
        <s v="Diya Patel"/>
        <s v="Priya Shetty"/>
        <s v="Priya Rao"/>
        <s v="Kavya Patel"/>
        <s v="Sneha Iyer"/>
        <s v="Ishita Singh"/>
        <s v="Sneha Sharma"/>
        <s v="Kiran Singh"/>
        <s v="Vikram Shetty"/>
        <s v="Ananya Reddy"/>
        <s v="Pooja Shetty"/>
        <s v="Aditya Reddy"/>
        <s v="Aarav Joshi"/>
        <s v="Rohan Das"/>
        <s v="Sanjay Pillai"/>
        <s v="Vikram Pillai"/>
        <s v="Vivaan Sharma"/>
        <s v="Kavya Rao"/>
        <s v="Rohan Reddy"/>
        <s v="Diya Shetty"/>
        <s v="Aditya Sharma"/>
        <s v="Sneha Reddy"/>
        <s v="Aarav Iyer"/>
        <s v="Ishita Reddy"/>
        <s v="Kiran Sharma"/>
        <s v="Neha Kumar"/>
        <s v="Rohan Rao"/>
        <s v="Kiran Joshi"/>
        <s v="Arjun Rao"/>
        <s v="Aisha Nair"/>
        <s v="Vivaan Das"/>
        <s v="Rahul Pillai"/>
        <s v="Diya Pillai"/>
        <s v="Neha Joshi"/>
        <s v="Aarav Singh"/>
        <s v="Aditya Rao"/>
        <s v="Rahul Shetty"/>
        <s v="Sanjay Iyer"/>
        <s v="Aarav Reddy"/>
        <s v="Sanjay Kumar"/>
        <s v="Pooja Sharma"/>
        <s v="Neha Pillai"/>
        <s v="Kiran Patel"/>
        <s v="Rohan Sharma"/>
        <s v="Pooja Patel"/>
        <s v="Vivaan Iyer"/>
        <s v="Diya Das"/>
        <s v="Rahul Rao"/>
        <s v="Ananya Shetty"/>
        <s v="Pooja Nair"/>
        <s v="Rohan Kumar"/>
        <s v="Ananya Sharma"/>
        <s v="Rahul Reddy"/>
        <s v="Arjun Reddy"/>
        <s v="Neha Rao"/>
        <s v="Aarav Shetty"/>
        <s v="Vikram Sharma"/>
        <s v="Ananya Pillai"/>
        <s v="Meera Rao"/>
        <s v="Nikhil Reddy"/>
        <s v="Kavya Das"/>
        <s v="Kavya Singh"/>
        <s v="Rohan Iyer"/>
        <s v="Sanjay Singh"/>
        <s v="Neha Shetty"/>
        <s v="Arjun Nair"/>
        <s v="Aditya Singh"/>
        <s v="Meera Patel"/>
        <s v="Arjun Sharma"/>
        <s v="Priya Iyer"/>
        <s v="Kavya Kumar"/>
        <s v="Vikram Rao"/>
        <s v="Priya Nair"/>
        <s v="Vikram Joshi"/>
        <s v="Rohan Pillai"/>
        <s v="Pooja Iyer"/>
        <s v="Aditya Pillai"/>
        <s v="Aarav Kumar"/>
        <s v="Meera Singh"/>
        <s v="Nikhil Nair"/>
        <s v="Aditya Shetty"/>
        <s v="Meera Nair"/>
        <s v="Vivaan Joshi"/>
        <s v="Nikhil Patel"/>
        <s v="Ananya Nair"/>
        <s v="Nikhil Rao"/>
        <s v="Aditya Patel"/>
        <s v="Ishita Pillai"/>
        <s v="Arjun Kumar"/>
        <s v="Priya Pillai"/>
        <s v="Vivaan Patel"/>
        <s v="Aisha Singh"/>
        <s v="Pooja Kumar"/>
        <s v="Sneha Nair"/>
        <s v="Ishita Kumar"/>
        <s v="Aisha Pillai"/>
        <s v="Aarav Das"/>
        <s v="Aarav Patel"/>
        <s v="Aarav Rao"/>
        <s v="Rohan Nair"/>
        <s v="Priya Kumar"/>
        <s v="Kavya Iyer"/>
        <s v="Nikhil Das"/>
        <s v="Aisha Das"/>
        <s v="Kavya Shetty"/>
        <s v="Aarav Sharma"/>
        <s v="Aisha Joshi"/>
        <s v="Nikhil Joshi"/>
        <s v="Aisha Patel"/>
        <s v="Pooja Das"/>
        <s v="Vikram Das"/>
        <s v="Vivaan Reddy"/>
        <s v="Arjun Das"/>
        <s v="Meera Joshi"/>
        <s v="Arjun Singh"/>
        <s v="Rohan Singh"/>
        <s v="Aditya Kumar"/>
        <s v="Meera Sharma"/>
        <s v="Kiran Shetty"/>
        <s v="Pooja Rao"/>
        <s v="Ishita Rao"/>
        <s v="Ishita Joshi"/>
        <s v="Aisha Sharma"/>
        <s v="Arjun Pillai"/>
        <s v="Sanjay Reddy"/>
        <s v="Arjun Iyer"/>
        <s v="Kiran Iyer"/>
        <s v="Meera Pillai"/>
        <s v="Diya Sharma"/>
        <s v="Nikhil Singh"/>
        <s v="Aisha Shetty"/>
        <s v="Kavya Sharma"/>
        <s v="Neha Sharma"/>
        <s v="Vikram Singh"/>
        <s v="Pooja Singh"/>
        <s v="Aarav Nair"/>
        <s v="Rahul Das"/>
        <s v="Diya Iyer"/>
        <s v="Kavya Nair"/>
        <s v="Nikhil Shetty"/>
        <s v="Arjun Joshi"/>
        <s v="Rahul Patel"/>
        <s v="Aisha Iyer"/>
        <s v="Sneha Singh"/>
        <s v="Ishita Iyer"/>
        <s v="Ananya Iyer"/>
        <s v="Vivaan Singh"/>
        <s v="Priya Singh"/>
        <s v="Aisha Kumar"/>
        <s v="Vikram Patel"/>
        <s v="Aditya Joshi"/>
        <s v="Kiran Nair"/>
        <s v="Rahul Sharma"/>
        <s v="Pooja Pillai"/>
        <s v="Rohan Patel"/>
        <s v="Rahul Iyer"/>
        <s v="Kavya Joshi"/>
        <s v="Aisha Reddy"/>
        <s v="Sneha Shetty"/>
        <s v="Priya Das"/>
        <s v="Priya Joshi"/>
        <s v="Ishita Patel"/>
        <s v="Sneha Kumar"/>
        <s v="Diya Reddy"/>
        <s v="Neha Das"/>
        <s v="Ishita Nair"/>
        <s v="Rahul Nair"/>
        <s v="Ananya Kumar"/>
        <s v="Rohan Joshi"/>
        <s v="Nikhil Iyer"/>
        <s v="Sanjay Sharma"/>
        <s v="Sanjay Joshi"/>
        <s v="Ananya Singh"/>
        <s v="Ishita Das"/>
        <s v="Meera Shetty"/>
        <s v="Sneha Rao"/>
        <s v="Kiran Reddy"/>
        <s v="Nikhil Sharma"/>
        <s v="Rahul Kumar"/>
        <s v="Ishita Shetty"/>
        <s v="Ananya Das"/>
        <s v="Vikram Nair"/>
        <s v="Sneha Das"/>
        <s v="Diya Kumar"/>
        <s v="Rohan Shetty"/>
        <s v="Sanjay Nair"/>
        <s v="Ananya Rao"/>
        <s v="Vivaan Rao"/>
        <s v="Diya Joshi"/>
        <s v="Meera Iyer"/>
        <s v="Neha Nair"/>
        <s v="Sneha Patel"/>
        <s v="Neha Iyer"/>
        <s v="Rahul Singh"/>
        <s v="Rahul Joshi"/>
        <s v="Ishita Sharma"/>
        <s v="Aditya Das"/>
        <s v="Pooja Reddy"/>
        <s v="Ananya Patel"/>
        <s v="Sanjay Shetty"/>
        <s v="Kavya Pillai"/>
      </sharedItems>
    </cacheField>
    <cacheField name="Gender" numFmtId="0">
      <sharedItems count="2">
        <s v="Male"/>
        <s v="Female"/>
      </sharedItems>
    </cacheField>
    <cacheField name="Age" numFmtId="0">
      <sharedItems containsSemiMixedTypes="0" containsString="0" containsNumber="1" containsInteger="1" minValue="20" maxValue="50"/>
    </cacheField>
    <cacheField name="City" numFmtId="0">
      <sharedItems count="15">
        <s v="Kochi"/>
        <s v="Hyderabad"/>
        <s v="Bengaluru"/>
        <s v="Coimbatore"/>
        <s v="Delhi"/>
        <s v="Mangaluru"/>
        <s v="Noida"/>
        <s v="Mumbai"/>
        <s v="Ahmedabad"/>
        <s v="Chennai"/>
        <s v="Gurugram"/>
        <s v="Mysuru"/>
        <s v="Pune"/>
        <s v="Hubballi"/>
        <s v="Kolkata"/>
      </sharedItems>
    </cacheField>
    <cacheField name="Department" numFmtId="0">
      <sharedItems count="8">
        <s v="Finance"/>
        <s v="Sales"/>
        <s v="Operations"/>
        <s v="Data Analytics"/>
        <s v="HR"/>
        <s v="IT"/>
        <s v="Marketing"/>
        <s v="Customer Support"/>
      </sharedItems>
    </cacheField>
    <cacheField name="Job_Level" numFmtId="0">
      <sharedItems/>
    </cacheField>
    <cacheField name="Employment_Type" numFmtId="0">
      <sharedItems/>
    </cacheField>
    <cacheField name="Education" numFmtId="0">
      <sharedItems count="8">
        <s v="BSc"/>
        <s v="BBA"/>
        <s v="BCA"/>
        <s v="BCom"/>
        <s v="MBA"/>
        <s v="MSc"/>
        <s v="BE/BTech"/>
        <s v="MCA"/>
      </sharedItems>
    </cacheField>
    <cacheField name="Joining_Date" numFmtId="14">
      <sharedItems containsSemiMixedTypes="0" containsNonDate="0" containsDate="1" containsString="0" minDate="2018-01-11T00:00:00" maxDate="2026-07-26T00:00:00" count="696">
        <d v="2019-12-27T00:00:00"/>
        <d v="2021-04-26T00:00:00"/>
        <d v="2019-06-18T00:00:00"/>
        <d v="2025-07-08T00:00:00"/>
        <d v="2026-01-06T00:00:00"/>
        <d v="2018-03-26T00:00:00"/>
        <d v="2025-03-24T00:00:00"/>
        <d v="2020-04-20T00:00:00"/>
        <d v="2018-03-18T00:00:00"/>
        <d v="2024-07-05T00:00:00"/>
        <d v="2024-08-27T00:00:00"/>
        <d v="2024-08-21T00:00:00"/>
        <d v="2024-07-16T00:00:00"/>
        <d v="2021-04-15T00:00:00"/>
        <d v="2024-10-07T00:00:00"/>
        <d v="2023-06-14T00:00:00"/>
        <d v="2024-01-31T00:00:00"/>
        <d v="2019-02-10T00:00:00"/>
        <d v="2023-10-31T00:00:00"/>
        <d v="2018-01-21T00:00:00"/>
        <d v="2025-07-01T00:00:00"/>
        <d v="2026-05-16T00:00:00"/>
        <d v="2019-02-02T00:00:00"/>
        <d v="2024-03-22T00:00:00"/>
        <d v="2022-12-06T00:00:00"/>
        <d v="2025-09-29T00:00:00"/>
        <d v="2022-12-14T00:00:00"/>
        <d v="2020-06-12T00:00:00"/>
        <d v="2023-04-29T00:00:00"/>
        <d v="2019-03-14T00:00:00"/>
        <d v="2021-07-19T00:00:00"/>
        <d v="2021-07-27T00:00:00"/>
        <d v="2018-08-11T00:00:00"/>
        <d v="2022-05-30T00:00:00"/>
        <d v="2023-05-15T00:00:00"/>
        <d v="2019-05-24T00:00:00"/>
        <d v="2025-04-18T00:00:00"/>
        <d v="2020-12-01T00:00:00"/>
        <d v="2021-04-14T00:00:00"/>
        <d v="2021-06-22T00:00:00"/>
        <d v="2021-06-30T00:00:00"/>
        <d v="2021-07-21T00:00:00"/>
        <d v="2026-03-26T00:00:00"/>
        <d v="2019-08-27T00:00:00"/>
        <d v="2020-10-31T00:00:00"/>
        <d v="2024-01-09T00:00:00"/>
        <d v="2018-07-08T00:00:00"/>
        <d v="2026-03-27T00:00:00"/>
        <d v="2019-11-07T00:00:00"/>
        <d v="2019-09-30T00:00:00"/>
        <d v="2024-03-08T00:00:00"/>
        <d v="2023-06-20T00:00:00"/>
        <d v="2023-01-19T00:00:00"/>
        <d v="2024-07-14T00:00:00"/>
        <d v="2018-02-16T00:00:00"/>
        <d v="2020-03-30T00:00:00"/>
        <d v="2026-04-11T00:00:00"/>
        <d v="2020-12-16T00:00:00"/>
        <d v="2021-07-01T00:00:00"/>
        <d v="2025-11-24T00:00:00"/>
        <d v="2026-03-19T00:00:00"/>
        <d v="2025-03-30T00:00:00"/>
        <d v="2024-01-27T00:00:00"/>
        <d v="2021-03-15T00:00:00"/>
        <d v="2025-11-26T00:00:00"/>
        <d v="2020-11-22T00:00:00"/>
        <d v="2022-03-19T00:00:00"/>
        <d v="2020-03-06T00:00:00"/>
        <d v="2025-11-02T00:00:00"/>
        <d v="2024-07-17T00:00:00"/>
        <d v="2018-02-17T00:00:00"/>
        <d v="2024-08-08T00:00:00"/>
        <d v="2021-11-22T00:00:00"/>
        <d v="2021-05-03T00:00:00"/>
        <d v="2022-10-27T00:00:00"/>
        <d v="2019-12-26T00:00:00"/>
        <d v="2021-09-06T00:00:00"/>
        <d v="2022-12-23T00:00:00"/>
        <d v="2018-05-18T00:00:00"/>
        <d v="2018-12-21T00:00:00"/>
        <d v="2023-02-12T00:00:00"/>
        <d v="2020-12-29T00:00:00"/>
        <d v="2020-03-21T00:00:00"/>
        <d v="2022-05-25T00:00:00"/>
        <d v="2022-10-10T00:00:00"/>
        <d v="2025-07-22T00:00:00"/>
        <d v="2018-02-28T00:00:00"/>
        <d v="2020-02-10T00:00:00"/>
        <d v="2019-01-24T00:00:00"/>
        <d v="2025-12-03T00:00:00"/>
        <d v="2025-12-26T00:00:00"/>
        <d v="2018-12-05T00:00:00"/>
        <d v="2020-01-27T00:00:00"/>
        <d v="2019-08-19T00:00:00"/>
        <d v="2019-03-12T00:00:00"/>
        <d v="2022-01-13T00:00:00"/>
        <d v="2019-01-12T00:00:00"/>
        <d v="2023-06-06T00:00:00"/>
        <d v="2024-09-04T00:00:00"/>
        <d v="2024-12-03T00:00:00"/>
        <d v="2025-11-08T00:00:00"/>
        <d v="2018-04-24T00:00:00"/>
        <d v="2020-02-13T00:00:00"/>
        <d v="2023-04-11T00:00:00"/>
        <d v="2024-01-29T00:00:00"/>
        <d v="2018-01-18T00:00:00"/>
        <d v="2018-08-23T00:00:00"/>
        <d v="2021-08-26T00:00:00"/>
        <d v="2022-08-20T00:00:00"/>
        <d v="2025-08-02T00:00:00"/>
        <d v="2018-10-08T00:00:00"/>
        <d v="2020-04-10T00:00:00"/>
        <d v="2021-02-12T00:00:00"/>
        <d v="2022-08-23T00:00:00"/>
        <d v="2022-08-18T00:00:00"/>
        <d v="2022-05-06T00:00:00"/>
        <d v="2019-02-22T00:00:00"/>
        <d v="2024-05-20T00:00:00"/>
        <d v="2019-08-08T00:00:00"/>
        <d v="2021-09-13T00:00:00"/>
        <d v="2021-09-26T00:00:00"/>
        <d v="2025-04-23T00:00:00"/>
        <d v="2024-03-18T00:00:00"/>
        <d v="2023-08-19T00:00:00"/>
        <d v="2023-04-17T00:00:00"/>
        <d v="2020-04-11T00:00:00"/>
        <d v="2024-08-19T00:00:00"/>
        <d v="2021-01-27T00:00:00"/>
        <d v="2022-09-02T00:00:00"/>
        <d v="2025-07-12T00:00:00"/>
        <d v="2025-11-19T00:00:00"/>
        <d v="2025-09-25T00:00:00"/>
        <d v="2021-11-06T00:00:00"/>
        <d v="2023-03-02T00:00:00"/>
        <d v="2026-03-07T00:00:00"/>
        <d v="2019-03-23T00:00:00"/>
        <d v="2025-06-20T00:00:00"/>
        <d v="2024-07-19T00:00:00"/>
        <d v="2024-10-08T00:00:00"/>
        <d v="2019-09-17T00:00:00"/>
        <d v="2023-02-07T00:00:00"/>
        <d v="2024-06-11T00:00:00"/>
        <d v="2024-01-05T00:00:00"/>
        <d v="2025-12-06T00:00:00"/>
        <d v="2020-01-02T00:00:00"/>
        <d v="2024-11-06T00:00:00"/>
        <d v="2020-07-26T00:00:00"/>
        <d v="2023-09-12T00:00:00"/>
        <d v="2022-10-22T00:00:00"/>
        <d v="2022-03-05T00:00:00"/>
        <d v="2022-09-17T00:00:00"/>
        <d v="2021-05-01T00:00:00"/>
        <d v="2021-04-18T00:00:00"/>
        <d v="2023-03-06T00:00:00"/>
        <d v="2026-04-20T00:00:00"/>
        <d v="2022-03-22T00:00:00"/>
        <d v="2019-01-26T00:00:00"/>
        <d v="2024-08-01T00:00:00"/>
        <d v="2025-03-05T00:00:00"/>
        <d v="2024-11-16T00:00:00"/>
        <d v="2026-02-25T00:00:00"/>
        <d v="2018-04-09T00:00:00"/>
        <d v="2019-07-24T00:00:00"/>
        <d v="2019-12-28T00:00:00"/>
        <d v="2020-09-28T00:00:00"/>
        <d v="2022-04-20T00:00:00"/>
        <d v="2018-10-30T00:00:00"/>
        <d v="2023-08-14T00:00:00"/>
        <d v="2025-09-26T00:00:00"/>
        <d v="2023-11-25T00:00:00"/>
        <d v="2023-10-24T00:00:00"/>
        <d v="2020-11-29T00:00:00"/>
        <d v="2019-10-01T00:00:00"/>
        <d v="2025-07-05T00:00:00"/>
        <d v="2021-02-16T00:00:00"/>
        <d v="2023-10-22T00:00:00"/>
        <d v="2019-07-06T00:00:00"/>
        <d v="2020-09-03T00:00:00"/>
        <d v="2018-04-06T00:00:00"/>
        <d v="2026-01-10T00:00:00"/>
        <d v="2021-04-06T00:00:00"/>
        <d v="2024-05-13T00:00:00"/>
        <d v="2024-04-25T00:00:00"/>
        <d v="2018-02-15T00:00:00"/>
        <d v="2018-12-12T00:00:00"/>
        <d v="2020-04-26T00:00:00"/>
        <d v="2026-01-21T00:00:00"/>
        <d v="2020-12-12T00:00:00"/>
        <d v="2021-03-17T00:00:00"/>
        <d v="2022-04-06T00:00:00"/>
        <d v="2018-08-21T00:00:00"/>
        <d v="2018-02-20T00:00:00"/>
        <d v="2019-10-27T00:00:00"/>
        <d v="2019-03-27T00:00:00"/>
        <d v="2021-09-24T00:00:00"/>
        <d v="2018-12-17T00:00:00"/>
        <d v="2025-05-20T00:00:00"/>
        <d v="2021-08-01T00:00:00"/>
        <d v="2026-01-04T00:00:00"/>
        <d v="2019-08-06T00:00:00"/>
        <d v="2018-09-02T00:00:00"/>
        <d v="2019-07-04T00:00:00"/>
        <d v="2019-12-29T00:00:00"/>
        <d v="2019-08-07T00:00:00"/>
        <d v="2024-03-23T00:00:00"/>
        <d v="2025-11-14T00:00:00"/>
        <d v="2019-03-17T00:00:00"/>
        <d v="2022-01-07T00:00:00"/>
        <d v="2022-12-25T00:00:00"/>
        <d v="2019-02-16T00:00:00"/>
        <d v="2020-03-24T00:00:00"/>
        <d v="2018-09-03T00:00:00"/>
        <d v="2022-09-27T00:00:00"/>
        <d v="2024-12-22T00:00:00"/>
        <d v="2020-09-08T00:00:00"/>
        <d v="2023-05-29T00:00:00"/>
        <d v="2023-12-05T00:00:00"/>
        <d v="2021-10-19T00:00:00"/>
        <d v="2023-04-22T00:00:00"/>
        <d v="2018-07-23T00:00:00"/>
        <d v="2018-11-15T00:00:00"/>
        <d v="2024-12-11T00:00:00"/>
        <d v="2018-04-17T00:00:00"/>
        <d v="2025-05-25T00:00:00"/>
        <d v="2025-01-10T00:00:00"/>
        <d v="2023-02-22T00:00:00"/>
        <d v="2020-08-15T00:00:00"/>
        <d v="2025-10-31T00:00:00"/>
        <d v="2025-01-19T00:00:00"/>
        <d v="2024-06-25T00:00:00"/>
        <d v="2020-11-26T00:00:00"/>
        <d v="2024-12-21T00:00:00"/>
        <d v="2024-05-01T00:00:00"/>
        <d v="2022-08-19T00:00:00"/>
        <d v="2022-07-31T00:00:00"/>
        <d v="2026-02-03T00:00:00"/>
        <d v="2019-02-06T00:00:00"/>
        <d v="2026-04-23T00:00:00"/>
        <d v="2019-08-25T00:00:00"/>
        <d v="2018-08-06T00:00:00"/>
        <d v="2018-07-05T00:00:00"/>
        <d v="2024-03-06T00:00:00"/>
        <d v="2018-10-15T00:00:00"/>
        <d v="2018-03-29T00:00:00"/>
        <d v="2026-05-09T00:00:00"/>
        <d v="2023-12-24T00:00:00"/>
        <d v="2024-01-15T00:00:00"/>
        <d v="2025-10-12T00:00:00"/>
        <d v="2026-02-15T00:00:00"/>
        <d v="2018-06-04T00:00:00"/>
        <d v="2018-08-08T00:00:00"/>
        <d v="2022-01-22T00:00:00"/>
        <d v="2018-11-18T00:00:00"/>
        <d v="2022-05-05T00:00:00"/>
        <d v="2023-01-11T00:00:00"/>
        <d v="2025-01-03T00:00:00"/>
        <d v="2023-11-05T00:00:00"/>
        <d v="2022-04-18T00:00:00"/>
        <d v="2024-05-11T00:00:00"/>
        <d v="2023-12-29T00:00:00"/>
        <d v="2022-10-26T00:00:00"/>
        <d v="2026-02-11T00:00:00"/>
        <d v="2018-12-19T00:00:00"/>
        <d v="2020-10-25T00:00:00"/>
        <d v="2024-08-26T00:00:00"/>
        <d v="2021-09-19T00:00:00"/>
        <d v="2019-04-20T00:00:00"/>
        <d v="2023-07-03T00:00:00"/>
        <d v="2020-07-16T00:00:00"/>
        <d v="2018-01-30T00:00:00"/>
        <d v="2026-02-17T00:00:00"/>
        <d v="2025-03-26T00:00:00"/>
        <d v="2024-12-15T00:00:00"/>
        <d v="2019-05-10T00:00:00"/>
        <d v="2019-01-23T00:00:00"/>
        <d v="2020-05-22T00:00:00"/>
        <d v="2020-04-14T00:00:00"/>
        <d v="2019-09-22T00:00:00"/>
        <d v="2026-03-06T00:00:00"/>
        <d v="2025-04-24T00:00:00"/>
        <d v="2020-03-17T00:00:00"/>
        <d v="2023-01-07T00:00:00"/>
        <d v="2021-08-03T00:00:00"/>
        <d v="2023-05-23T00:00:00"/>
        <d v="2026-05-07T00:00:00"/>
        <d v="2018-09-01T00:00:00"/>
        <d v="2018-08-09T00:00:00"/>
        <d v="2021-03-25T00:00:00"/>
        <d v="2021-11-07T00:00:00"/>
        <d v="2022-11-07T00:00:00"/>
        <d v="2021-09-05T00:00:00"/>
        <d v="2024-08-17T00:00:00"/>
        <d v="2019-06-15T00:00:00"/>
        <d v="2024-03-12T00:00:00"/>
        <d v="2024-08-11T00:00:00"/>
        <d v="2023-12-02T00:00:00"/>
        <d v="2018-01-25T00:00:00"/>
        <d v="2026-03-01T00:00:00"/>
        <d v="2021-02-18T00:00:00"/>
        <d v="2022-11-01T00:00:00"/>
        <d v="2025-04-12T00:00:00"/>
        <d v="2020-05-07T00:00:00"/>
        <d v="2020-10-23T00:00:00"/>
        <d v="2020-06-16T00:00:00"/>
        <d v="2020-02-12T00:00:00"/>
        <d v="2024-10-28T00:00:00"/>
        <d v="2018-01-20T00:00:00"/>
        <d v="2021-05-12T00:00:00"/>
        <d v="2020-03-16T00:00:00"/>
        <d v="2021-10-12T00:00:00"/>
        <d v="2023-12-16T00:00:00"/>
        <d v="2024-08-02T00:00:00"/>
        <d v="2020-05-30T00:00:00"/>
        <d v="2026-07-06T00:00:00"/>
        <d v="2022-08-12T00:00:00"/>
        <d v="2026-02-12T00:00:00"/>
        <d v="2021-01-12T00:00:00"/>
        <d v="2025-01-01T00:00:00"/>
        <d v="2019-03-20T00:00:00"/>
        <d v="2023-08-05T00:00:00"/>
        <d v="2021-05-13T00:00:00"/>
        <d v="2022-02-20T00:00:00"/>
        <d v="2020-02-18T00:00:00"/>
        <d v="2024-04-18T00:00:00"/>
        <d v="2022-10-13T00:00:00"/>
        <d v="2020-11-20T00:00:00"/>
        <d v="2019-02-25T00:00:00"/>
        <d v="2023-01-26T00:00:00"/>
        <d v="2023-10-10T00:00:00"/>
        <d v="2019-08-02T00:00:00"/>
        <d v="2021-06-03T00:00:00"/>
        <d v="2023-06-10T00:00:00"/>
        <d v="2021-09-20T00:00:00"/>
        <d v="2025-03-11T00:00:00"/>
        <d v="2025-05-11T00:00:00"/>
        <d v="2018-04-21T00:00:00"/>
        <d v="2019-05-06T00:00:00"/>
        <d v="2023-09-13T00:00:00"/>
        <d v="2024-03-09T00:00:00"/>
        <d v="2021-10-28T00:00:00"/>
        <d v="2023-12-13T00:00:00"/>
        <d v="2022-10-08T00:00:00"/>
        <d v="2024-07-06T00:00:00"/>
        <d v="2023-02-19T00:00:00"/>
        <d v="2023-05-04T00:00:00"/>
        <d v="2022-05-13T00:00:00"/>
        <d v="2021-11-23T00:00:00"/>
        <d v="2022-08-04T00:00:00"/>
        <d v="2021-04-01T00:00:00"/>
        <d v="2022-07-05T00:00:00"/>
        <d v="2025-06-04T00:00:00"/>
        <d v="2020-12-24T00:00:00"/>
        <d v="2021-05-24T00:00:00"/>
        <d v="2019-08-26T00:00:00"/>
        <d v="2018-01-26T00:00:00"/>
        <d v="2025-06-09T00:00:00"/>
        <d v="2020-12-03T00:00:00"/>
        <d v="2021-01-18T00:00:00"/>
        <d v="2021-03-02T00:00:00"/>
        <d v="2021-03-30T00:00:00"/>
        <d v="2022-11-03T00:00:00"/>
        <d v="2019-01-15T00:00:00"/>
        <d v="2021-07-08T00:00:00"/>
        <d v="2019-01-04T00:00:00"/>
        <d v="2021-01-05T00:00:00"/>
        <d v="2020-11-02T00:00:00"/>
        <d v="2023-04-06T00:00:00"/>
        <d v="2019-06-30T00:00:00"/>
        <d v="2021-03-09T00:00:00"/>
        <d v="2018-10-02T00:00:00"/>
        <d v="2025-12-31T00:00:00"/>
        <d v="2024-03-19T00:00:00"/>
        <d v="2026-01-01T00:00:00"/>
        <d v="2021-02-26T00:00:00"/>
        <d v="2021-09-08T00:00:00"/>
        <d v="2021-12-27T00:00:00"/>
        <d v="2024-03-15T00:00:00"/>
        <d v="2023-02-14T00:00:00"/>
        <d v="2021-06-25T00:00:00"/>
        <d v="2025-11-03T00:00:00"/>
        <d v="2019-12-09T00:00:00"/>
        <d v="2024-01-04T00:00:00"/>
        <d v="2021-09-29T00:00:00"/>
        <d v="2022-03-09T00:00:00"/>
        <d v="2018-05-14T00:00:00"/>
        <d v="2025-12-21T00:00:00"/>
        <d v="2023-07-07T00:00:00"/>
        <d v="2024-11-08T00:00:00"/>
        <d v="2020-12-20T00:00:00"/>
        <d v="2024-11-12T00:00:00"/>
        <d v="2023-07-16T00:00:00"/>
        <d v="2022-10-18T00:00:00"/>
        <d v="2023-12-27T00:00:00"/>
        <d v="2025-04-19T00:00:00"/>
        <d v="2026-03-28T00:00:00"/>
        <d v="2025-03-31T00:00:00"/>
        <d v="2018-01-11T00:00:00"/>
        <d v="2024-07-02T00:00:00"/>
        <d v="2022-09-18T00:00:00"/>
        <d v="2024-08-23T00:00:00"/>
        <d v="2024-03-28T00:00:00"/>
        <d v="2021-03-10T00:00:00"/>
        <d v="2019-09-10T00:00:00"/>
        <d v="2020-02-04T00:00:00"/>
        <d v="2018-02-18T00:00:00"/>
        <d v="2022-12-04T00:00:00"/>
        <d v="2023-03-08T00:00:00"/>
        <d v="2021-12-03T00:00:00"/>
        <d v="2024-09-20T00:00:00"/>
        <d v="2020-12-10T00:00:00"/>
        <d v="2024-02-01T00:00:00"/>
        <d v="2024-12-02T00:00:00"/>
        <d v="2022-10-24T00:00:00"/>
        <d v="2018-09-26T00:00:00"/>
        <d v="2025-10-28T00:00:00"/>
        <d v="2026-01-19T00:00:00"/>
        <d v="2020-06-19T00:00:00"/>
        <d v="2020-07-07T00:00:00"/>
        <d v="2024-06-23T00:00:00"/>
        <d v="2019-01-20T00:00:00"/>
        <d v="2022-05-29T00:00:00"/>
        <d v="2019-09-18T00:00:00"/>
        <d v="2026-07-23T00:00:00"/>
        <d v="2021-05-08T00:00:00"/>
        <d v="2023-03-23T00:00:00"/>
        <d v="2025-05-14T00:00:00"/>
        <d v="2025-07-14T00:00:00"/>
        <d v="2022-09-11T00:00:00"/>
        <d v="2024-06-10T00:00:00"/>
        <d v="2022-11-11T00:00:00"/>
        <d v="2020-04-21T00:00:00"/>
        <d v="2022-07-11T00:00:00"/>
        <d v="2021-05-16T00:00:00"/>
        <d v="2022-10-14T00:00:00"/>
        <d v="2025-01-02T00:00:00"/>
        <d v="2021-07-06T00:00:00"/>
        <d v="2024-01-20T00:00:00"/>
        <d v="2020-01-08T00:00:00"/>
        <d v="2018-12-07T00:00:00"/>
        <d v="2026-02-27T00:00:00"/>
        <d v="2023-05-06T00:00:00"/>
        <d v="2022-11-17T00:00:00"/>
        <d v="2019-06-14T00:00:00"/>
        <d v="2018-02-03T00:00:00"/>
        <d v="2026-05-04T00:00:00"/>
        <d v="2018-11-19T00:00:00"/>
        <d v="2021-04-19T00:00:00"/>
        <d v="2018-12-13T00:00:00"/>
        <d v="2022-09-26T00:00:00"/>
        <d v="2021-04-30T00:00:00"/>
        <d v="2022-05-22T00:00:00"/>
        <d v="2025-07-31T00:00:00"/>
        <d v="2022-08-30T00:00:00"/>
        <d v="2025-06-18T00:00:00"/>
        <d v="2023-01-06T00:00:00"/>
        <d v="2026-02-10T00:00:00"/>
        <d v="2026-05-10T00:00:00"/>
        <d v="2018-05-13T00:00:00"/>
        <d v="2026-02-05T00:00:00"/>
        <d v="2021-10-02T00:00:00"/>
        <d v="2023-09-28T00:00:00"/>
        <d v="2020-12-23T00:00:00"/>
        <d v="2022-07-06T00:00:00"/>
        <d v="2023-03-07T00:00:00"/>
        <d v="2021-02-01T00:00:00"/>
        <d v="2024-03-10T00:00:00"/>
        <d v="2022-03-21T00:00:00"/>
        <d v="2018-04-29T00:00:00"/>
        <d v="2025-12-13T00:00:00"/>
        <d v="2025-09-09T00:00:00"/>
        <d v="2025-06-19T00:00:00"/>
        <d v="2020-06-13T00:00:00"/>
        <d v="2021-06-19T00:00:00"/>
        <d v="2024-05-16T00:00:00"/>
        <d v="2018-12-29T00:00:00"/>
        <d v="2026-05-27T00:00:00"/>
        <d v="2022-11-09T00:00:00"/>
        <d v="2022-10-07T00:00:00"/>
        <d v="2018-11-10T00:00:00"/>
        <d v="2022-03-17T00:00:00"/>
        <d v="2022-09-03T00:00:00"/>
        <d v="2025-09-18T00:00:00"/>
        <d v="2020-12-22T00:00:00"/>
        <d v="2018-09-29T00:00:00"/>
        <d v="2026-06-15T00:00:00"/>
        <d v="2022-11-25T00:00:00"/>
        <d v="2024-07-18T00:00:00"/>
        <d v="2024-07-21T00:00:00"/>
        <d v="2024-03-30T00:00:00"/>
        <d v="2020-09-16T00:00:00"/>
        <d v="2025-03-08T00:00:00"/>
        <d v="2024-09-29T00:00:00"/>
        <d v="2020-06-23T00:00:00"/>
        <d v="2024-05-03T00:00:00"/>
        <d v="2026-05-03T00:00:00"/>
        <d v="2020-01-14T00:00:00"/>
        <d v="2020-06-29T00:00:00"/>
        <d v="2024-10-26T00:00:00"/>
        <d v="2025-02-20T00:00:00"/>
        <d v="2023-03-01T00:00:00"/>
        <d v="2022-10-12T00:00:00"/>
        <d v="2023-10-25T00:00:00"/>
        <d v="2018-09-04T00:00:00"/>
        <d v="2025-03-12T00:00:00"/>
        <d v="2024-06-18T00:00:00"/>
        <d v="2019-07-30T00:00:00"/>
        <d v="2022-06-04T00:00:00"/>
        <d v="2025-07-25T00:00:00"/>
        <d v="2021-04-20T00:00:00"/>
        <d v="2020-09-10T00:00:00"/>
        <d v="2025-08-05T00:00:00"/>
        <d v="2025-05-03T00:00:00"/>
        <d v="2024-09-12T00:00:00"/>
        <d v="2025-07-24T00:00:00"/>
        <d v="2020-07-12T00:00:00"/>
        <d v="2018-10-19T00:00:00"/>
        <d v="2023-10-03T00:00:00"/>
        <d v="2021-10-11T00:00:00"/>
        <d v="2026-04-19T00:00:00"/>
        <d v="2024-11-29T00:00:00"/>
        <d v="2018-01-22T00:00:00"/>
        <d v="2021-08-08T00:00:00"/>
        <d v="2020-11-18T00:00:00"/>
        <d v="2023-05-16T00:00:00"/>
        <d v="2024-01-17T00:00:00"/>
        <d v="2020-06-28T00:00:00"/>
        <d v="2018-04-11T00:00:00"/>
        <d v="2021-08-06T00:00:00"/>
        <d v="2023-03-17T00:00:00"/>
        <d v="2021-04-29T00:00:00"/>
        <d v="2020-02-29T00:00:00"/>
        <d v="2021-09-28T00:00:00"/>
        <d v="2025-12-02T00:00:00"/>
        <d v="2022-06-20T00:00:00"/>
        <d v="2026-01-16T00:00:00"/>
        <d v="2021-10-15T00:00:00"/>
        <d v="2019-05-18T00:00:00"/>
        <d v="2018-06-22T00:00:00"/>
        <d v="2020-06-05T00:00:00"/>
        <d v="2021-11-18T00:00:00"/>
        <d v="2023-12-08T00:00:00"/>
        <d v="2018-09-30T00:00:00"/>
        <d v="2021-11-10T00:00:00"/>
        <d v="2026-02-08T00:00:00"/>
        <d v="2026-01-02T00:00:00"/>
        <d v="2023-03-26T00:00:00"/>
        <d v="2023-05-12T00:00:00"/>
        <d v="2018-09-18T00:00:00"/>
        <d v="2021-09-14T00:00:00"/>
        <d v="2021-02-21T00:00:00"/>
        <d v="2022-02-08T00:00:00"/>
        <d v="2018-10-05T00:00:00"/>
        <d v="2023-11-11T00:00:00"/>
        <d v="2020-04-02T00:00:00"/>
        <d v="2019-06-16T00:00:00"/>
        <d v="2025-09-21T00:00:00"/>
        <d v="2018-06-16T00:00:00"/>
        <d v="2018-08-24T00:00:00"/>
        <d v="2020-11-21T00:00:00"/>
        <d v="2021-06-08T00:00:00"/>
        <d v="2018-07-10T00:00:00"/>
        <d v="2025-05-28T00:00:00"/>
        <d v="2019-09-05T00:00:00"/>
        <d v="2022-03-12T00:00:00"/>
        <d v="2024-04-21T00:00:00"/>
        <d v="2022-09-20T00:00:00"/>
        <d v="2020-08-30T00:00:00"/>
        <d v="2026-07-25T00:00:00"/>
        <d v="2019-10-11T00:00:00"/>
        <d v="2018-04-16T00:00:00"/>
        <d v="2022-05-24T00:00:00"/>
        <d v="2018-07-11T00:00:00"/>
        <d v="2020-09-29T00:00:00"/>
        <d v="2021-07-25T00:00:00"/>
        <d v="2022-04-17T00:00:00"/>
        <d v="2022-11-29T00:00:00"/>
        <d v="2019-09-27T00:00:00"/>
        <d v="2023-07-05T00:00:00"/>
        <d v="2026-03-15T00:00:00"/>
        <d v="2026-06-13T00:00:00"/>
        <d v="2026-06-26T00:00:00"/>
        <d v="2022-08-15T00:00:00"/>
        <d v="2022-05-19T00:00:00"/>
        <d v="2018-03-11T00:00:00"/>
        <d v="2018-06-03T00:00:00"/>
        <d v="2022-01-01T00:00:00"/>
        <d v="2025-09-13T00:00:00"/>
        <d v="2024-05-07T00:00:00"/>
        <d v="2025-02-01T00:00:00"/>
        <d v="2023-07-13T00:00:00"/>
        <d v="2021-01-02T00:00:00"/>
        <d v="2019-07-25T00:00:00"/>
        <d v="2018-05-29T00:00:00"/>
        <d v="2023-08-20T00:00:00"/>
        <d v="2025-05-15T00:00:00"/>
        <d v="2023-10-11T00:00:00"/>
        <d v="2021-11-12T00:00:00"/>
        <d v="2023-04-03T00:00:00"/>
        <d v="2022-10-20T00:00:00"/>
        <d v="2023-02-15T00:00:00"/>
        <d v="2022-04-23T00:00:00"/>
        <d v="2022-09-09T00:00:00"/>
        <d v="2021-01-11T00:00:00"/>
        <d v="2018-01-17T00:00:00"/>
        <d v="2024-08-13T00:00:00"/>
        <d v="2025-06-24T00:00:00"/>
        <d v="2018-09-12T00:00:00"/>
        <d v="2019-07-15T00:00:00"/>
        <d v="2025-01-24T00:00:00"/>
        <d v="2021-11-16T00:00:00"/>
        <d v="2018-11-16T00:00:00"/>
        <d v="2019-11-30T00:00:00"/>
        <d v="2021-12-08T00:00:00"/>
        <d v="2018-02-01T00:00:00"/>
        <d v="2019-12-16T00:00:00"/>
        <d v="2025-09-02T00:00:00"/>
        <d v="2020-11-05T00:00:00"/>
        <d v="2019-02-13T00:00:00"/>
        <d v="2025-11-15T00:00:00"/>
        <d v="2024-01-30T00:00:00"/>
        <d v="2020-07-24T00:00:00"/>
        <d v="2021-09-02T00:00:00"/>
        <d v="2019-12-08T00:00:00"/>
        <d v="2026-04-12T00:00:00"/>
        <d v="2020-02-22T00:00:00"/>
        <d v="2023-12-20T00:00:00"/>
        <d v="2025-06-03T00:00:00"/>
        <d v="2021-03-24T00:00:00"/>
        <d v="2024-08-03T00:00:00"/>
        <d v="2021-06-12T00:00:00"/>
        <d v="2025-09-08T00:00:00"/>
        <d v="2018-06-14T00:00:00"/>
        <d v="2025-07-27T00:00:00"/>
        <d v="2024-10-10T00:00:00"/>
        <d v="2025-06-17T00:00:00"/>
        <d v="2024-12-10T00:00:00"/>
        <d v="2018-08-01T00:00:00"/>
        <d v="2023-05-03T00:00:00"/>
        <d v="2020-02-05T00:00:00"/>
        <d v="2024-01-14T00:00:00"/>
        <d v="2024-10-18T00:00:00"/>
        <d v="2021-04-16T00:00:00"/>
        <d v="2025-11-29T00:00:00"/>
        <d v="2019-10-07T00:00:00"/>
        <d v="2022-07-19T00:00:00"/>
        <d v="2024-06-17T00:00:00"/>
        <d v="2023-01-30T00:00:00"/>
        <d v="2018-05-07T00:00:00"/>
        <d v="2018-08-13T00:00:00"/>
        <d v="2026-06-16T00:00:00"/>
        <d v="2019-05-12T00:00:00"/>
        <d v="2023-07-10T00:00:00"/>
        <d v="2019-04-18T00:00:00"/>
        <d v="2023-03-04T00:00:00"/>
        <d v="2021-03-06T00:00:00"/>
        <d v="2024-11-27T00:00:00"/>
        <d v="2018-08-05T00:00:00"/>
        <d v="2018-07-15T00:00:00"/>
        <d v="2024-02-27T00:00:00"/>
        <d v="2019-01-01T00:00:00"/>
        <d v="2025-07-29T00:00:00"/>
        <d v="2022-04-01T00:00:00"/>
        <d v="2024-09-13T00:00:00"/>
        <d v="2022-03-29T00:00:00"/>
        <d v="2025-03-22T00:00:00"/>
        <d v="2018-08-02T00:00:00"/>
        <d v="2022-09-13T00:00:00"/>
        <d v="2025-11-23T00:00:00"/>
        <d v="2025-12-24T00:00:00"/>
        <d v="2021-04-17T00:00:00"/>
        <d v="2021-12-26T00:00:00"/>
        <d v="2020-08-02T00:00:00"/>
        <d v="2024-09-15T00:00:00"/>
        <d v="2026-01-09T00:00:00"/>
        <d v="2019-07-20T00:00:00"/>
        <d v="2018-04-28T00:00:00"/>
        <d v="2019-01-03T00:00:00"/>
        <d v="2021-02-03T00:00:00"/>
        <d v="2025-05-01T00:00:00"/>
        <d v="2023-04-02T00:00:00"/>
        <d v="2023-03-05T00:00:00"/>
        <d v="2024-01-07T00:00:00"/>
        <d v="2020-03-26T00:00:00"/>
        <d v="2024-04-22T00:00:00"/>
        <d v="2023-08-26T00:00:00"/>
        <d v="2018-07-12T00:00:00"/>
        <d v="2026-04-09T00:00:00"/>
        <d v="2020-08-08T00:00:00"/>
        <d v="2025-01-27T00:00:00"/>
        <d v="2024-09-08T00:00:00"/>
        <d v="2020-07-31T00:00:00"/>
        <d v="2018-09-15T00:00:00"/>
        <d v="2021-05-06T00:00:00"/>
        <d v="2023-10-02T00:00:00"/>
        <d v="2019-10-13T00:00:00"/>
        <d v="2019-01-31T00:00:00"/>
      </sharedItems>
      <fieldGroup par="27"/>
    </cacheField>
    <cacheField name="E_Status" numFmtId="0">
      <sharedItems count="3">
        <s v="Active"/>
        <s v="Resigned"/>
        <s v="On Leave"/>
      </sharedItems>
    </cacheField>
    <cacheField name="Work_Mode" numFmtId="0">
      <sharedItems/>
    </cacheField>
    <cacheField name="Annual_Salary_INR" numFmtId="0">
      <sharedItems containsSemiMixedTypes="0" containsString="0" containsNumber="1" containsInteger="1" minValue="18000" maxValue="175000"/>
    </cacheField>
    <cacheField name="Experience_Years" numFmtId="0">
      <sharedItems containsSemiMixedTypes="0" containsString="0" containsNumber="1" containsInteger="1" minValue="0" maxValue="31"/>
    </cacheField>
    <cacheField name="Attendance_Percent" numFmtId="0">
      <sharedItems containsSemiMixedTypes="0" containsString="0" containsNumber="1" minValue="73.2" maxValue="100"/>
    </cacheField>
    <cacheField name="Training_Hours" numFmtId="0">
      <sharedItems containsSemiMixedTypes="0" containsString="0" containsNumber="1" containsInteger="1" minValue="0" maxValue="8"/>
    </cacheField>
    <cacheField name="Projects_Completed" numFmtId="0">
      <sharedItems containsSemiMixedTypes="0" containsString="0" containsNumber="1" containsInteger="1" minValue="0" maxValue="15"/>
    </cacheField>
    <cacheField name="Promotions" numFmtId="0">
      <sharedItems containsSemiMixedTypes="0" containsString="0" containsNumber="1" containsInteger="1" minValue="0" maxValue="4"/>
    </cacheField>
    <cacheField name="Overtime_Hours" numFmtId="0">
      <sharedItems containsSemiMixedTypes="0" containsString="0" containsNumber="1" containsInteger="1" minValue="0" maxValue="30"/>
    </cacheField>
    <cacheField name="Leave_Days" numFmtId="0">
      <sharedItems containsSemiMixedTypes="0" containsString="0" containsNumber="1" containsInteger="1" minValue="2" maxValue="30"/>
    </cacheField>
    <cacheField name="Recruitment_Source" numFmtId="0">
      <sharedItems/>
    </cacheField>
    <cacheField name="Monthly_Salary_INR" numFmtId="0">
      <sharedItems containsSemiMixedTypes="0" containsString="0" containsNumber="1" containsInteger="1" minValue="1500" maxValue="14583"/>
    </cacheField>
    <cacheField name="Tenure_Years" numFmtId="0">
      <sharedItems containsSemiMixedTypes="0" containsString="0" containsNumber="1" minValue="0" maxValue="8.6"/>
    </cacheField>
    <cacheField name="Age_Band" numFmtId="0">
      <sharedItems/>
    </cacheField>
    <cacheField name="Performance_Category" numFmtId="0">
      <sharedItems/>
    </cacheField>
    <cacheField name="Months (Joining_Date)" numFmtId="0" databaseField="0">
      <fieldGroup base="9">
        <rangePr groupBy="months" startDate="2018-01-11T00:00:00" endDate="2026-07-26T00:00:00"/>
        <groupItems count="14">
          <s v="&lt;11-01-2018"/>
          <s v="Jan"/>
          <s v="Feb"/>
          <s v="Mar"/>
          <s v="Apr"/>
          <s v="May"/>
          <s v="Jun"/>
          <s v="Jul"/>
          <s v="Aug"/>
          <s v="Sep"/>
          <s v="Oct"/>
          <s v="Nov"/>
          <s v="Dec"/>
          <s v="&gt;26-07-2026"/>
        </groupItems>
      </fieldGroup>
    </cacheField>
    <cacheField name="Quarters (Joining_Date)" numFmtId="0" databaseField="0">
      <fieldGroup base="9">
        <rangePr groupBy="quarters" startDate="2018-01-11T00:00:00" endDate="2026-07-26T00:00:00"/>
        <groupItems count="6">
          <s v="&lt;11-01-2018"/>
          <s v="Qtr1"/>
          <s v="Qtr2"/>
          <s v="Qtr3"/>
          <s v="Qtr4"/>
          <s v="&gt;26-07-2026"/>
        </groupItems>
      </fieldGroup>
    </cacheField>
    <cacheField name="Years (Joining_Date)" numFmtId="0" databaseField="0">
      <fieldGroup base="9">
        <rangePr groupBy="years" startDate="2018-01-11T00:00:00" endDate="2026-07-26T00:00:00"/>
        <groupItems count="11">
          <s v="&lt;11-01-2018"/>
          <s v="2018"/>
          <s v="2019"/>
          <s v="2020"/>
          <s v="2021"/>
          <s v="2022"/>
          <s v="2023"/>
          <s v="2024"/>
          <s v="2025"/>
          <s v="2026"/>
          <s v="&gt;26-07-2026"/>
        </groupItems>
      </fieldGroup>
    </cacheField>
  </cacheFields>
  <extLst>
    <ext xmlns:x14="http://schemas.microsoft.com/office/spreadsheetml/2009/9/main" uri="{725AE2AE-9491-48be-B2B4-4EB974FC3084}">
      <x14:pivotCacheDefinition pivotCacheId="7911631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rnima B G" refreshedDate="46251.500423958336" createdVersion="8" refreshedVersion="8" minRefreshableVersion="3" recordCount="800" xr:uid="{83FB5E7A-C7A8-4B79-8AE0-C3C0D486BBAE}">
  <cacheSource type="worksheet">
    <worksheetSource ref="A1:Y801" sheet="MASTERDATA"/>
  </cacheSource>
  <cacheFields count="28">
    <cacheField name="E_ID" numFmtId="0">
      <sharedItems count="800">
        <s v="EMP10001"/>
        <s v="EMP10002"/>
        <s v="EMP10003"/>
        <s v="EMP10004"/>
        <s v="EMP10005"/>
        <s v="EMP10006"/>
        <s v="EMP10007"/>
        <s v="EMP10008"/>
        <s v="EMP10009"/>
        <s v="EMP10010"/>
        <s v="EMP10011"/>
        <s v="EMP10012"/>
        <s v="EMP10013"/>
        <s v="EMP10014"/>
        <s v="EMP10015"/>
        <s v="EMP10016"/>
        <s v="EMP10017"/>
        <s v="EMP10018"/>
        <s v="EMP10019"/>
        <s v="EMP10020"/>
        <s v="EMP10021"/>
        <s v="EMP10022"/>
        <s v="EMP10023"/>
        <s v="EMP10024"/>
        <s v="EMP10025"/>
        <s v="EMP10026"/>
        <s v="EMP10027"/>
        <s v="EMP10028"/>
        <s v="EMP10029"/>
        <s v="EMP10030"/>
        <s v="EMP10031"/>
        <s v="EMP10032"/>
        <s v="EMP10033"/>
        <s v="EMP10034"/>
        <s v="EMP10035"/>
        <s v="EMP10036"/>
        <s v="EMP10037"/>
        <s v="EMP10038"/>
        <s v="EMP10039"/>
        <s v="EMP10040"/>
        <s v="EMP10041"/>
        <s v="EMP10042"/>
        <s v="EMP10043"/>
        <s v="EMP10044"/>
        <s v="EMP10045"/>
        <s v="EMP10046"/>
        <s v="EMP10047"/>
        <s v="EMP10048"/>
        <s v="EMP10049"/>
        <s v="EMP10050"/>
        <s v="EMP10051"/>
        <s v="EMP10052"/>
        <s v="EMP10053"/>
        <s v="EMP10054"/>
        <s v="EMP10055"/>
        <s v="EMP10056"/>
        <s v="EMP10057"/>
        <s v="EMP10058"/>
        <s v="EMP10059"/>
        <s v="EMP10060"/>
        <s v="EMP10061"/>
        <s v="EMP10062"/>
        <s v="EMP10063"/>
        <s v="EMP10064"/>
        <s v="EMP10065"/>
        <s v="EMP10066"/>
        <s v="EMP10067"/>
        <s v="EMP10068"/>
        <s v="EMP10069"/>
        <s v="EMP10070"/>
        <s v="EMP10071"/>
        <s v="EMP10072"/>
        <s v="EMP10073"/>
        <s v="EMP10074"/>
        <s v="EMP10075"/>
        <s v="EMP10076"/>
        <s v="EMP10077"/>
        <s v="EMP10078"/>
        <s v="EMP10079"/>
        <s v="EMP10080"/>
        <s v="EMP10081"/>
        <s v="EMP10082"/>
        <s v="EMP10083"/>
        <s v="EMP10084"/>
        <s v="EMP10085"/>
        <s v="EMP10086"/>
        <s v="EMP10087"/>
        <s v="EMP10088"/>
        <s v="EMP10089"/>
        <s v="EMP10090"/>
        <s v="EMP10091"/>
        <s v="EMP10092"/>
        <s v="EMP10093"/>
        <s v="EMP10094"/>
        <s v="EMP10095"/>
        <s v="EMP10096"/>
        <s v="EMP10097"/>
        <s v="EMP10098"/>
        <s v="EMP10099"/>
        <s v="EMP10100"/>
        <s v="EMP10101"/>
        <s v="EMP10102"/>
        <s v="EMP10103"/>
        <s v="EMP10104"/>
        <s v="EMP10105"/>
        <s v="EMP10106"/>
        <s v="EMP10107"/>
        <s v="EMP10108"/>
        <s v="EMP10109"/>
        <s v="EMP10110"/>
        <s v="EMP10111"/>
        <s v="EMP10112"/>
        <s v="EMP10113"/>
        <s v="EMP10114"/>
        <s v="EMP10115"/>
        <s v="EMP10116"/>
        <s v="EMP10117"/>
        <s v="EMP10118"/>
        <s v="EMP10119"/>
        <s v="EMP10120"/>
        <s v="EMP10121"/>
        <s v="EMP10122"/>
        <s v="EMP10123"/>
        <s v="EMP10124"/>
        <s v="EMP10125"/>
        <s v="EMP10126"/>
        <s v="EMP10127"/>
        <s v="EMP10128"/>
        <s v="EMP10129"/>
        <s v="EMP10130"/>
        <s v="EMP10131"/>
        <s v="EMP10132"/>
        <s v="EMP10133"/>
        <s v="EMP10134"/>
        <s v="EMP10135"/>
        <s v="EMP10136"/>
        <s v="EMP10137"/>
        <s v="EMP10138"/>
        <s v="EMP10139"/>
        <s v="EMP10140"/>
        <s v="EMP10141"/>
        <s v="EMP10142"/>
        <s v="EMP10143"/>
        <s v="EMP10144"/>
        <s v="EMP10145"/>
        <s v="EMP10146"/>
        <s v="EMP10147"/>
        <s v="EMP10148"/>
        <s v="EMP10149"/>
        <s v="EMP10150"/>
        <s v="EMP10151"/>
        <s v="EMP10152"/>
        <s v="EMP10153"/>
        <s v="EMP10154"/>
        <s v="EMP10155"/>
        <s v="EMP10156"/>
        <s v="EMP10157"/>
        <s v="EMP10158"/>
        <s v="EMP10159"/>
        <s v="EMP10160"/>
        <s v="EMP10161"/>
        <s v="EMP10162"/>
        <s v="EMP10163"/>
        <s v="EMP10164"/>
        <s v="EMP10165"/>
        <s v="EMP10166"/>
        <s v="EMP10167"/>
        <s v="EMP10168"/>
        <s v="EMP10169"/>
        <s v="EMP10170"/>
        <s v="EMP10171"/>
        <s v="EMP10172"/>
        <s v="EMP10173"/>
        <s v="EMP10174"/>
        <s v="EMP10175"/>
        <s v="EMP10176"/>
        <s v="EMP10177"/>
        <s v="EMP10178"/>
        <s v="EMP10179"/>
        <s v="EMP10180"/>
        <s v="EMP10181"/>
        <s v="EMP10182"/>
        <s v="EMP10183"/>
        <s v="EMP10184"/>
        <s v="EMP10185"/>
        <s v="EMP10186"/>
        <s v="EMP10187"/>
        <s v="EMP10188"/>
        <s v="EMP10189"/>
        <s v="EMP10190"/>
        <s v="EMP10191"/>
        <s v="EMP10192"/>
        <s v="EMP10193"/>
        <s v="EMP10194"/>
        <s v="EMP10195"/>
        <s v="EMP10196"/>
        <s v="EMP10197"/>
        <s v="EMP10198"/>
        <s v="EMP10199"/>
        <s v="EMP10200"/>
        <s v="EMP10201"/>
        <s v="EMP10202"/>
        <s v="EMP10203"/>
        <s v="EMP10204"/>
        <s v="EMP10205"/>
        <s v="EMP10206"/>
        <s v="EMP10207"/>
        <s v="EMP10208"/>
        <s v="EMP10209"/>
        <s v="EMP10210"/>
        <s v="EMP10211"/>
        <s v="EMP10212"/>
        <s v="EMP10213"/>
        <s v="EMP10214"/>
        <s v="EMP10215"/>
        <s v="EMP10216"/>
        <s v="EMP10217"/>
        <s v="EMP10218"/>
        <s v="EMP10219"/>
        <s v="EMP10220"/>
        <s v="EMP10221"/>
        <s v="EMP10222"/>
        <s v="EMP10223"/>
        <s v="EMP10224"/>
        <s v="EMP10225"/>
        <s v="EMP10226"/>
        <s v="EMP10227"/>
        <s v="EMP10228"/>
        <s v="EMP10229"/>
        <s v="EMP10230"/>
        <s v="EMP10231"/>
        <s v="EMP10232"/>
        <s v="EMP10233"/>
        <s v="EMP10234"/>
        <s v="EMP10235"/>
        <s v="EMP10236"/>
        <s v="EMP10237"/>
        <s v="EMP10238"/>
        <s v="EMP10239"/>
        <s v="EMP10240"/>
        <s v="EMP10241"/>
        <s v="EMP10242"/>
        <s v="EMP10243"/>
        <s v="EMP10244"/>
        <s v="EMP10245"/>
        <s v="EMP10246"/>
        <s v="EMP10247"/>
        <s v="EMP10248"/>
        <s v="EMP10249"/>
        <s v="EMP10250"/>
        <s v="EMP10251"/>
        <s v="EMP10252"/>
        <s v="EMP10253"/>
        <s v="EMP10254"/>
        <s v="EMP10255"/>
        <s v="EMP10256"/>
        <s v="EMP10257"/>
        <s v="EMP10258"/>
        <s v="EMP10259"/>
        <s v="EMP10260"/>
        <s v="EMP10261"/>
        <s v="EMP10262"/>
        <s v="EMP10263"/>
        <s v="EMP10264"/>
        <s v="EMP10265"/>
        <s v="EMP10266"/>
        <s v="EMP10267"/>
        <s v="EMP10268"/>
        <s v="EMP10269"/>
        <s v="EMP10270"/>
        <s v="EMP10271"/>
        <s v="EMP10272"/>
        <s v="EMP10273"/>
        <s v="EMP10274"/>
        <s v="EMP10275"/>
        <s v="EMP10276"/>
        <s v="EMP10277"/>
        <s v="EMP10278"/>
        <s v="EMP10279"/>
        <s v="EMP10280"/>
        <s v="EMP10281"/>
        <s v="EMP10282"/>
        <s v="EMP10283"/>
        <s v="EMP10284"/>
        <s v="EMP10285"/>
        <s v="EMP10286"/>
        <s v="EMP10287"/>
        <s v="EMP10288"/>
        <s v="EMP10289"/>
        <s v="EMP10290"/>
        <s v="EMP10291"/>
        <s v="EMP10292"/>
        <s v="EMP10293"/>
        <s v="EMP10294"/>
        <s v="EMP10295"/>
        <s v="EMP10296"/>
        <s v="EMP10297"/>
        <s v="EMP10298"/>
        <s v="EMP10299"/>
        <s v="EMP10300"/>
        <s v="EMP10301"/>
        <s v="EMP10302"/>
        <s v="EMP10303"/>
        <s v="EMP10304"/>
        <s v="EMP10305"/>
        <s v="EMP10306"/>
        <s v="EMP10307"/>
        <s v="EMP10308"/>
        <s v="EMP10309"/>
        <s v="EMP10310"/>
        <s v="EMP10311"/>
        <s v="EMP10312"/>
        <s v="EMP10313"/>
        <s v="EMP10314"/>
        <s v="EMP10315"/>
        <s v="EMP10316"/>
        <s v="EMP10317"/>
        <s v="EMP10318"/>
        <s v="EMP10319"/>
        <s v="EMP10320"/>
        <s v="EMP10321"/>
        <s v="EMP10322"/>
        <s v="EMP10323"/>
        <s v="EMP10324"/>
        <s v="EMP10325"/>
        <s v="EMP10326"/>
        <s v="EMP10327"/>
        <s v="EMP10328"/>
        <s v="EMP10329"/>
        <s v="EMP10330"/>
        <s v="EMP10331"/>
        <s v="EMP10332"/>
        <s v="EMP10333"/>
        <s v="EMP10334"/>
        <s v="EMP10335"/>
        <s v="EMP10336"/>
        <s v="EMP10337"/>
        <s v="EMP10338"/>
        <s v="EMP10339"/>
        <s v="EMP10340"/>
        <s v="EMP10341"/>
        <s v="EMP10342"/>
        <s v="EMP10343"/>
        <s v="EMP10344"/>
        <s v="EMP10345"/>
        <s v="EMP10346"/>
        <s v="EMP10347"/>
        <s v="EMP10348"/>
        <s v="EMP10349"/>
        <s v="EMP10350"/>
        <s v="EMP10351"/>
        <s v="EMP10352"/>
        <s v="EMP10353"/>
        <s v="EMP10354"/>
        <s v="EMP10355"/>
        <s v="EMP10356"/>
        <s v="EMP10357"/>
        <s v="EMP10358"/>
        <s v="EMP10359"/>
        <s v="EMP10360"/>
        <s v="EMP10361"/>
        <s v="EMP10362"/>
        <s v="EMP10363"/>
        <s v="EMP10364"/>
        <s v="EMP10365"/>
        <s v="EMP10366"/>
        <s v="EMP10367"/>
        <s v="EMP10368"/>
        <s v="EMP10369"/>
        <s v="EMP10370"/>
        <s v="EMP10371"/>
        <s v="EMP10372"/>
        <s v="EMP10373"/>
        <s v="EMP10374"/>
        <s v="EMP10375"/>
        <s v="EMP10376"/>
        <s v="EMP10377"/>
        <s v="EMP10378"/>
        <s v="EMP10379"/>
        <s v="EMP10380"/>
        <s v="EMP10381"/>
        <s v="EMP10382"/>
        <s v="EMP10383"/>
        <s v="EMP10384"/>
        <s v="EMP10385"/>
        <s v="EMP10386"/>
        <s v="EMP10387"/>
        <s v="EMP10388"/>
        <s v="EMP10389"/>
        <s v="EMP10390"/>
        <s v="EMP10391"/>
        <s v="EMP10392"/>
        <s v="EMP10393"/>
        <s v="EMP10394"/>
        <s v="EMP10395"/>
        <s v="EMP10396"/>
        <s v="EMP10397"/>
        <s v="EMP10398"/>
        <s v="EMP10399"/>
        <s v="EMP10400"/>
        <s v="EMP10401"/>
        <s v="EMP10402"/>
        <s v="EMP10403"/>
        <s v="EMP10404"/>
        <s v="EMP10405"/>
        <s v="EMP10406"/>
        <s v="EMP10407"/>
        <s v="EMP10408"/>
        <s v="EMP10409"/>
        <s v="EMP10410"/>
        <s v="EMP10411"/>
        <s v="EMP10412"/>
        <s v="EMP10413"/>
        <s v="EMP10414"/>
        <s v="EMP10415"/>
        <s v="EMP10416"/>
        <s v="EMP10417"/>
        <s v="EMP10418"/>
        <s v="EMP10419"/>
        <s v="EMP10420"/>
        <s v="EMP10421"/>
        <s v="EMP10422"/>
        <s v="EMP10423"/>
        <s v="EMP10424"/>
        <s v="EMP10425"/>
        <s v="EMP10426"/>
        <s v="EMP10427"/>
        <s v="EMP10428"/>
        <s v="EMP10429"/>
        <s v="EMP10430"/>
        <s v="EMP10431"/>
        <s v="EMP10432"/>
        <s v="EMP10433"/>
        <s v="EMP10434"/>
        <s v="EMP10435"/>
        <s v="EMP10436"/>
        <s v="EMP10437"/>
        <s v="EMP10438"/>
        <s v="EMP10439"/>
        <s v="EMP10440"/>
        <s v="EMP10441"/>
        <s v="EMP10442"/>
        <s v="EMP10443"/>
        <s v="EMP10444"/>
        <s v="EMP10445"/>
        <s v="EMP10446"/>
        <s v="EMP10447"/>
        <s v="EMP10448"/>
        <s v="EMP10449"/>
        <s v="EMP10450"/>
        <s v="EMP10451"/>
        <s v="EMP10452"/>
        <s v="EMP10453"/>
        <s v="EMP10454"/>
        <s v="EMP10455"/>
        <s v="EMP10456"/>
        <s v="EMP10457"/>
        <s v="EMP10458"/>
        <s v="EMP10459"/>
        <s v="EMP10460"/>
        <s v="EMP10461"/>
        <s v="EMP10462"/>
        <s v="EMP10463"/>
        <s v="EMP10464"/>
        <s v="EMP10465"/>
        <s v="EMP10466"/>
        <s v="EMP10467"/>
        <s v="EMP10468"/>
        <s v="EMP10469"/>
        <s v="EMP10470"/>
        <s v="EMP10471"/>
        <s v="EMP10472"/>
        <s v="EMP10473"/>
        <s v="EMP10474"/>
        <s v="EMP10475"/>
        <s v="EMP10476"/>
        <s v="EMP10477"/>
        <s v="EMP10478"/>
        <s v="EMP10479"/>
        <s v="EMP10480"/>
        <s v="EMP10481"/>
        <s v="EMP10482"/>
        <s v="EMP10483"/>
        <s v="EMP10484"/>
        <s v="EMP10485"/>
        <s v="EMP10486"/>
        <s v="EMP10487"/>
        <s v="EMP10488"/>
        <s v="EMP10489"/>
        <s v="EMP10490"/>
        <s v="EMP10491"/>
        <s v="EMP10492"/>
        <s v="EMP10493"/>
        <s v="EMP10494"/>
        <s v="EMP10495"/>
        <s v="EMP10496"/>
        <s v="EMP10497"/>
        <s v="EMP10498"/>
        <s v="EMP10499"/>
        <s v="EMP10500"/>
        <s v="EMP10501"/>
        <s v="EMP10502"/>
        <s v="EMP10503"/>
        <s v="EMP10504"/>
        <s v="EMP10505"/>
        <s v="EMP10506"/>
        <s v="EMP10507"/>
        <s v="EMP10508"/>
        <s v="EMP10509"/>
        <s v="EMP10510"/>
        <s v="EMP10511"/>
        <s v="EMP10512"/>
        <s v="EMP10513"/>
        <s v="EMP10514"/>
        <s v="EMP10515"/>
        <s v="EMP10516"/>
        <s v="EMP10517"/>
        <s v="EMP10518"/>
        <s v="EMP10519"/>
        <s v="EMP10520"/>
        <s v="EMP10521"/>
        <s v="EMP10522"/>
        <s v="EMP10523"/>
        <s v="EMP10524"/>
        <s v="EMP10525"/>
        <s v="EMP10526"/>
        <s v="EMP10527"/>
        <s v="EMP10528"/>
        <s v="EMP10529"/>
        <s v="EMP10530"/>
        <s v="EMP10531"/>
        <s v="EMP10532"/>
        <s v="EMP10533"/>
        <s v="EMP10534"/>
        <s v="EMP10535"/>
        <s v="EMP10536"/>
        <s v="EMP10537"/>
        <s v="EMP10538"/>
        <s v="EMP10539"/>
        <s v="EMP10540"/>
        <s v="EMP10541"/>
        <s v="EMP10542"/>
        <s v="EMP10543"/>
        <s v="EMP10544"/>
        <s v="EMP10545"/>
        <s v="EMP10546"/>
        <s v="EMP10547"/>
        <s v="EMP10548"/>
        <s v="EMP10549"/>
        <s v="EMP10550"/>
        <s v="EMP10551"/>
        <s v="EMP10552"/>
        <s v="EMP10553"/>
        <s v="EMP10554"/>
        <s v="EMP10555"/>
        <s v="EMP10556"/>
        <s v="EMP10557"/>
        <s v="EMP10558"/>
        <s v="EMP10559"/>
        <s v="EMP10560"/>
        <s v="EMP10561"/>
        <s v="EMP10562"/>
        <s v="EMP10563"/>
        <s v="EMP10564"/>
        <s v="EMP10565"/>
        <s v="EMP10566"/>
        <s v="EMP10567"/>
        <s v="EMP10568"/>
        <s v="EMP10569"/>
        <s v="EMP10570"/>
        <s v="EMP10571"/>
        <s v="EMP10572"/>
        <s v="EMP10573"/>
        <s v="EMP10574"/>
        <s v="EMP10575"/>
        <s v="EMP10576"/>
        <s v="EMP10577"/>
        <s v="EMP10578"/>
        <s v="EMP10579"/>
        <s v="EMP10580"/>
        <s v="EMP10581"/>
        <s v="EMP10582"/>
        <s v="EMP10583"/>
        <s v="EMP10584"/>
        <s v="EMP10585"/>
        <s v="EMP10586"/>
        <s v="EMP10587"/>
        <s v="EMP10588"/>
        <s v="EMP10589"/>
        <s v="EMP10590"/>
        <s v="EMP10591"/>
        <s v="EMP10592"/>
        <s v="EMP10593"/>
        <s v="EMP10594"/>
        <s v="EMP10595"/>
        <s v="EMP10596"/>
        <s v="EMP10597"/>
        <s v="EMP10598"/>
        <s v="EMP10599"/>
        <s v="EMP10600"/>
        <s v="EMP10601"/>
        <s v="EMP10602"/>
        <s v="EMP10603"/>
        <s v="EMP10604"/>
        <s v="EMP10605"/>
        <s v="EMP10606"/>
        <s v="EMP10607"/>
        <s v="EMP10608"/>
        <s v="EMP10609"/>
        <s v="EMP10610"/>
        <s v="EMP10611"/>
        <s v="EMP10612"/>
        <s v="EMP10613"/>
        <s v="EMP10614"/>
        <s v="EMP10615"/>
        <s v="EMP10616"/>
        <s v="EMP10617"/>
        <s v="EMP10618"/>
        <s v="EMP10619"/>
        <s v="EMP10620"/>
        <s v="EMP10621"/>
        <s v="EMP10622"/>
        <s v="EMP10623"/>
        <s v="EMP10624"/>
        <s v="EMP10625"/>
        <s v="EMP10626"/>
        <s v="EMP10627"/>
        <s v="EMP10628"/>
        <s v="EMP10629"/>
        <s v="EMP10630"/>
        <s v="EMP10631"/>
        <s v="EMP10632"/>
        <s v="EMP10633"/>
        <s v="EMP10634"/>
        <s v="EMP10635"/>
        <s v="EMP10636"/>
        <s v="EMP10637"/>
        <s v="EMP10638"/>
        <s v="EMP10639"/>
        <s v="EMP10640"/>
        <s v="EMP10641"/>
        <s v="EMP10642"/>
        <s v="EMP10643"/>
        <s v="EMP10644"/>
        <s v="EMP10645"/>
        <s v="EMP10646"/>
        <s v="EMP10647"/>
        <s v="EMP10648"/>
        <s v="EMP10649"/>
        <s v="EMP10650"/>
        <s v="EMP10651"/>
        <s v="EMP10652"/>
        <s v="EMP10653"/>
        <s v="EMP10654"/>
        <s v="EMP10655"/>
        <s v="EMP10656"/>
        <s v="EMP10657"/>
        <s v="EMP10658"/>
        <s v="EMP10659"/>
        <s v="EMP10660"/>
        <s v="EMP10661"/>
        <s v="EMP10662"/>
        <s v="EMP10663"/>
        <s v="EMP10664"/>
        <s v="EMP10665"/>
        <s v="EMP10666"/>
        <s v="EMP10667"/>
        <s v="EMP10668"/>
        <s v="EMP10669"/>
        <s v="EMP10670"/>
        <s v="EMP10671"/>
        <s v="EMP10672"/>
        <s v="EMP10673"/>
        <s v="EMP10674"/>
        <s v="EMP10675"/>
        <s v="EMP10676"/>
        <s v="EMP10677"/>
        <s v="EMP10678"/>
        <s v="EMP10679"/>
        <s v="EMP10680"/>
        <s v="EMP10681"/>
        <s v="EMP10682"/>
        <s v="EMP10683"/>
        <s v="EMP10684"/>
        <s v="EMP10685"/>
        <s v="EMP10686"/>
        <s v="EMP10687"/>
        <s v="EMP10688"/>
        <s v="EMP10689"/>
        <s v="EMP10690"/>
        <s v="EMP10691"/>
        <s v="EMP10692"/>
        <s v="EMP10693"/>
        <s v="EMP10694"/>
        <s v="EMP10695"/>
        <s v="EMP10696"/>
        <s v="EMP10697"/>
        <s v="EMP10698"/>
        <s v="EMP10699"/>
        <s v="EMP10700"/>
        <s v="EMP10701"/>
        <s v="EMP10702"/>
        <s v="EMP10703"/>
        <s v="EMP10704"/>
        <s v="EMP10705"/>
        <s v="EMP10706"/>
        <s v="EMP10707"/>
        <s v="EMP10708"/>
        <s v="EMP10709"/>
        <s v="EMP10710"/>
        <s v="EMP10711"/>
        <s v="EMP10712"/>
        <s v="EMP10713"/>
        <s v="EMP10714"/>
        <s v="EMP10715"/>
        <s v="EMP10716"/>
        <s v="EMP10717"/>
        <s v="EMP10718"/>
        <s v="EMP10719"/>
        <s v="EMP10720"/>
        <s v="EMP10721"/>
        <s v="EMP10722"/>
        <s v="EMP10723"/>
        <s v="EMP10724"/>
        <s v="EMP10725"/>
        <s v="EMP10726"/>
        <s v="EMP10727"/>
        <s v="EMP10728"/>
        <s v="EMP10729"/>
        <s v="EMP10730"/>
        <s v="EMP10731"/>
        <s v="EMP10732"/>
        <s v="EMP10733"/>
        <s v="EMP10734"/>
        <s v="EMP10735"/>
        <s v="EMP10736"/>
        <s v="EMP10737"/>
        <s v="EMP10738"/>
        <s v="EMP10739"/>
        <s v="EMP10740"/>
        <s v="EMP10741"/>
        <s v="EMP10742"/>
        <s v="EMP10743"/>
        <s v="EMP10744"/>
        <s v="EMP10745"/>
        <s v="EMP10746"/>
        <s v="EMP10747"/>
        <s v="EMP10748"/>
        <s v="EMP10749"/>
        <s v="EMP10750"/>
        <s v="EMP10751"/>
        <s v="EMP10752"/>
        <s v="EMP10753"/>
        <s v="EMP10754"/>
        <s v="EMP10755"/>
        <s v="EMP10756"/>
        <s v="EMP10757"/>
        <s v="EMP10758"/>
        <s v="EMP10759"/>
        <s v="EMP10760"/>
        <s v="EMP10761"/>
        <s v="EMP10762"/>
        <s v="EMP10763"/>
        <s v="EMP10764"/>
        <s v="EMP10765"/>
        <s v="EMP10766"/>
        <s v="EMP10767"/>
        <s v="EMP10768"/>
        <s v="EMP10769"/>
        <s v="EMP10770"/>
        <s v="EMP10771"/>
        <s v="EMP10772"/>
        <s v="EMP10773"/>
        <s v="EMP10774"/>
        <s v="EMP10775"/>
        <s v="EMP10776"/>
        <s v="EMP10777"/>
        <s v="EMP10778"/>
        <s v="EMP10779"/>
        <s v="EMP10780"/>
        <s v="EMP10781"/>
        <s v="EMP10782"/>
        <s v="EMP10783"/>
        <s v="EMP10784"/>
        <s v="EMP10785"/>
        <s v="EMP10786"/>
        <s v="EMP10787"/>
        <s v="EMP10788"/>
        <s v="EMP10789"/>
        <s v="EMP10790"/>
        <s v="EMP10791"/>
        <s v="EMP10792"/>
        <s v="EMP10793"/>
        <s v="EMP10794"/>
        <s v="EMP10795"/>
        <s v="EMP10796"/>
        <s v="EMP10797"/>
        <s v="EMP10798"/>
        <s v="EMP10799"/>
        <s v="EMP10800"/>
      </sharedItems>
    </cacheField>
    <cacheField name="E_Name" numFmtId="0">
      <sharedItems count="234">
        <s v="Kiran Kumar"/>
        <s v="Sneha Joshi"/>
        <s v="Vikram Iyer"/>
        <s v="Kiran Das"/>
        <s v="Aisha Rao"/>
        <s v="Ananya Joshi"/>
        <s v="Arjun Shetty"/>
        <s v="Aditya Nair"/>
        <s v="Vivaan Shetty"/>
        <s v="Diya Nair"/>
        <s v="Vivaan Pillai"/>
        <s v="Aarav Pillai"/>
        <s v="Diya Singh"/>
        <s v="Pooja Joshi"/>
        <s v="Nikhil Pillai"/>
        <s v="Kavya Reddy"/>
        <s v="Diya Rao"/>
        <s v="Neha Singh"/>
        <s v="Aditya Iyer"/>
        <s v="Sanjay Rao"/>
        <s v="Meera Kumar"/>
        <s v="Priya Patel"/>
        <s v="Sanjay Das"/>
        <s v="Vivaan Kumar"/>
        <s v="Sneha Pillai"/>
        <s v="Kiran Pillai"/>
        <s v="Vikram Reddy"/>
        <s v="Priya Sharma"/>
        <s v="Arjun Patel"/>
        <s v="Vikram Kumar"/>
        <s v="Vivaan Nair"/>
        <s v="Nikhil Kumar"/>
        <s v="Meera Das"/>
        <s v="Diya Patel"/>
        <s v="Priya Shetty"/>
        <s v="Priya Rao"/>
        <s v="Kavya Patel"/>
        <s v="Sneha Iyer"/>
        <s v="Ishita Singh"/>
        <s v="Sneha Sharma"/>
        <s v="Kiran Singh"/>
        <s v="Vikram Shetty"/>
        <s v="Ananya Reddy"/>
        <s v="Pooja Shetty"/>
        <s v="Aditya Reddy"/>
        <s v="Aarav Joshi"/>
        <s v="Rohan Das"/>
        <s v="Sanjay Pillai"/>
        <s v="Vikram Pillai"/>
        <s v="Vivaan Sharma"/>
        <s v="Kavya Rao"/>
        <s v="Rohan Reddy"/>
        <s v="Diya Shetty"/>
        <s v="Aditya Sharma"/>
        <s v="Sneha Reddy"/>
        <s v="Aarav Iyer"/>
        <s v="Ishita Reddy"/>
        <s v="Kiran Sharma"/>
        <s v="Neha Kumar"/>
        <s v="Rohan Rao"/>
        <s v="Kiran Joshi"/>
        <s v="Arjun Rao"/>
        <s v="Aisha Nair"/>
        <s v="Vivaan Das"/>
        <s v="Rahul Pillai"/>
        <s v="Diya Pillai"/>
        <s v="Neha Joshi"/>
        <s v="Aarav Singh"/>
        <s v="Aditya Rao"/>
        <s v="Rahul Shetty"/>
        <s v="Sanjay Iyer"/>
        <s v="Aarav Reddy"/>
        <s v="Sanjay Kumar"/>
        <s v="Pooja Sharma"/>
        <s v="Neha Pillai"/>
        <s v="Kiran Patel"/>
        <s v="Rohan Sharma"/>
        <s v="Pooja Patel"/>
        <s v="Vivaan Iyer"/>
        <s v="Diya Das"/>
        <s v="Rahul Rao"/>
        <s v="Ananya Shetty"/>
        <s v="Pooja Nair"/>
        <s v="Rohan Kumar"/>
        <s v="Ananya Sharma"/>
        <s v="Rahul Reddy"/>
        <s v="Arjun Reddy"/>
        <s v="Neha Rao"/>
        <s v="Aarav Shetty"/>
        <s v="Vikram Sharma"/>
        <s v="Ananya Pillai"/>
        <s v="Meera Rao"/>
        <s v="Nikhil Reddy"/>
        <s v="Kavya Das"/>
        <s v="Kavya Singh"/>
        <s v="Rohan Iyer"/>
        <s v="Sanjay Singh"/>
        <s v="Neha Shetty"/>
        <s v="Arjun Nair"/>
        <s v="Aditya Singh"/>
        <s v="Meera Patel"/>
        <s v="Arjun Sharma"/>
        <s v="Priya Iyer"/>
        <s v="Kavya Kumar"/>
        <s v="Vikram Rao"/>
        <s v="Priya Nair"/>
        <s v="Vikram Joshi"/>
        <s v="Rohan Pillai"/>
        <s v="Pooja Iyer"/>
        <s v="Aditya Pillai"/>
        <s v="Aarav Kumar"/>
        <s v="Meera Singh"/>
        <s v="Nikhil Nair"/>
        <s v="Aditya Shetty"/>
        <s v="Meera Nair"/>
        <s v="Vivaan Joshi"/>
        <s v="Nikhil Patel"/>
        <s v="Ananya Nair"/>
        <s v="Nikhil Rao"/>
        <s v="Aditya Patel"/>
        <s v="Ishita Pillai"/>
        <s v="Arjun Kumar"/>
        <s v="Priya Pillai"/>
        <s v="Vivaan Patel"/>
        <s v="Aisha Singh"/>
        <s v="Pooja Kumar"/>
        <s v="Sneha Nair"/>
        <s v="Ishita Kumar"/>
        <s v="Aisha Pillai"/>
        <s v="Aarav Das"/>
        <s v="Aarav Patel"/>
        <s v="Aarav Rao"/>
        <s v="Rohan Nair"/>
        <s v="Priya Kumar"/>
        <s v="Kavya Iyer"/>
        <s v="Nikhil Das"/>
        <s v="Aisha Das"/>
        <s v="Kavya Shetty"/>
        <s v="Aarav Sharma"/>
        <s v="Aisha Joshi"/>
        <s v="Nikhil Joshi"/>
        <s v="Aisha Patel"/>
        <s v="Pooja Das"/>
        <s v="Vikram Das"/>
        <s v="Vivaan Reddy"/>
        <s v="Arjun Das"/>
        <s v="Meera Joshi"/>
        <s v="Arjun Singh"/>
        <s v="Rohan Singh"/>
        <s v="Aditya Kumar"/>
        <s v="Meera Sharma"/>
        <s v="Kiran Shetty"/>
        <s v="Pooja Rao"/>
        <s v="Ishita Rao"/>
        <s v="Ishita Joshi"/>
        <s v="Aisha Sharma"/>
        <s v="Arjun Pillai"/>
        <s v="Sanjay Reddy"/>
        <s v="Arjun Iyer"/>
        <s v="Kiran Iyer"/>
        <s v="Meera Pillai"/>
        <s v="Diya Sharma"/>
        <s v="Nikhil Singh"/>
        <s v="Aisha Shetty"/>
        <s v="Kavya Sharma"/>
        <s v="Neha Sharma"/>
        <s v="Vikram Singh"/>
        <s v="Pooja Singh"/>
        <s v="Aarav Nair"/>
        <s v="Rahul Das"/>
        <s v="Diya Iyer"/>
        <s v="Kavya Nair"/>
        <s v="Nikhil Shetty"/>
        <s v="Arjun Joshi"/>
        <s v="Rahul Patel"/>
        <s v="Aisha Iyer"/>
        <s v="Sneha Singh"/>
        <s v="Ishita Iyer"/>
        <s v="Ananya Iyer"/>
        <s v="Vivaan Singh"/>
        <s v="Priya Singh"/>
        <s v="Aisha Kumar"/>
        <s v="Vikram Patel"/>
        <s v="Aditya Joshi"/>
        <s v="Kiran Nair"/>
        <s v="Rahul Sharma"/>
        <s v="Pooja Pillai"/>
        <s v="Rohan Patel"/>
        <s v="Rahul Iyer"/>
        <s v="Kavya Joshi"/>
        <s v="Aisha Reddy"/>
        <s v="Sneha Shetty"/>
        <s v="Priya Das"/>
        <s v="Priya Joshi"/>
        <s v="Ishita Patel"/>
        <s v="Sneha Kumar"/>
        <s v="Diya Reddy"/>
        <s v="Neha Das"/>
        <s v="Ishita Nair"/>
        <s v="Rahul Nair"/>
        <s v="Ananya Kumar"/>
        <s v="Rohan Joshi"/>
        <s v="Nikhil Iyer"/>
        <s v="Sanjay Sharma"/>
        <s v="Sanjay Joshi"/>
        <s v="Ananya Singh"/>
        <s v="Ishita Das"/>
        <s v="Meera Shetty"/>
        <s v="Sneha Rao"/>
        <s v="Kiran Reddy"/>
        <s v="Nikhil Sharma"/>
        <s v="Rahul Kumar"/>
        <s v="Ishita Shetty"/>
        <s v="Ananya Das"/>
        <s v="Vikram Nair"/>
        <s v="Sneha Das"/>
        <s v="Diya Kumar"/>
        <s v="Rohan Shetty"/>
        <s v="Sanjay Nair"/>
        <s v="Ananya Rao"/>
        <s v="Vivaan Rao"/>
        <s v="Diya Joshi"/>
        <s v="Meera Iyer"/>
        <s v="Neha Nair"/>
        <s v="Sneha Patel"/>
        <s v="Neha Iyer"/>
        <s v="Rahul Singh"/>
        <s v="Rahul Joshi"/>
        <s v="Ishita Sharma"/>
        <s v="Aditya Das"/>
        <s v="Pooja Reddy"/>
        <s v="Ananya Patel"/>
        <s v="Sanjay Shetty"/>
        <s v="Kavya Pillai"/>
      </sharedItems>
    </cacheField>
    <cacheField name="Gender" numFmtId="0">
      <sharedItems count="2">
        <s v="Male"/>
        <s v="Female"/>
      </sharedItems>
    </cacheField>
    <cacheField name="Age" numFmtId="0">
      <sharedItems containsSemiMixedTypes="0" containsString="0" containsNumber="1" containsInteger="1" minValue="20" maxValue="50"/>
    </cacheField>
    <cacheField name="City" numFmtId="0">
      <sharedItems count="15">
        <s v="Kochi"/>
        <s v="Hyderabad"/>
        <s v="Bengaluru"/>
        <s v="Coimbatore"/>
        <s v="Delhi"/>
        <s v="Mangaluru"/>
        <s v="Noida"/>
        <s v="Mumbai"/>
        <s v="Ahmedabad"/>
        <s v="Chennai"/>
        <s v="Gurugram"/>
        <s v="Mysuru"/>
        <s v="Pune"/>
        <s v="Hubballi"/>
        <s v="Kolkata"/>
      </sharedItems>
    </cacheField>
    <cacheField name="Department" numFmtId="0">
      <sharedItems count="8">
        <s v="Finance"/>
        <s v="Sales"/>
        <s v="Operations"/>
        <s v="Data Analytics"/>
        <s v="HR"/>
        <s v="IT"/>
        <s v="Marketing"/>
        <s v="Customer Support"/>
      </sharedItems>
    </cacheField>
    <cacheField name="Job_Level" numFmtId="0">
      <sharedItems count="6">
        <s v="Lead"/>
        <s v="Junior"/>
        <s v="Senior"/>
        <s v="Associate"/>
        <s v="Manager"/>
        <s v="Intern"/>
      </sharedItems>
    </cacheField>
    <cacheField name="Employment_Type" numFmtId="0">
      <sharedItems count="4">
        <s v="Full-Time"/>
        <s v="Part-Time"/>
        <s v="Contract"/>
        <s v="Intern"/>
      </sharedItems>
    </cacheField>
    <cacheField name="Education" numFmtId="0">
      <sharedItems count="8">
        <s v="BSc"/>
        <s v="BBA"/>
        <s v="BCA"/>
        <s v="BCom"/>
        <s v="MBA"/>
        <s v="MSc"/>
        <s v="BE/BTech"/>
        <s v="MCA"/>
      </sharedItems>
    </cacheField>
    <cacheField name="Joining_Date" numFmtId="14">
      <sharedItems containsSemiMixedTypes="0" containsNonDate="0" containsDate="1" containsString="0" minDate="2018-01-11T00:00:00" maxDate="2026-07-26T00:00:00" count="696">
        <d v="2019-12-27T00:00:00"/>
        <d v="2021-04-26T00:00:00"/>
        <d v="2019-06-18T00:00:00"/>
        <d v="2025-07-08T00:00:00"/>
        <d v="2026-01-06T00:00:00"/>
        <d v="2018-03-26T00:00:00"/>
        <d v="2025-03-24T00:00:00"/>
        <d v="2020-04-20T00:00:00"/>
        <d v="2018-03-18T00:00:00"/>
        <d v="2024-07-05T00:00:00"/>
        <d v="2024-08-27T00:00:00"/>
        <d v="2024-08-21T00:00:00"/>
        <d v="2024-07-16T00:00:00"/>
        <d v="2021-04-15T00:00:00"/>
        <d v="2024-10-07T00:00:00"/>
        <d v="2023-06-14T00:00:00"/>
        <d v="2024-01-31T00:00:00"/>
        <d v="2019-02-10T00:00:00"/>
        <d v="2023-10-31T00:00:00"/>
        <d v="2018-01-21T00:00:00"/>
        <d v="2025-07-01T00:00:00"/>
        <d v="2026-05-16T00:00:00"/>
        <d v="2019-02-02T00:00:00"/>
        <d v="2024-03-22T00:00:00"/>
        <d v="2022-12-06T00:00:00"/>
        <d v="2025-09-29T00:00:00"/>
        <d v="2022-12-14T00:00:00"/>
        <d v="2020-06-12T00:00:00"/>
        <d v="2023-04-29T00:00:00"/>
        <d v="2019-03-14T00:00:00"/>
        <d v="2021-07-19T00:00:00"/>
        <d v="2021-07-27T00:00:00"/>
        <d v="2018-08-11T00:00:00"/>
        <d v="2022-05-30T00:00:00"/>
        <d v="2023-05-15T00:00:00"/>
        <d v="2019-05-24T00:00:00"/>
        <d v="2025-04-18T00:00:00"/>
        <d v="2020-12-01T00:00:00"/>
        <d v="2021-04-14T00:00:00"/>
        <d v="2021-06-22T00:00:00"/>
        <d v="2021-06-30T00:00:00"/>
        <d v="2021-07-21T00:00:00"/>
        <d v="2026-03-26T00:00:00"/>
        <d v="2019-08-27T00:00:00"/>
        <d v="2020-10-31T00:00:00"/>
        <d v="2024-01-09T00:00:00"/>
        <d v="2018-07-08T00:00:00"/>
        <d v="2026-03-27T00:00:00"/>
        <d v="2019-11-07T00:00:00"/>
        <d v="2019-09-30T00:00:00"/>
        <d v="2024-03-08T00:00:00"/>
        <d v="2023-06-20T00:00:00"/>
        <d v="2023-01-19T00:00:00"/>
        <d v="2024-07-14T00:00:00"/>
        <d v="2018-02-16T00:00:00"/>
        <d v="2020-03-30T00:00:00"/>
        <d v="2026-04-11T00:00:00"/>
        <d v="2020-12-16T00:00:00"/>
        <d v="2021-07-01T00:00:00"/>
        <d v="2025-11-24T00:00:00"/>
        <d v="2026-03-19T00:00:00"/>
        <d v="2025-03-30T00:00:00"/>
        <d v="2024-01-27T00:00:00"/>
        <d v="2021-03-15T00:00:00"/>
        <d v="2025-11-26T00:00:00"/>
        <d v="2020-11-22T00:00:00"/>
        <d v="2022-03-19T00:00:00"/>
        <d v="2020-03-06T00:00:00"/>
        <d v="2025-11-02T00:00:00"/>
        <d v="2024-07-17T00:00:00"/>
        <d v="2018-02-17T00:00:00"/>
        <d v="2024-08-08T00:00:00"/>
        <d v="2021-11-22T00:00:00"/>
        <d v="2021-05-03T00:00:00"/>
        <d v="2022-10-27T00:00:00"/>
        <d v="2019-12-26T00:00:00"/>
        <d v="2021-09-06T00:00:00"/>
        <d v="2022-12-23T00:00:00"/>
        <d v="2018-05-18T00:00:00"/>
        <d v="2018-12-21T00:00:00"/>
        <d v="2023-02-12T00:00:00"/>
        <d v="2020-12-29T00:00:00"/>
        <d v="2020-03-21T00:00:00"/>
        <d v="2022-05-25T00:00:00"/>
        <d v="2022-10-10T00:00:00"/>
        <d v="2025-07-22T00:00:00"/>
        <d v="2018-02-28T00:00:00"/>
        <d v="2020-02-10T00:00:00"/>
        <d v="2019-01-24T00:00:00"/>
        <d v="2025-12-03T00:00:00"/>
        <d v="2025-12-26T00:00:00"/>
        <d v="2018-12-05T00:00:00"/>
        <d v="2020-01-27T00:00:00"/>
        <d v="2019-08-19T00:00:00"/>
        <d v="2019-03-12T00:00:00"/>
        <d v="2022-01-13T00:00:00"/>
        <d v="2019-01-12T00:00:00"/>
        <d v="2023-06-06T00:00:00"/>
        <d v="2024-09-04T00:00:00"/>
        <d v="2024-12-03T00:00:00"/>
        <d v="2025-11-08T00:00:00"/>
        <d v="2018-04-24T00:00:00"/>
        <d v="2020-02-13T00:00:00"/>
        <d v="2023-04-11T00:00:00"/>
        <d v="2024-01-29T00:00:00"/>
        <d v="2018-01-18T00:00:00"/>
        <d v="2018-08-23T00:00:00"/>
        <d v="2021-08-26T00:00:00"/>
        <d v="2022-08-20T00:00:00"/>
        <d v="2025-08-02T00:00:00"/>
        <d v="2018-10-08T00:00:00"/>
        <d v="2020-04-10T00:00:00"/>
        <d v="2021-02-12T00:00:00"/>
        <d v="2022-08-23T00:00:00"/>
        <d v="2022-08-18T00:00:00"/>
        <d v="2022-05-06T00:00:00"/>
        <d v="2019-02-22T00:00:00"/>
        <d v="2024-05-20T00:00:00"/>
        <d v="2019-08-08T00:00:00"/>
        <d v="2021-09-13T00:00:00"/>
        <d v="2021-09-26T00:00:00"/>
        <d v="2025-04-23T00:00:00"/>
        <d v="2024-03-18T00:00:00"/>
        <d v="2023-08-19T00:00:00"/>
        <d v="2023-04-17T00:00:00"/>
        <d v="2020-04-11T00:00:00"/>
        <d v="2024-08-19T00:00:00"/>
        <d v="2021-01-27T00:00:00"/>
        <d v="2022-09-02T00:00:00"/>
        <d v="2025-07-12T00:00:00"/>
        <d v="2025-11-19T00:00:00"/>
        <d v="2025-09-25T00:00:00"/>
        <d v="2021-11-06T00:00:00"/>
        <d v="2023-03-02T00:00:00"/>
        <d v="2026-03-07T00:00:00"/>
        <d v="2019-03-23T00:00:00"/>
        <d v="2025-06-20T00:00:00"/>
        <d v="2024-07-19T00:00:00"/>
        <d v="2024-10-08T00:00:00"/>
        <d v="2019-09-17T00:00:00"/>
        <d v="2023-02-07T00:00:00"/>
        <d v="2024-06-11T00:00:00"/>
        <d v="2024-01-05T00:00:00"/>
        <d v="2025-12-06T00:00:00"/>
        <d v="2020-01-02T00:00:00"/>
        <d v="2024-11-06T00:00:00"/>
        <d v="2020-07-26T00:00:00"/>
        <d v="2023-09-12T00:00:00"/>
        <d v="2022-10-22T00:00:00"/>
        <d v="2022-03-05T00:00:00"/>
        <d v="2022-09-17T00:00:00"/>
        <d v="2021-05-01T00:00:00"/>
        <d v="2021-04-18T00:00:00"/>
        <d v="2023-03-06T00:00:00"/>
        <d v="2026-04-20T00:00:00"/>
        <d v="2022-03-22T00:00:00"/>
        <d v="2019-01-26T00:00:00"/>
        <d v="2024-08-01T00:00:00"/>
        <d v="2025-03-05T00:00:00"/>
        <d v="2024-11-16T00:00:00"/>
        <d v="2026-02-25T00:00:00"/>
        <d v="2018-04-09T00:00:00"/>
        <d v="2019-07-24T00:00:00"/>
        <d v="2019-12-28T00:00:00"/>
        <d v="2020-09-28T00:00:00"/>
        <d v="2022-04-20T00:00:00"/>
        <d v="2018-10-30T00:00:00"/>
        <d v="2023-08-14T00:00:00"/>
        <d v="2025-09-26T00:00:00"/>
        <d v="2023-11-25T00:00:00"/>
        <d v="2023-10-24T00:00:00"/>
        <d v="2020-11-29T00:00:00"/>
        <d v="2019-10-01T00:00:00"/>
        <d v="2025-07-05T00:00:00"/>
        <d v="2021-02-16T00:00:00"/>
        <d v="2023-10-22T00:00:00"/>
        <d v="2019-07-06T00:00:00"/>
        <d v="2020-09-03T00:00:00"/>
        <d v="2018-04-06T00:00:00"/>
        <d v="2026-01-10T00:00:00"/>
        <d v="2021-04-06T00:00:00"/>
        <d v="2024-05-13T00:00:00"/>
        <d v="2024-04-25T00:00:00"/>
        <d v="2018-02-15T00:00:00"/>
        <d v="2018-12-12T00:00:00"/>
        <d v="2020-04-26T00:00:00"/>
        <d v="2026-01-21T00:00:00"/>
        <d v="2020-12-12T00:00:00"/>
        <d v="2021-03-17T00:00:00"/>
        <d v="2022-04-06T00:00:00"/>
        <d v="2018-08-21T00:00:00"/>
        <d v="2018-02-20T00:00:00"/>
        <d v="2019-10-27T00:00:00"/>
        <d v="2019-03-27T00:00:00"/>
        <d v="2021-09-24T00:00:00"/>
        <d v="2018-12-17T00:00:00"/>
        <d v="2025-05-20T00:00:00"/>
        <d v="2021-08-01T00:00:00"/>
        <d v="2026-01-04T00:00:00"/>
        <d v="2019-08-06T00:00:00"/>
        <d v="2018-09-02T00:00:00"/>
        <d v="2019-07-04T00:00:00"/>
        <d v="2019-12-29T00:00:00"/>
        <d v="2019-08-07T00:00:00"/>
        <d v="2024-03-23T00:00:00"/>
        <d v="2025-11-14T00:00:00"/>
        <d v="2019-03-17T00:00:00"/>
        <d v="2022-01-07T00:00:00"/>
        <d v="2022-12-25T00:00:00"/>
        <d v="2019-02-16T00:00:00"/>
        <d v="2020-03-24T00:00:00"/>
        <d v="2018-09-03T00:00:00"/>
        <d v="2022-09-27T00:00:00"/>
        <d v="2024-12-22T00:00:00"/>
        <d v="2020-09-08T00:00:00"/>
        <d v="2023-05-29T00:00:00"/>
        <d v="2023-12-05T00:00:00"/>
        <d v="2021-10-19T00:00:00"/>
        <d v="2023-04-22T00:00:00"/>
        <d v="2018-07-23T00:00:00"/>
        <d v="2018-11-15T00:00:00"/>
        <d v="2024-12-11T00:00:00"/>
        <d v="2018-04-17T00:00:00"/>
        <d v="2025-05-25T00:00:00"/>
        <d v="2025-01-10T00:00:00"/>
        <d v="2023-02-22T00:00:00"/>
        <d v="2020-08-15T00:00:00"/>
        <d v="2025-10-31T00:00:00"/>
        <d v="2025-01-19T00:00:00"/>
        <d v="2024-06-25T00:00:00"/>
        <d v="2020-11-26T00:00:00"/>
        <d v="2024-12-21T00:00:00"/>
        <d v="2024-05-01T00:00:00"/>
        <d v="2022-08-19T00:00:00"/>
        <d v="2022-07-31T00:00:00"/>
        <d v="2026-02-03T00:00:00"/>
        <d v="2019-02-06T00:00:00"/>
        <d v="2026-04-23T00:00:00"/>
        <d v="2019-08-25T00:00:00"/>
        <d v="2018-08-06T00:00:00"/>
        <d v="2018-07-05T00:00:00"/>
        <d v="2024-03-06T00:00:00"/>
        <d v="2018-10-15T00:00:00"/>
        <d v="2018-03-29T00:00:00"/>
        <d v="2026-05-09T00:00:00"/>
        <d v="2023-12-24T00:00:00"/>
        <d v="2024-01-15T00:00:00"/>
        <d v="2025-10-12T00:00:00"/>
        <d v="2026-02-15T00:00:00"/>
        <d v="2018-06-04T00:00:00"/>
        <d v="2018-08-08T00:00:00"/>
        <d v="2022-01-22T00:00:00"/>
        <d v="2018-11-18T00:00:00"/>
        <d v="2022-05-05T00:00:00"/>
        <d v="2023-01-11T00:00:00"/>
        <d v="2025-01-03T00:00:00"/>
        <d v="2023-11-05T00:00:00"/>
        <d v="2022-04-18T00:00:00"/>
        <d v="2024-05-11T00:00:00"/>
        <d v="2023-12-29T00:00:00"/>
        <d v="2022-10-26T00:00:00"/>
        <d v="2026-02-11T00:00:00"/>
        <d v="2018-12-19T00:00:00"/>
        <d v="2020-10-25T00:00:00"/>
        <d v="2024-08-26T00:00:00"/>
        <d v="2021-09-19T00:00:00"/>
        <d v="2019-04-20T00:00:00"/>
        <d v="2023-07-03T00:00:00"/>
        <d v="2020-07-16T00:00:00"/>
        <d v="2018-01-30T00:00:00"/>
        <d v="2026-02-17T00:00:00"/>
        <d v="2025-03-26T00:00:00"/>
        <d v="2024-12-15T00:00:00"/>
        <d v="2019-05-10T00:00:00"/>
        <d v="2019-01-23T00:00:00"/>
        <d v="2020-05-22T00:00:00"/>
        <d v="2020-04-14T00:00:00"/>
        <d v="2019-09-22T00:00:00"/>
        <d v="2026-03-06T00:00:00"/>
        <d v="2025-04-24T00:00:00"/>
        <d v="2020-03-17T00:00:00"/>
        <d v="2023-01-07T00:00:00"/>
        <d v="2021-08-03T00:00:00"/>
        <d v="2023-05-23T00:00:00"/>
        <d v="2026-05-07T00:00:00"/>
        <d v="2018-09-01T00:00:00"/>
        <d v="2018-08-09T00:00:00"/>
        <d v="2021-03-25T00:00:00"/>
        <d v="2021-11-07T00:00:00"/>
        <d v="2022-11-07T00:00:00"/>
        <d v="2021-09-05T00:00:00"/>
        <d v="2024-08-17T00:00:00"/>
        <d v="2019-06-15T00:00:00"/>
        <d v="2024-03-12T00:00:00"/>
        <d v="2024-08-11T00:00:00"/>
        <d v="2023-12-02T00:00:00"/>
        <d v="2018-01-25T00:00:00"/>
        <d v="2026-03-01T00:00:00"/>
        <d v="2021-02-18T00:00:00"/>
        <d v="2022-11-01T00:00:00"/>
        <d v="2025-04-12T00:00:00"/>
        <d v="2020-05-07T00:00:00"/>
        <d v="2020-10-23T00:00:00"/>
        <d v="2020-06-16T00:00:00"/>
        <d v="2020-02-12T00:00:00"/>
        <d v="2024-10-28T00:00:00"/>
        <d v="2018-01-20T00:00:00"/>
        <d v="2021-05-12T00:00:00"/>
        <d v="2020-03-16T00:00:00"/>
        <d v="2021-10-12T00:00:00"/>
        <d v="2023-12-16T00:00:00"/>
        <d v="2024-08-02T00:00:00"/>
        <d v="2020-05-30T00:00:00"/>
        <d v="2026-07-06T00:00:00"/>
        <d v="2022-08-12T00:00:00"/>
        <d v="2026-02-12T00:00:00"/>
        <d v="2021-01-12T00:00:00"/>
        <d v="2025-01-01T00:00:00"/>
        <d v="2019-03-20T00:00:00"/>
        <d v="2023-08-05T00:00:00"/>
        <d v="2021-05-13T00:00:00"/>
        <d v="2022-02-20T00:00:00"/>
        <d v="2020-02-18T00:00:00"/>
        <d v="2024-04-18T00:00:00"/>
        <d v="2022-10-13T00:00:00"/>
        <d v="2020-11-20T00:00:00"/>
        <d v="2019-02-25T00:00:00"/>
        <d v="2023-01-26T00:00:00"/>
        <d v="2023-10-10T00:00:00"/>
        <d v="2019-08-02T00:00:00"/>
        <d v="2021-06-03T00:00:00"/>
        <d v="2023-06-10T00:00:00"/>
        <d v="2021-09-20T00:00:00"/>
        <d v="2025-03-11T00:00:00"/>
        <d v="2025-05-11T00:00:00"/>
        <d v="2018-04-21T00:00:00"/>
        <d v="2019-05-06T00:00:00"/>
        <d v="2023-09-13T00:00:00"/>
        <d v="2024-03-09T00:00:00"/>
        <d v="2021-10-28T00:00:00"/>
        <d v="2023-12-13T00:00:00"/>
        <d v="2022-10-08T00:00:00"/>
        <d v="2024-07-06T00:00:00"/>
        <d v="2023-02-19T00:00:00"/>
        <d v="2023-05-04T00:00:00"/>
        <d v="2022-05-13T00:00:00"/>
        <d v="2021-11-23T00:00:00"/>
        <d v="2022-08-04T00:00:00"/>
        <d v="2021-04-01T00:00:00"/>
        <d v="2022-07-05T00:00:00"/>
        <d v="2025-06-04T00:00:00"/>
        <d v="2020-12-24T00:00:00"/>
        <d v="2021-05-24T00:00:00"/>
        <d v="2019-08-26T00:00:00"/>
        <d v="2018-01-26T00:00:00"/>
        <d v="2025-06-09T00:00:00"/>
        <d v="2020-12-03T00:00:00"/>
        <d v="2021-01-18T00:00:00"/>
        <d v="2021-03-02T00:00:00"/>
        <d v="2021-03-30T00:00:00"/>
        <d v="2022-11-03T00:00:00"/>
        <d v="2019-01-15T00:00:00"/>
        <d v="2021-07-08T00:00:00"/>
        <d v="2019-01-04T00:00:00"/>
        <d v="2021-01-05T00:00:00"/>
        <d v="2020-11-02T00:00:00"/>
        <d v="2023-04-06T00:00:00"/>
        <d v="2019-06-30T00:00:00"/>
        <d v="2021-03-09T00:00:00"/>
        <d v="2018-10-02T00:00:00"/>
        <d v="2025-12-31T00:00:00"/>
        <d v="2024-03-19T00:00:00"/>
        <d v="2026-01-01T00:00:00"/>
        <d v="2021-02-26T00:00:00"/>
        <d v="2021-09-08T00:00:00"/>
        <d v="2021-12-27T00:00:00"/>
        <d v="2024-03-15T00:00:00"/>
        <d v="2023-02-14T00:00:00"/>
        <d v="2021-06-25T00:00:00"/>
        <d v="2025-11-03T00:00:00"/>
        <d v="2019-12-09T00:00:00"/>
        <d v="2024-01-04T00:00:00"/>
        <d v="2021-09-29T00:00:00"/>
        <d v="2022-03-09T00:00:00"/>
        <d v="2018-05-14T00:00:00"/>
        <d v="2025-12-21T00:00:00"/>
        <d v="2023-07-07T00:00:00"/>
        <d v="2024-11-08T00:00:00"/>
        <d v="2020-12-20T00:00:00"/>
        <d v="2024-11-12T00:00:00"/>
        <d v="2023-07-16T00:00:00"/>
        <d v="2022-10-18T00:00:00"/>
        <d v="2023-12-27T00:00:00"/>
        <d v="2025-04-19T00:00:00"/>
        <d v="2026-03-28T00:00:00"/>
        <d v="2025-03-31T00:00:00"/>
        <d v="2018-01-11T00:00:00"/>
        <d v="2024-07-02T00:00:00"/>
        <d v="2022-09-18T00:00:00"/>
        <d v="2024-08-23T00:00:00"/>
        <d v="2024-03-28T00:00:00"/>
        <d v="2021-03-10T00:00:00"/>
        <d v="2019-09-10T00:00:00"/>
        <d v="2020-02-04T00:00:00"/>
        <d v="2018-02-18T00:00:00"/>
        <d v="2022-12-04T00:00:00"/>
        <d v="2023-03-08T00:00:00"/>
        <d v="2021-12-03T00:00:00"/>
        <d v="2024-09-20T00:00:00"/>
        <d v="2020-12-10T00:00:00"/>
        <d v="2024-02-01T00:00:00"/>
        <d v="2024-12-02T00:00:00"/>
        <d v="2022-10-24T00:00:00"/>
        <d v="2018-09-26T00:00:00"/>
        <d v="2025-10-28T00:00:00"/>
        <d v="2026-01-19T00:00:00"/>
        <d v="2020-06-19T00:00:00"/>
        <d v="2020-07-07T00:00:00"/>
        <d v="2024-06-23T00:00:00"/>
        <d v="2019-01-20T00:00:00"/>
        <d v="2022-05-29T00:00:00"/>
        <d v="2019-09-18T00:00:00"/>
        <d v="2026-07-23T00:00:00"/>
        <d v="2021-05-08T00:00:00"/>
        <d v="2023-03-23T00:00:00"/>
        <d v="2025-05-14T00:00:00"/>
        <d v="2025-07-14T00:00:00"/>
        <d v="2022-09-11T00:00:00"/>
        <d v="2024-06-10T00:00:00"/>
        <d v="2022-11-11T00:00:00"/>
        <d v="2020-04-21T00:00:00"/>
        <d v="2022-07-11T00:00:00"/>
        <d v="2021-05-16T00:00:00"/>
        <d v="2022-10-14T00:00:00"/>
        <d v="2025-01-02T00:00:00"/>
        <d v="2021-07-06T00:00:00"/>
        <d v="2024-01-20T00:00:00"/>
        <d v="2020-01-08T00:00:00"/>
        <d v="2018-12-07T00:00:00"/>
        <d v="2026-02-27T00:00:00"/>
        <d v="2023-05-06T00:00:00"/>
        <d v="2022-11-17T00:00:00"/>
        <d v="2019-06-14T00:00:00"/>
        <d v="2018-02-03T00:00:00"/>
        <d v="2026-05-04T00:00:00"/>
        <d v="2018-11-19T00:00:00"/>
        <d v="2021-04-19T00:00:00"/>
        <d v="2018-12-13T00:00:00"/>
        <d v="2022-09-26T00:00:00"/>
        <d v="2021-04-30T00:00:00"/>
        <d v="2022-05-22T00:00:00"/>
        <d v="2025-07-31T00:00:00"/>
        <d v="2022-08-30T00:00:00"/>
        <d v="2025-06-18T00:00:00"/>
        <d v="2023-01-06T00:00:00"/>
        <d v="2026-02-10T00:00:00"/>
        <d v="2026-05-10T00:00:00"/>
        <d v="2018-05-13T00:00:00"/>
        <d v="2026-02-05T00:00:00"/>
        <d v="2021-10-02T00:00:00"/>
        <d v="2023-09-28T00:00:00"/>
        <d v="2020-12-23T00:00:00"/>
        <d v="2022-07-06T00:00:00"/>
        <d v="2023-03-07T00:00:00"/>
        <d v="2021-02-01T00:00:00"/>
        <d v="2024-03-10T00:00:00"/>
        <d v="2022-03-21T00:00:00"/>
        <d v="2018-04-29T00:00:00"/>
        <d v="2025-12-13T00:00:00"/>
        <d v="2025-09-09T00:00:00"/>
        <d v="2025-06-19T00:00:00"/>
        <d v="2020-06-13T00:00:00"/>
        <d v="2021-06-19T00:00:00"/>
        <d v="2024-05-16T00:00:00"/>
        <d v="2018-12-29T00:00:00"/>
        <d v="2026-05-27T00:00:00"/>
        <d v="2022-11-09T00:00:00"/>
        <d v="2022-10-07T00:00:00"/>
        <d v="2018-11-10T00:00:00"/>
        <d v="2022-03-17T00:00:00"/>
        <d v="2022-09-03T00:00:00"/>
        <d v="2025-09-18T00:00:00"/>
        <d v="2020-12-22T00:00:00"/>
        <d v="2018-09-29T00:00:00"/>
        <d v="2026-06-15T00:00:00"/>
        <d v="2022-11-25T00:00:00"/>
        <d v="2024-07-18T00:00:00"/>
        <d v="2024-07-21T00:00:00"/>
        <d v="2024-03-30T00:00:00"/>
        <d v="2020-09-16T00:00:00"/>
        <d v="2025-03-08T00:00:00"/>
        <d v="2024-09-29T00:00:00"/>
        <d v="2020-06-23T00:00:00"/>
        <d v="2024-05-03T00:00:00"/>
        <d v="2026-05-03T00:00:00"/>
        <d v="2020-01-14T00:00:00"/>
        <d v="2020-06-29T00:00:00"/>
        <d v="2024-10-26T00:00:00"/>
        <d v="2025-02-20T00:00:00"/>
        <d v="2023-03-01T00:00:00"/>
        <d v="2022-10-12T00:00:00"/>
        <d v="2023-10-25T00:00:00"/>
        <d v="2018-09-04T00:00:00"/>
        <d v="2025-03-12T00:00:00"/>
        <d v="2024-06-18T00:00:00"/>
        <d v="2019-07-30T00:00:00"/>
        <d v="2022-06-04T00:00:00"/>
        <d v="2025-07-25T00:00:00"/>
        <d v="2021-04-20T00:00:00"/>
        <d v="2020-09-10T00:00:00"/>
        <d v="2025-08-05T00:00:00"/>
        <d v="2025-05-03T00:00:00"/>
        <d v="2024-09-12T00:00:00"/>
        <d v="2025-07-24T00:00:00"/>
        <d v="2020-07-12T00:00:00"/>
        <d v="2018-10-19T00:00:00"/>
        <d v="2023-10-03T00:00:00"/>
        <d v="2021-10-11T00:00:00"/>
        <d v="2026-04-19T00:00:00"/>
        <d v="2024-11-29T00:00:00"/>
        <d v="2018-01-22T00:00:00"/>
        <d v="2021-08-08T00:00:00"/>
        <d v="2020-11-18T00:00:00"/>
        <d v="2023-05-16T00:00:00"/>
        <d v="2024-01-17T00:00:00"/>
        <d v="2020-06-28T00:00:00"/>
        <d v="2018-04-11T00:00:00"/>
        <d v="2021-08-06T00:00:00"/>
        <d v="2023-03-17T00:00:00"/>
        <d v="2021-04-29T00:00:00"/>
        <d v="2020-02-29T00:00:00"/>
        <d v="2021-09-28T00:00:00"/>
        <d v="2025-12-02T00:00:00"/>
        <d v="2022-06-20T00:00:00"/>
        <d v="2026-01-16T00:00:00"/>
        <d v="2021-10-15T00:00:00"/>
        <d v="2019-05-18T00:00:00"/>
        <d v="2018-06-22T00:00:00"/>
        <d v="2020-06-05T00:00:00"/>
        <d v="2021-11-18T00:00:00"/>
        <d v="2023-12-08T00:00:00"/>
        <d v="2018-09-30T00:00:00"/>
        <d v="2021-11-10T00:00:00"/>
        <d v="2026-02-08T00:00:00"/>
        <d v="2026-01-02T00:00:00"/>
        <d v="2023-03-26T00:00:00"/>
        <d v="2023-05-12T00:00:00"/>
        <d v="2018-09-18T00:00:00"/>
        <d v="2021-09-14T00:00:00"/>
        <d v="2021-02-21T00:00:00"/>
        <d v="2022-02-08T00:00:00"/>
        <d v="2018-10-05T00:00:00"/>
        <d v="2023-11-11T00:00:00"/>
        <d v="2020-04-02T00:00:00"/>
        <d v="2019-06-16T00:00:00"/>
        <d v="2025-09-21T00:00:00"/>
        <d v="2018-06-16T00:00:00"/>
        <d v="2018-08-24T00:00:00"/>
        <d v="2020-11-21T00:00:00"/>
        <d v="2021-06-08T00:00:00"/>
        <d v="2018-07-10T00:00:00"/>
        <d v="2025-05-28T00:00:00"/>
        <d v="2019-09-05T00:00:00"/>
        <d v="2022-03-12T00:00:00"/>
        <d v="2024-04-21T00:00:00"/>
        <d v="2022-09-20T00:00:00"/>
        <d v="2020-08-30T00:00:00"/>
        <d v="2026-07-25T00:00:00"/>
        <d v="2019-10-11T00:00:00"/>
        <d v="2018-04-16T00:00:00"/>
        <d v="2022-05-24T00:00:00"/>
        <d v="2018-07-11T00:00:00"/>
        <d v="2020-09-29T00:00:00"/>
        <d v="2021-07-25T00:00:00"/>
        <d v="2022-04-17T00:00:00"/>
        <d v="2022-11-29T00:00:00"/>
        <d v="2019-09-27T00:00:00"/>
        <d v="2023-07-05T00:00:00"/>
        <d v="2026-03-15T00:00:00"/>
        <d v="2026-06-13T00:00:00"/>
        <d v="2026-06-26T00:00:00"/>
        <d v="2022-08-15T00:00:00"/>
        <d v="2022-05-19T00:00:00"/>
        <d v="2018-03-11T00:00:00"/>
        <d v="2018-06-03T00:00:00"/>
        <d v="2022-01-01T00:00:00"/>
        <d v="2025-09-13T00:00:00"/>
        <d v="2024-05-07T00:00:00"/>
        <d v="2025-02-01T00:00:00"/>
        <d v="2023-07-13T00:00:00"/>
        <d v="2021-01-02T00:00:00"/>
        <d v="2019-07-25T00:00:00"/>
        <d v="2018-05-29T00:00:00"/>
        <d v="2023-08-20T00:00:00"/>
        <d v="2025-05-15T00:00:00"/>
        <d v="2023-10-11T00:00:00"/>
        <d v="2021-11-12T00:00:00"/>
        <d v="2023-04-03T00:00:00"/>
        <d v="2022-10-20T00:00:00"/>
        <d v="2023-02-15T00:00:00"/>
        <d v="2022-04-23T00:00:00"/>
        <d v="2022-09-09T00:00:00"/>
        <d v="2021-01-11T00:00:00"/>
        <d v="2018-01-17T00:00:00"/>
        <d v="2024-08-13T00:00:00"/>
        <d v="2025-06-24T00:00:00"/>
        <d v="2018-09-12T00:00:00"/>
        <d v="2019-07-15T00:00:00"/>
        <d v="2025-01-24T00:00:00"/>
        <d v="2021-11-16T00:00:00"/>
        <d v="2018-11-16T00:00:00"/>
        <d v="2019-11-30T00:00:00"/>
        <d v="2021-12-08T00:00:00"/>
        <d v="2018-02-01T00:00:00"/>
        <d v="2019-12-16T00:00:00"/>
        <d v="2025-09-02T00:00:00"/>
        <d v="2020-11-05T00:00:00"/>
        <d v="2019-02-13T00:00:00"/>
        <d v="2025-11-15T00:00:00"/>
        <d v="2024-01-30T00:00:00"/>
        <d v="2020-07-24T00:00:00"/>
        <d v="2021-09-02T00:00:00"/>
        <d v="2019-12-08T00:00:00"/>
        <d v="2026-04-12T00:00:00"/>
        <d v="2020-02-22T00:00:00"/>
        <d v="2023-12-20T00:00:00"/>
        <d v="2025-06-03T00:00:00"/>
        <d v="2021-03-24T00:00:00"/>
        <d v="2024-08-03T00:00:00"/>
        <d v="2021-06-12T00:00:00"/>
        <d v="2025-09-08T00:00:00"/>
        <d v="2018-06-14T00:00:00"/>
        <d v="2025-07-27T00:00:00"/>
        <d v="2024-10-10T00:00:00"/>
        <d v="2025-06-17T00:00:00"/>
        <d v="2024-12-10T00:00:00"/>
        <d v="2018-08-01T00:00:00"/>
        <d v="2023-05-03T00:00:00"/>
        <d v="2020-02-05T00:00:00"/>
        <d v="2024-01-14T00:00:00"/>
        <d v="2024-10-18T00:00:00"/>
        <d v="2021-04-16T00:00:00"/>
        <d v="2025-11-29T00:00:00"/>
        <d v="2019-10-07T00:00:00"/>
        <d v="2022-07-19T00:00:00"/>
        <d v="2024-06-17T00:00:00"/>
        <d v="2023-01-30T00:00:00"/>
        <d v="2018-05-07T00:00:00"/>
        <d v="2018-08-13T00:00:00"/>
        <d v="2026-06-16T00:00:00"/>
        <d v="2019-05-12T00:00:00"/>
        <d v="2023-07-10T00:00:00"/>
        <d v="2019-04-18T00:00:00"/>
        <d v="2023-03-04T00:00:00"/>
        <d v="2021-03-06T00:00:00"/>
        <d v="2024-11-27T00:00:00"/>
        <d v="2018-08-05T00:00:00"/>
        <d v="2018-07-15T00:00:00"/>
        <d v="2024-02-27T00:00:00"/>
        <d v="2019-01-01T00:00:00"/>
        <d v="2025-07-29T00:00:00"/>
        <d v="2022-04-01T00:00:00"/>
        <d v="2024-09-13T00:00:00"/>
        <d v="2022-03-29T00:00:00"/>
        <d v="2025-03-22T00:00:00"/>
        <d v="2018-08-02T00:00:00"/>
        <d v="2022-09-13T00:00:00"/>
        <d v="2025-11-23T00:00:00"/>
        <d v="2025-12-24T00:00:00"/>
        <d v="2021-04-17T00:00:00"/>
        <d v="2021-12-26T00:00:00"/>
        <d v="2020-08-02T00:00:00"/>
        <d v="2024-09-15T00:00:00"/>
        <d v="2026-01-09T00:00:00"/>
        <d v="2019-07-20T00:00:00"/>
        <d v="2018-04-28T00:00:00"/>
        <d v="2019-01-03T00:00:00"/>
        <d v="2021-02-03T00:00:00"/>
        <d v="2025-05-01T00:00:00"/>
        <d v="2023-04-02T00:00:00"/>
        <d v="2023-03-05T00:00:00"/>
        <d v="2024-01-07T00:00:00"/>
        <d v="2020-03-26T00:00:00"/>
        <d v="2024-04-22T00:00:00"/>
        <d v="2023-08-26T00:00:00"/>
        <d v="2018-07-12T00:00:00"/>
        <d v="2026-04-09T00:00:00"/>
        <d v="2020-08-08T00:00:00"/>
        <d v="2025-01-27T00:00:00"/>
        <d v="2024-09-08T00:00:00"/>
        <d v="2020-07-31T00:00:00"/>
        <d v="2018-09-15T00:00:00"/>
        <d v="2021-05-06T00:00:00"/>
        <d v="2023-10-02T00:00:00"/>
        <d v="2019-10-13T00:00:00"/>
        <d v="2019-01-31T00:00:00"/>
      </sharedItems>
      <fieldGroup par="27"/>
    </cacheField>
    <cacheField name="E_Status" numFmtId="0">
      <sharedItems/>
    </cacheField>
    <cacheField name="Work_Mode" numFmtId="0">
      <sharedItems count="3">
        <s v="Hybrid"/>
        <s v="Onsite"/>
        <s v="Remote"/>
      </sharedItems>
    </cacheField>
    <cacheField name="Annual_Salary_INR" numFmtId="0">
      <sharedItems containsSemiMixedTypes="0" containsString="0" containsNumber="1" containsInteger="1" minValue="18000" maxValue="175000"/>
    </cacheField>
    <cacheField name="Experience_Years" numFmtId="0">
      <sharedItems containsSemiMixedTypes="0" containsString="0" containsNumber="1" containsInteger="1" minValue="0" maxValue="31" count="32">
        <n v="7"/>
        <n v="9"/>
        <n v="3"/>
        <n v="24"/>
        <n v="18"/>
        <n v="0"/>
        <n v="29"/>
        <n v="23"/>
        <n v="22"/>
        <n v="5"/>
        <n v="1"/>
        <n v="21"/>
        <n v="15"/>
        <n v="14"/>
        <n v="17"/>
        <n v="6"/>
        <n v="16"/>
        <n v="13"/>
        <n v="8"/>
        <n v="26"/>
        <n v="4"/>
        <n v="25"/>
        <n v="27"/>
        <n v="20"/>
        <n v="12"/>
        <n v="19"/>
        <n v="28"/>
        <n v="10"/>
        <n v="11"/>
        <n v="30"/>
        <n v="2"/>
        <n v="31"/>
      </sharedItems>
    </cacheField>
    <cacheField name="Attendance_Percent" numFmtId="0">
      <sharedItems containsSemiMixedTypes="0" containsString="0" containsNumber="1" minValue="73.2" maxValue="100"/>
    </cacheField>
    <cacheField name="Training_Hours" numFmtId="0">
      <sharedItems containsSemiMixedTypes="0" containsString="0" containsNumber="1" containsInteger="1" minValue="0" maxValue="8"/>
    </cacheField>
    <cacheField name="Projects_Completed" numFmtId="0">
      <sharedItems containsSemiMixedTypes="0" containsString="0" containsNumber="1" containsInteger="1" minValue="0" maxValue="15" count="16">
        <n v="0"/>
        <n v="2"/>
        <n v="13"/>
        <n v="11"/>
        <n v="4"/>
        <n v="7"/>
        <n v="6"/>
        <n v="1"/>
        <n v="5"/>
        <n v="15"/>
        <n v="8"/>
        <n v="14"/>
        <n v="3"/>
        <n v="12"/>
        <n v="9"/>
        <n v="10"/>
      </sharedItems>
    </cacheField>
    <cacheField name="Promotions" numFmtId="0">
      <sharedItems containsSemiMixedTypes="0" containsString="0" containsNumber="1" containsInteger="1" minValue="0" maxValue="4"/>
    </cacheField>
    <cacheField name="Overtime_Hours" numFmtId="0">
      <sharedItems containsSemiMixedTypes="0" containsString="0" containsNumber="1" containsInteger="1" minValue="0" maxValue="30"/>
    </cacheField>
    <cacheField name="Leave_Days" numFmtId="0">
      <sharedItems containsSemiMixedTypes="0" containsString="0" containsNumber="1" containsInteger="1" minValue="2" maxValue="30"/>
    </cacheField>
    <cacheField name="Recruitment_Source" numFmtId="0">
      <sharedItems count="7">
        <s v="Campus Hiring"/>
        <s v="Consultancy"/>
        <s v="Naukri"/>
        <s v="Company Website"/>
        <s v="LinkedIn"/>
        <s v="Employee Referral"/>
        <s v="Indeed"/>
      </sharedItems>
    </cacheField>
    <cacheField name="Monthly_Salary_INR" numFmtId="0">
      <sharedItems containsSemiMixedTypes="0" containsString="0" containsNumber="1" containsInteger="1" minValue="1500" maxValue="14583"/>
    </cacheField>
    <cacheField name="Tenure_Years" numFmtId="0">
      <sharedItems containsSemiMixedTypes="0" containsString="0" containsNumber="1" minValue="0" maxValue="8.6"/>
    </cacheField>
    <cacheField name="Age_Band" numFmtId="0">
      <sharedItems/>
    </cacheField>
    <cacheField name="Performance_Category" numFmtId="0">
      <sharedItems count="4">
        <s v="Poor"/>
        <s v="Good"/>
        <s v="Average"/>
        <s v="Excellent"/>
      </sharedItems>
    </cacheField>
    <cacheField name="Months (Joining_Date)" numFmtId="0" databaseField="0">
      <fieldGroup base="9">
        <rangePr groupBy="months" startDate="2018-01-11T00:00:00" endDate="2026-07-26T00:00:00"/>
        <groupItems count="14">
          <s v="&lt;11-01-2018"/>
          <s v="Jan"/>
          <s v="Feb"/>
          <s v="Mar"/>
          <s v="Apr"/>
          <s v="May"/>
          <s v="Jun"/>
          <s v="Jul"/>
          <s v="Aug"/>
          <s v="Sep"/>
          <s v="Oct"/>
          <s v="Nov"/>
          <s v="Dec"/>
          <s v="&gt;26-07-2026"/>
        </groupItems>
      </fieldGroup>
    </cacheField>
    <cacheField name="Quarters (Joining_Date)" numFmtId="0" databaseField="0">
      <fieldGroup base="9">
        <rangePr groupBy="quarters" startDate="2018-01-11T00:00:00" endDate="2026-07-26T00:00:00"/>
        <groupItems count="6">
          <s v="&lt;11-01-2018"/>
          <s v="Qtr1"/>
          <s v="Qtr2"/>
          <s v="Qtr3"/>
          <s v="Qtr4"/>
          <s v="&gt;26-07-2026"/>
        </groupItems>
      </fieldGroup>
    </cacheField>
    <cacheField name="Years (Joining_Date)" numFmtId="0" databaseField="0">
      <fieldGroup base="9">
        <rangePr groupBy="years" startDate="2018-01-11T00:00:00" endDate="2026-07-26T00:00:00"/>
        <groupItems count="11">
          <s v="&lt;11-01-2018"/>
          <s v="2018"/>
          <s v="2019"/>
          <s v="2020"/>
          <s v="2021"/>
          <s v="2022"/>
          <s v="2023"/>
          <s v="2024"/>
          <s v="2025"/>
          <s v="2026"/>
          <s v="&gt;26-07-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x v="0"/>
    <x v="0"/>
    <n v="30"/>
    <x v="0"/>
    <x v="0"/>
    <s v="Lead"/>
    <s v="Full-Time"/>
    <x v="0"/>
    <x v="0"/>
    <x v="0"/>
    <s v="Hybrid"/>
    <n v="91200"/>
    <n v="7"/>
    <n v="93.9"/>
    <n v="0"/>
    <n v="0"/>
    <n v="1"/>
    <n v="12"/>
    <n v="28"/>
    <s v="Campus Hiring"/>
    <n v="7600"/>
    <n v="6.6"/>
    <s v="30-34"/>
    <s v="Poor"/>
  </r>
  <r>
    <x v="1"/>
    <x v="1"/>
    <x v="0"/>
    <n v="30"/>
    <x v="1"/>
    <x v="1"/>
    <s v="Junior"/>
    <s v="Full-Time"/>
    <x v="1"/>
    <x v="1"/>
    <x v="0"/>
    <s v="Hybrid"/>
    <n v="33800"/>
    <n v="9"/>
    <n v="92.1"/>
    <n v="5"/>
    <n v="2"/>
    <n v="1"/>
    <n v="14"/>
    <n v="28"/>
    <s v="Consultancy"/>
    <n v="2817"/>
    <n v="5.3"/>
    <s v="30-34"/>
    <s v="Good"/>
  </r>
  <r>
    <x v="2"/>
    <x v="2"/>
    <x v="0"/>
    <n v="22"/>
    <x v="2"/>
    <x v="1"/>
    <s v="Senior"/>
    <s v="Full-Time"/>
    <x v="2"/>
    <x v="2"/>
    <x v="0"/>
    <s v="Hybrid"/>
    <n v="61600"/>
    <n v="3"/>
    <n v="82.4"/>
    <n v="1"/>
    <n v="13"/>
    <n v="2"/>
    <n v="20"/>
    <n v="30"/>
    <s v="Campus Hiring"/>
    <n v="5133"/>
    <n v="7.1"/>
    <s v="20-24"/>
    <s v="Good"/>
  </r>
  <r>
    <x v="3"/>
    <x v="3"/>
    <x v="0"/>
    <n v="47"/>
    <x v="3"/>
    <x v="2"/>
    <s v="Junior"/>
    <s v="Full-Time"/>
    <x v="1"/>
    <x v="3"/>
    <x v="0"/>
    <s v="Onsite"/>
    <n v="29300"/>
    <n v="24"/>
    <n v="95.6"/>
    <n v="1"/>
    <n v="11"/>
    <n v="4"/>
    <n v="9"/>
    <n v="3"/>
    <s v="Campus Hiring"/>
    <n v="2442"/>
    <n v="1.1000000000000001"/>
    <s v="45+"/>
    <s v="Average"/>
  </r>
  <r>
    <x v="4"/>
    <x v="4"/>
    <x v="1"/>
    <n v="42"/>
    <x v="4"/>
    <x v="3"/>
    <s v="Junior"/>
    <s v="Full-Time"/>
    <x v="2"/>
    <x v="4"/>
    <x v="1"/>
    <s v="Hybrid"/>
    <n v="43500"/>
    <n v="18"/>
    <n v="87.7"/>
    <n v="0"/>
    <n v="4"/>
    <n v="4"/>
    <n v="2"/>
    <n v="21"/>
    <s v="Campus Hiring"/>
    <n v="3625"/>
    <n v="0.6"/>
    <s v="40-44"/>
    <s v="Average"/>
  </r>
  <r>
    <x v="5"/>
    <x v="5"/>
    <x v="1"/>
    <n v="20"/>
    <x v="5"/>
    <x v="4"/>
    <s v="Senior"/>
    <s v="Part-Time"/>
    <x v="3"/>
    <x v="5"/>
    <x v="0"/>
    <s v="Onsite"/>
    <n v="71200"/>
    <n v="0"/>
    <n v="87.1"/>
    <n v="0"/>
    <n v="11"/>
    <n v="2"/>
    <n v="26"/>
    <n v="29"/>
    <s v="Campus Hiring"/>
    <n v="5933"/>
    <n v="8.4"/>
    <s v="20-24"/>
    <s v="Average"/>
  </r>
  <r>
    <x v="6"/>
    <x v="6"/>
    <x v="0"/>
    <n v="50"/>
    <x v="6"/>
    <x v="5"/>
    <s v="Lead"/>
    <s v="Full-Time"/>
    <x v="4"/>
    <x v="6"/>
    <x v="0"/>
    <s v="Hybrid"/>
    <n v="135300"/>
    <n v="29"/>
    <n v="83.5"/>
    <n v="3"/>
    <n v="7"/>
    <n v="4"/>
    <n v="17"/>
    <n v="25"/>
    <s v="Naukri"/>
    <n v="11275"/>
    <n v="1.4"/>
    <s v="45+"/>
    <s v="Excellent"/>
  </r>
  <r>
    <x v="7"/>
    <x v="7"/>
    <x v="0"/>
    <n v="42"/>
    <x v="7"/>
    <x v="6"/>
    <s v="Associate"/>
    <s v="Full-Time"/>
    <x v="0"/>
    <x v="7"/>
    <x v="0"/>
    <s v="Onsite"/>
    <n v="51500"/>
    <n v="23"/>
    <n v="89.3"/>
    <n v="4"/>
    <n v="6"/>
    <n v="3"/>
    <n v="18"/>
    <n v="15"/>
    <s v="Naukri"/>
    <n v="4292"/>
    <n v="6.3"/>
    <s v="40-44"/>
    <s v="Good"/>
  </r>
  <r>
    <x v="8"/>
    <x v="8"/>
    <x v="0"/>
    <n v="41"/>
    <x v="8"/>
    <x v="6"/>
    <s v="Associate"/>
    <s v="Full-Time"/>
    <x v="3"/>
    <x v="8"/>
    <x v="0"/>
    <s v="Onsite"/>
    <n v="50300"/>
    <n v="22"/>
    <n v="88.2"/>
    <n v="3"/>
    <n v="1"/>
    <n v="0"/>
    <n v="20"/>
    <n v="6"/>
    <s v="Naukri"/>
    <n v="4192"/>
    <n v="8.4"/>
    <s v="40-44"/>
    <s v="Good"/>
  </r>
  <r>
    <x v="9"/>
    <x v="9"/>
    <x v="0"/>
    <n v="46"/>
    <x v="7"/>
    <x v="5"/>
    <s v="Associate"/>
    <s v="Full-Time"/>
    <x v="5"/>
    <x v="9"/>
    <x v="2"/>
    <s v="Hybrid"/>
    <n v="63500"/>
    <n v="23"/>
    <n v="97.7"/>
    <n v="5"/>
    <n v="13"/>
    <n v="3"/>
    <n v="4"/>
    <n v="2"/>
    <s v="Consultancy"/>
    <n v="5292"/>
    <n v="2.1"/>
    <s v="45+"/>
    <s v="Excellent"/>
  </r>
  <r>
    <x v="10"/>
    <x v="10"/>
    <x v="1"/>
    <n v="29"/>
    <x v="9"/>
    <x v="7"/>
    <s v="Junior"/>
    <s v="Full-Time"/>
    <x v="6"/>
    <x v="10"/>
    <x v="0"/>
    <s v="Remote"/>
    <n v="23000"/>
    <n v="5"/>
    <n v="86"/>
    <n v="7"/>
    <n v="11"/>
    <n v="0"/>
    <n v="9"/>
    <n v="13"/>
    <s v="Company Website"/>
    <n v="1917"/>
    <n v="1.9"/>
    <s v="25-29"/>
    <s v="Good"/>
  </r>
  <r>
    <x v="11"/>
    <x v="11"/>
    <x v="0"/>
    <n v="49"/>
    <x v="10"/>
    <x v="3"/>
    <s v="Lead"/>
    <s v="Full-Time"/>
    <x v="6"/>
    <x v="11"/>
    <x v="0"/>
    <s v="Hybrid"/>
    <n v="103000"/>
    <n v="29"/>
    <n v="87.4"/>
    <n v="1"/>
    <n v="6"/>
    <n v="2"/>
    <n v="23"/>
    <n v="13"/>
    <s v="Company Website"/>
    <n v="8583"/>
    <n v="1.9"/>
    <s v="45+"/>
    <s v="Good"/>
  </r>
  <r>
    <x v="12"/>
    <x v="12"/>
    <x v="0"/>
    <n v="21"/>
    <x v="11"/>
    <x v="3"/>
    <s v="Senior"/>
    <s v="Full-Time"/>
    <x v="0"/>
    <x v="12"/>
    <x v="0"/>
    <s v="Hybrid"/>
    <n v="99900"/>
    <n v="1"/>
    <n v="88"/>
    <n v="0"/>
    <n v="4"/>
    <n v="2"/>
    <n v="15"/>
    <n v="20"/>
    <s v="Campus Hiring"/>
    <n v="8325"/>
    <n v="2"/>
    <s v="20-24"/>
    <s v="Good"/>
  </r>
  <r>
    <x v="13"/>
    <x v="13"/>
    <x v="0"/>
    <n v="45"/>
    <x v="5"/>
    <x v="5"/>
    <s v="Junior"/>
    <s v="Part-Time"/>
    <x v="5"/>
    <x v="13"/>
    <x v="0"/>
    <s v="Onsite"/>
    <n v="45700"/>
    <n v="21"/>
    <n v="86.9"/>
    <n v="1"/>
    <n v="5"/>
    <n v="0"/>
    <n v="19"/>
    <n v="22"/>
    <s v="LinkedIn"/>
    <n v="3808"/>
    <n v="5.3"/>
    <s v="45+"/>
    <s v="Good"/>
  </r>
  <r>
    <x v="14"/>
    <x v="14"/>
    <x v="1"/>
    <n v="36"/>
    <x v="7"/>
    <x v="3"/>
    <s v="Associate"/>
    <s v="Full-Time"/>
    <x v="7"/>
    <x v="14"/>
    <x v="2"/>
    <s v="Onsite"/>
    <n v="68900"/>
    <n v="15"/>
    <n v="84.4"/>
    <n v="5"/>
    <n v="7"/>
    <n v="0"/>
    <n v="17"/>
    <n v="23"/>
    <s v="LinkedIn"/>
    <n v="5742"/>
    <n v="1.8"/>
    <s v="35-39"/>
    <s v="Average"/>
  </r>
  <r>
    <x v="15"/>
    <x v="15"/>
    <x v="0"/>
    <n v="28"/>
    <x v="0"/>
    <x v="2"/>
    <s v="Senior"/>
    <s v="Full-Time"/>
    <x v="0"/>
    <x v="15"/>
    <x v="0"/>
    <s v="Onsite"/>
    <n v="73800"/>
    <n v="7"/>
    <n v="94.2"/>
    <n v="3"/>
    <n v="4"/>
    <n v="0"/>
    <n v="7"/>
    <n v="3"/>
    <s v="Consultancy"/>
    <n v="6150"/>
    <n v="3.1"/>
    <s v="25-29"/>
    <s v="Excellent"/>
  </r>
  <r>
    <x v="16"/>
    <x v="16"/>
    <x v="0"/>
    <n v="37"/>
    <x v="4"/>
    <x v="1"/>
    <s v="Associate"/>
    <s v="Full-Time"/>
    <x v="0"/>
    <x v="16"/>
    <x v="0"/>
    <s v="Remote"/>
    <n v="43900"/>
    <n v="14"/>
    <n v="90.1"/>
    <n v="6"/>
    <n v="15"/>
    <n v="0"/>
    <n v="12"/>
    <n v="30"/>
    <s v="LinkedIn"/>
    <n v="3658"/>
    <n v="2.5"/>
    <s v="35-39"/>
    <s v="Average"/>
  </r>
  <r>
    <x v="17"/>
    <x v="17"/>
    <x v="1"/>
    <n v="39"/>
    <x v="11"/>
    <x v="6"/>
    <s v="Senior"/>
    <s v="Contract"/>
    <x v="0"/>
    <x v="17"/>
    <x v="0"/>
    <s v="Remote"/>
    <n v="73800"/>
    <n v="17"/>
    <n v="88.3"/>
    <n v="1"/>
    <n v="8"/>
    <n v="1"/>
    <n v="30"/>
    <n v="25"/>
    <s v="Naukri"/>
    <n v="6150"/>
    <n v="7.5"/>
    <s v="35-39"/>
    <s v="Good"/>
  </r>
  <r>
    <x v="18"/>
    <x v="18"/>
    <x v="0"/>
    <n v="28"/>
    <x v="12"/>
    <x v="7"/>
    <s v="Junior"/>
    <s v="Full-Time"/>
    <x v="2"/>
    <x v="18"/>
    <x v="0"/>
    <s v="Hybrid"/>
    <n v="25100"/>
    <n v="5"/>
    <n v="87.7"/>
    <n v="0"/>
    <n v="0"/>
    <n v="4"/>
    <n v="7"/>
    <n v="14"/>
    <s v="Consultancy"/>
    <n v="2092"/>
    <n v="2.8"/>
    <s v="25-29"/>
    <s v="Excellent"/>
  </r>
  <r>
    <x v="19"/>
    <x v="4"/>
    <x v="1"/>
    <n v="44"/>
    <x v="9"/>
    <x v="1"/>
    <s v="Senior"/>
    <s v="Part-Time"/>
    <x v="7"/>
    <x v="19"/>
    <x v="0"/>
    <s v="Onsite"/>
    <n v="68900"/>
    <n v="21"/>
    <n v="91.6"/>
    <n v="4"/>
    <n v="4"/>
    <n v="4"/>
    <n v="25"/>
    <n v="13"/>
    <s v="Consultancy"/>
    <n v="5742"/>
    <n v="8.5"/>
    <s v="40-44"/>
    <s v="Good"/>
  </r>
  <r>
    <x v="20"/>
    <x v="19"/>
    <x v="1"/>
    <n v="47"/>
    <x v="2"/>
    <x v="4"/>
    <s v="Junior"/>
    <s v="Intern"/>
    <x v="2"/>
    <x v="20"/>
    <x v="0"/>
    <s v="Hybrid"/>
    <n v="32400"/>
    <n v="24"/>
    <n v="87.8"/>
    <n v="8"/>
    <n v="0"/>
    <n v="2"/>
    <n v="12"/>
    <n v="24"/>
    <s v="Employee Referral"/>
    <n v="2700"/>
    <n v="1.1000000000000001"/>
    <s v="45+"/>
    <s v="Average"/>
  </r>
  <r>
    <x v="21"/>
    <x v="20"/>
    <x v="0"/>
    <n v="30"/>
    <x v="8"/>
    <x v="6"/>
    <s v="Lead"/>
    <s v="Full-Time"/>
    <x v="5"/>
    <x v="21"/>
    <x v="0"/>
    <s v="Hybrid"/>
    <n v="108600"/>
    <n v="6"/>
    <n v="90.7"/>
    <n v="5"/>
    <n v="0"/>
    <n v="1"/>
    <n v="23"/>
    <n v="24"/>
    <s v="Consultancy"/>
    <n v="9050"/>
    <n v="0.2"/>
    <s v="30-34"/>
    <s v="Excellent"/>
  </r>
  <r>
    <x v="22"/>
    <x v="21"/>
    <x v="0"/>
    <n v="36"/>
    <x v="7"/>
    <x v="6"/>
    <s v="Associate"/>
    <s v="Intern"/>
    <x v="6"/>
    <x v="22"/>
    <x v="0"/>
    <s v="Hybrid"/>
    <n v="55900"/>
    <n v="16"/>
    <n v="93.4"/>
    <n v="5"/>
    <n v="0"/>
    <n v="0"/>
    <n v="11"/>
    <n v="28"/>
    <s v="Employee Referral"/>
    <n v="4658"/>
    <n v="7.5"/>
    <s v="35-39"/>
    <s v="Good"/>
  </r>
  <r>
    <x v="23"/>
    <x v="22"/>
    <x v="1"/>
    <n v="33"/>
    <x v="6"/>
    <x v="5"/>
    <s v="Associate"/>
    <s v="Full-Time"/>
    <x v="1"/>
    <x v="9"/>
    <x v="0"/>
    <s v="Hybrid"/>
    <n v="74600"/>
    <n v="13"/>
    <n v="92.7"/>
    <n v="0"/>
    <n v="14"/>
    <n v="1"/>
    <n v="12"/>
    <n v="8"/>
    <s v="Indeed"/>
    <n v="6217"/>
    <n v="2.1"/>
    <s v="30-34"/>
    <s v="Good"/>
  </r>
  <r>
    <x v="24"/>
    <x v="23"/>
    <x v="1"/>
    <n v="37"/>
    <x v="12"/>
    <x v="3"/>
    <s v="Lead"/>
    <s v="Full-Time"/>
    <x v="1"/>
    <x v="23"/>
    <x v="0"/>
    <s v="Onsite"/>
    <n v="98600"/>
    <n v="15"/>
    <n v="98.2"/>
    <n v="0"/>
    <n v="4"/>
    <n v="0"/>
    <n v="29"/>
    <n v="22"/>
    <s v="Indeed"/>
    <n v="8217"/>
    <n v="2.4"/>
    <s v="35-39"/>
    <s v="Good"/>
  </r>
  <r>
    <x v="25"/>
    <x v="24"/>
    <x v="0"/>
    <n v="37"/>
    <x v="9"/>
    <x v="2"/>
    <s v="Junior"/>
    <s v="Full-Time"/>
    <x v="7"/>
    <x v="24"/>
    <x v="0"/>
    <s v="Onsite"/>
    <n v="29500"/>
    <n v="16"/>
    <n v="95.9"/>
    <n v="3"/>
    <n v="8"/>
    <n v="4"/>
    <n v="26"/>
    <n v="3"/>
    <s v="Campus Hiring"/>
    <n v="2458"/>
    <n v="3.7"/>
    <s v="35-39"/>
    <s v="Good"/>
  </r>
  <r>
    <x v="26"/>
    <x v="25"/>
    <x v="0"/>
    <n v="31"/>
    <x v="13"/>
    <x v="2"/>
    <s v="Associate"/>
    <s v="Full-Time"/>
    <x v="6"/>
    <x v="25"/>
    <x v="0"/>
    <s v="Onsite"/>
    <n v="41300"/>
    <n v="8"/>
    <n v="92.7"/>
    <n v="1"/>
    <n v="1"/>
    <n v="0"/>
    <n v="16"/>
    <n v="9"/>
    <s v="Campus Hiring"/>
    <n v="3442"/>
    <n v="0.8"/>
    <s v="30-34"/>
    <s v="Average"/>
  </r>
  <r>
    <x v="27"/>
    <x v="26"/>
    <x v="1"/>
    <n v="37"/>
    <x v="11"/>
    <x v="5"/>
    <s v="Associate"/>
    <s v="Full-Time"/>
    <x v="5"/>
    <x v="26"/>
    <x v="0"/>
    <s v="Hybrid"/>
    <n v="60900"/>
    <n v="13"/>
    <n v="92.9"/>
    <n v="2"/>
    <n v="5"/>
    <n v="4"/>
    <n v="14"/>
    <n v="20"/>
    <s v="Naukri"/>
    <n v="5075"/>
    <n v="3.6"/>
    <s v="35-39"/>
    <s v="Good"/>
  </r>
  <r>
    <x v="28"/>
    <x v="27"/>
    <x v="0"/>
    <n v="50"/>
    <x v="10"/>
    <x v="2"/>
    <s v="Associate"/>
    <s v="Full-Time"/>
    <x v="1"/>
    <x v="27"/>
    <x v="0"/>
    <s v="Onsite"/>
    <n v="46800"/>
    <n v="26"/>
    <n v="100"/>
    <n v="5"/>
    <n v="4"/>
    <n v="0"/>
    <n v="27"/>
    <n v="20"/>
    <s v="Indeed"/>
    <n v="3900"/>
    <n v="6.1"/>
    <s v="45+"/>
    <s v="Good"/>
  </r>
  <r>
    <x v="29"/>
    <x v="28"/>
    <x v="1"/>
    <n v="27"/>
    <x v="5"/>
    <x v="5"/>
    <s v="Lead"/>
    <s v="Full-Time"/>
    <x v="3"/>
    <x v="28"/>
    <x v="0"/>
    <s v="Remote"/>
    <n v="127700"/>
    <n v="4"/>
    <n v="87"/>
    <n v="0"/>
    <n v="11"/>
    <n v="2"/>
    <n v="8"/>
    <n v="19"/>
    <s v="Consultancy"/>
    <n v="10642"/>
    <n v="3.3"/>
    <s v="25-29"/>
    <s v="Average"/>
  </r>
  <r>
    <x v="30"/>
    <x v="29"/>
    <x v="1"/>
    <n v="48"/>
    <x v="6"/>
    <x v="5"/>
    <s v="Senior"/>
    <s v="Part-Time"/>
    <x v="2"/>
    <x v="29"/>
    <x v="0"/>
    <s v="Onsite"/>
    <n v="95700"/>
    <n v="24"/>
    <n v="93.5"/>
    <n v="1"/>
    <n v="13"/>
    <n v="4"/>
    <n v="19"/>
    <n v="3"/>
    <s v="Consultancy"/>
    <n v="7975"/>
    <n v="7.4"/>
    <s v="45+"/>
    <s v="Excellent"/>
  </r>
  <r>
    <x v="31"/>
    <x v="30"/>
    <x v="0"/>
    <n v="27"/>
    <x v="7"/>
    <x v="6"/>
    <s v="Junior"/>
    <s v="Full-Time"/>
    <x v="6"/>
    <x v="30"/>
    <x v="0"/>
    <s v="Remote"/>
    <n v="40200"/>
    <n v="3"/>
    <n v="86.7"/>
    <n v="3"/>
    <n v="6"/>
    <n v="2"/>
    <n v="3"/>
    <n v="3"/>
    <s v="Employee Referral"/>
    <n v="3350"/>
    <n v="5"/>
    <s v="25-29"/>
    <s v="Good"/>
  </r>
  <r>
    <x v="32"/>
    <x v="31"/>
    <x v="0"/>
    <n v="45"/>
    <x v="7"/>
    <x v="1"/>
    <s v="Senior"/>
    <s v="Full-Time"/>
    <x v="0"/>
    <x v="31"/>
    <x v="0"/>
    <s v="Hybrid"/>
    <n v="80700"/>
    <n v="22"/>
    <n v="95.2"/>
    <n v="5"/>
    <n v="6"/>
    <n v="1"/>
    <n v="23"/>
    <n v="14"/>
    <s v="Company Website"/>
    <n v="6725"/>
    <n v="5"/>
    <s v="45+"/>
    <s v="Excellent"/>
  </r>
  <r>
    <x v="33"/>
    <x v="32"/>
    <x v="1"/>
    <n v="47"/>
    <x v="7"/>
    <x v="2"/>
    <s v="Associate"/>
    <s v="Intern"/>
    <x v="3"/>
    <x v="32"/>
    <x v="1"/>
    <s v="Hybrid"/>
    <n v="42500"/>
    <n v="25"/>
    <n v="94.2"/>
    <n v="2"/>
    <n v="2"/>
    <n v="0"/>
    <n v="11"/>
    <n v="7"/>
    <s v="Naukri"/>
    <n v="3542"/>
    <n v="8"/>
    <s v="45+"/>
    <s v="Good"/>
  </r>
  <r>
    <x v="34"/>
    <x v="33"/>
    <x v="0"/>
    <n v="27"/>
    <x v="11"/>
    <x v="5"/>
    <s v="Lead"/>
    <s v="Full-Time"/>
    <x v="0"/>
    <x v="33"/>
    <x v="0"/>
    <s v="Hybrid"/>
    <n v="136100"/>
    <n v="3"/>
    <n v="89.8"/>
    <n v="8"/>
    <n v="5"/>
    <n v="1"/>
    <n v="23"/>
    <n v="9"/>
    <s v="Company Website"/>
    <n v="11342"/>
    <n v="4.2"/>
    <s v="25-29"/>
    <s v="Good"/>
  </r>
  <r>
    <x v="35"/>
    <x v="31"/>
    <x v="1"/>
    <n v="47"/>
    <x v="12"/>
    <x v="1"/>
    <s v="Associate"/>
    <s v="Full-Time"/>
    <x v="1"/>
    <x v="34"/>
    <x v="1"/>
    <s v="Hybrid"/>
    <n v="48400"/>
    <n v="27"/>
    <n v="97.5"/>
    <n v="3"/>
    <n v="14"/>
    <n v="0"/>
    <n v="21"/>
    <n v="20"/>
    <s v="Indeed"/>
    <n v="4033"/>
    <n v="3.2"/>
    <s v="45+"/>
    <s v="Good"/>
  </r>
  <r>
    <x v="36"/>
    <x v="34"/>
    <x v="0"/>
    <n v="39"/>
    <x v="4"/>
    <x v="5"/>
    <s v="Senior"/>
    <s v="Full-Time"/>
    <x v="6"/>
    <x v="35"/>
    <x v="0"/>
    <s v="Onsite"/>
    <n v="94200"/>
    <n v="20"/>
    <n v="91.3"/>
    <n v="6"/>
    <n v="2"/>
    <n v="4"/>
    <n v="3"/>
    <n v="7"/>
    <s v="Company Website"/>
    <n v="7850"/>
    <n v="7.2"/>
    <s v="35-39"/>
    <s v="Excellent"/>
  </r>
  <r>
    <x v="37"/>
    <x v="35"/>
    <x v="1"/>
    <n v="34"/>
    <x v="10"/>
    <x v="3"/>
    <s v="Associate"/>
    <s v="Full-Time"/>
    <x v="6"/>
    <x v="36"/>
    <x v="0"/>
    <s v="Remote"/>
    <n v="68800"/>
    <n v="14"/>
    <n v="92.7"/>
    <n v="4"/>
    <n v="15"/>
    <n v="0"/>
    <n v="12"/>
    <n v="20"/>
    <s v="LinkedIn"/>
    <n v="5733"/>
    <n v="1.3"/>
    <s v="30-34"/>
    <s v="Excellent"/>
  </r>
  <r>
    <x v="38"/>
    <x v="2"/>
    <x v="1"/>
    <n v="27"/>
    <x v="14"/>
    <x v="6"/>
    <s v="Associate"/>
    <s v="Full-Time"/>
    <x v="2"/>
    <x v="37"/>
    <x v="0"/>
    <s v="Hybrid"/>
    <n v="44000"/>
    <n v="8"/>
    <n v="82.9"/>
    <n v="5"/>
    <n v="15"/>
    <n v="3"/>
    <n v="2"/>
    <n v="10"/>
    <s v="Naukri"/>
    <n v="3667"/>
    <n v="5.7"/>
    <s v="25-29"/>
    <s v="Average"/>
  </r>
  <r>
    <x v="39"/>
    <x v="36"/>
    <x v="1"/>
    <n v="33"/>
    <x v="10"/>
    <x v="2"/>
    <s v="Associate"/>
    <s v="Full-Time"/>
    <x v="1"/>
    <x v="38"/>
    <x v="0"/>
    <s v="Remote"/>
    <n v="53600"/>
    <n v="14"/>
    <n v="100"/>
    <n v="8"/>
    <n v="1"/>
    <n v="3"/>
    <n v="4"/>
    <n v="16"/>
    <s v="Naukri"/>
    <n v="4467"/>
    <n v="5.3"/>
    <s v="30-34"/>
    <s v="Good"/>
  </r>
  <r>
    <x v="40"/>
    <x v="37"/>
    <x v="1"/>
    <n v="32"/>
    <x v="14"/>
    <x v="4"/>
    <s v="Junior"/>
    <s v="Full-Time"/>
    <x v="4"/>
    <x v="39"/>
    <x v="0"/>
    <s v="Hybrid"/>
    <n v="33700"/>
    <n v="12"/>
    <n v="85.8"/>
    <n v="8"/>
    <n v="4"/>
    <n v="3"/>
    <n v="12"/>
    <n v="18"/>
    <s v="Campus Hiring"/>
    <n v="2808"/>
    <n v="5.0999999999999996"/>
    <s v="30-34"/>
    <s v="Excellent"/>
  </r>
  <r>
    <x v="41"/>
    <x v="38"/>
    <x v="0"/>
    <n v="42"/>
    <x v="12"/>
    <x v="5"/>
    <s v="Senior"/>
    <s v="Full-Time"/>
    <x v="4"/>
    <x v="40"/>
    <x v="0"/>
    <s v="Hybrid"/>
    <n v="107300"/>
    <n v="19"/>
    <n v="84.8"/>
    <n v="5"/>
    <n v="3"/>
    <n v="2"/>
    <n v="13"/>
    <n v="24"/>
    <s v="Indeed"/>
    <n v="8942"/>
    <n v="5.0999999999999996"/>
    <s v="40-44"/>
    <s v="Average"/>
  </r>
  <r>
    <x v="42"/>
    <x v="39"/>
    <x v="1"/>
    <n v="27"/>
    <x v="12"/>
    <x v="3"/>
    <s v="Associate"/>
    <s v="Full-Time"/>
    <x v="2"/>
    <x v="41"/>
    <x v="1"/>
    <s v="Hybrid"/>
    <n v="73000"/>
    <n v="8"/>
    <n v="94.1"/>
    <n v="1"/>
    <n v="12"/>
    <n v="3"/>
    <n v="7"/>
    <n v="9"/>
    <s v="Employee Referral"/>
    <n v="6083"/>
    <n v="5"/>
    <s v="25-29"/>
    <s v="Good"/>
  </r>
  <r>
    <x v="43"/>
    <x v="40"/>
    <x v="0"/>
    <n v="36"/>
    <x v="7"/>
    <x v="0"/>
    <s v="Manager"/>
    <s v="Full-Time"/>
    <x v="0"/>
    <x v="42"/>
    <x v="0"/>
    <s v="Onsite"/>
    <n v="124800"/>
    <n v="16"/>
    <n v="91.9"/>
    <n v="8"/>
    <n v="3"/>
    <n v="0"/>
    <n v="22"/>
    <n v="10"/>
    <s v="Company Website"/>
    <n v="10400"/>
    <n v="0.4"/>
    <s v="35-39"/>
    <s v="Good"/>
  </r>
  <r>
    <x v="44"/>
    <x v="11"/>
    <x v="0"/>
    <n v="38"/>
    <x v="9"/>
    <x v="1"/>
    <s v="Associate"/>
    <s v="Full-Time"/>
    <x v="0"/>
    <x v="43"/>
    <x v="1"/>
    <s v="Onsite"/>
    <n v="42300"/>
    <n v="17"/>
    <n v="83.3"/>
    <n v="1"/>
    <n v="15"/>
    <n v="1"/>
    <n v="10"/>
    <n v="6"/>
    <s v="Company Website"/>
    <n v="3525"/>
    <n v="6.9"/>
    <s v="35-39"/>
    <s v="Good"/>
  </r>
  <r>
    <x v="45"/>
    <x v="41"/>
    <x v="0"/>
    <n v="45"/>
    <x v="10"/>
    <x v="2"/>
    <s v="Senior"/>
    <s v="Full-Time"/>
    <x v="4"/>
    <x v="44"/>
    <x v="0"/>
    <s v="Onsite"/>
    <n v="61700"/>
    <n v="21"/>
    <n v="86.7"/>
    <n v="1"/>
    <n v="3"/>
    <n v="2"/>
    <n v="7"/>
    <n v="7"/>
    <s v="Campus Hiring"/>
    <n v="5142"/>
    <n v="5.7"/>
    <s v="45+"/>
    <s v="Poor"/>
  </r>
  <r>
    <x v="46"/>
    <x v="42"/>
    <x v="0"/>
    <n v="25"/>
    <x v="4"/>
    <x v="5"/>
    <s v="Manager"/>
    <s v="Contract"/>
    <x v="0"/>
    <x v="45"/>
    <x v="0"/>
    <s v="Onsite"/>
    <n v="146200"/>
    <n v="3"/>
    <n v="89"/>
    <n v="1"/>
    <n v="7"/>
    <n v="4"/>
    <n v="30"/>
    <n v="22"/>
    <s v="Company Website"/>
    <n v="12183"/>
    <n v="2.6"/>
    <s v="25-29"/>
    <s v="Good"/>
  </r>
  <r>
    <x v="47"/>
    <x v="43"/>
    <x v="1"/>
    <n v="36"/>
    <x v="13"/>
    <x v="7"/>
    <s v="Senior"/>
    <s v="Contract"/>
    <x v="7"/>
    <x v="46"/>
    <x v="0"/>
    <s v="Onsite"/>
    <n v="46200"/>
    <n v="17"/>
    <n v="87.3"/>
    <n v="6"/>
    <n v="12"/>
    <n v="2"/>
    <n v="29"/>
    <n v="27"/>
    <s v="Company Website"/>
    <n v="3850"/>
    <n v="8.1"/>
    <s v="35-39"/>
    <s v="Excellent"/>
  </r>
  <r>
    <x v="48"/>
    <x v="44"/>
    <x v="1"/>
    <n v="23"/>
    <x v="11"/>
    <x v="6"/>
    <s v="Lead"/>
    <s v="Part-Time"/>
    <x v="1"/>
    <x v="47"/>
    <x v="0"/>
    <s v="Hybrid"/>
    <n v="103500"/>
    <n v="3"/>
    <n v="92"/>
    <n v="3"/>
    <n v="13"/>
    <n v="1"/>
    <n v="11"/>
    <n v="22"/>
    <s v="Indeed"/>
    <n v="8625"/>
    <n v="0.3"/>
    <s v="20-24"/>
    <s v="Good"/>
  </r>
  <r>
    <x v="49"/>
    <x v="45"/>
    <x v="0"/>
    <n v="44"/>
    <x v="7"/>
    <x v="0"/>
    <s v="Lead"/>
    <s v="Full-Time"/>
    <x v="7"/>
    <x v="48"/>
    <x v="0"/>
    <s v="Onsite"/>
    <n v="91200"/>
    <n v="21"/>
    <n v="95.7"/>
    <n v="7"/>
    <n v="0"/>
    <n v="3"/>
    <n v="10"/>
    <n v="28"/>
    <s v="Company Website"/>
    <n v="7600"/>
    <n v="6.7"/>
    <s v="40-44"/>
    <s v="Average"/>
  </r>
  <r>
    <x v="50"/>
    <x v="46"/>
    <x v="0"/>
    <n v="26"/>
    <x v="7"/>
    <x v="5"/>
    <s v="Associate"/>
    <s v="Intern"/>
    <x v="3"/>
    <x v="49"/>
    <x v="0"/>
    <s v="Onsite"/>
    <n v="76200"/>
    <n v="7"/>
    <n v="100"/>
    <n v="7"/>
    <n v="2"/>
    <n v="1"/>
    <n v="16"/>
    <n v="12"/>
    <s v="Campus Hiring"/>
    <n v="6350"/>
    <n v="6.8"/>
    <s v="25-29"/>
    <s v="Poor"/>
  </r>
  <r>
    <x v="51"/>
    <x v="3"/>
    <x v="0"/>
    <n v="36"/>
    <x v="5"/>
    <x v="5"/>
    <s v="Senior"/>
    <s v="Full-Time"/>
    <x v="7"/>
    <x v="50"/>
    <x v="0"/>
    <s v="Remote"/>
    <n v="102000"/>
    <n v="14"/>
    <n v="83.3"/>
    <n v="0"/>
    <n v="8"/>
    <n v="2"/>
    <n v="26"/>
    <n v="8"/>
    <s v="Campus Hiring"/>
    <n v="8500"/>
    <n v="2.4"/>
    <s v="35-39"/>
    <s v="Good"/>
  </r>
  <r>
    <x v="52"/>
    <x v="47"/>
    <x v="0"/>
    <n v="48"/>
    <x v="9"/>
    <x v="3"/>
    <s v="Junior"/>
    <s v="Full-Time"/>
    <x v="6"/>
    <x v="51"/>
    <x v="0"/>
    <s v="Hybrid"/>
    <n v="39400"/>
    <n v="25"/>
    <n v="90.7"/>
    <n v="0"/>
    <n v="2"/>
    <n v="2"/>
    <n v="12"/>
    <n v="29"/>
    <s v="LinkedIn"/>
    <n v="3283"/>
    <n v="3.1"/>
    <s v="45+"/>
    <s v="Good"/>
  </r>
  <r>
    <x v="53"/>
    <x v="40"/>
    <x v="0"/>
    <n v="47"/>
    <x v="7"/>
    <x v="2"/>
    <s v="Associate"/>
    <s v="Full-Time"/>
    <x v="0"/>
    <x v="52"/>
    <x v="0"/>
    <s v="Onsite"/>
    <n v="47300"/>
    <n v="25"/>
    <n v="91.4"/>
    <n v="3"/>
    <n v="0"/>
    <n v="2"/>
    <n v="3"/>
    <n v="21"/>
    <s v="Campus Hiring"/>
    <n v="3942"/>
    <n v="3.5"/>
    <s v="45+"/>
    <s v="Good"/>
  </r>
  <r>
    <x v="54"/>
    <x v="48"/>
    <x v="0"/>
    <n v="41"/>
    <x v="0"/>
    <x v="0"/>
    <s v="Junior"/>
    <s v="Intern"/>
    <x v="2"/>
    <x v="53"/>
    <x v="0"/>
    <s v="Hybrid"/>
    <n v="36500"/>
    <n v="19"/>
    <n v="91.4"/>
    <n v="1"/>
    <n v="12"/>
    <n v="1"/>
    <n v="12"/>
    <n v="16"/>
    <s v="Campus Hiring"/>
    <n v="3042"/>
    <n v="2"/>
    <s v="40-44"/>
    <s v="Excellent"/>
  </r>
  <r>
    <x v="55"/>
    <x v="49"/>
    <x v="0"/>
    <n v="41"/>
    <x v="8"/>
    <x v="5"/>
    <s v="Senior"/>
    <s v="Full-Time"/>
    <x v="1"/>
    <x v="54"/>
    <x v="0"/>
    <s v="Hybrid"/>
    <n v="95400"/>
    <n v="17"/>
    <n v="92"/>
    <n v="2"/>
    <n v="15"/>
    <n v="0"/>
    <n v="8"/>
    <n v="14"/>
    <s v="Company Website"/>
    <n v="7950"/>
    <n v="8.5"/>
    <s v="40-44"/>
    <s v="Good"/>
  </r>
  <r>
    <x v="56"/>
    <x v="50"/>
    <x v="1"/>
    <n v="47"/>
    <x v="6"/>
    <x v="2"/>
    <s v="Associate"/>
    <s v="Full-Time"/>
    <x v="1"/>
    <x v="55"/>
    <x v="0"/>
    <s v="Onsite"/>
    <n v="48300"/>
    <n v="28"/>
    <n v="91.4"/>
    <n v="1"/>
    <n v="4"/>
    <n v="0"/>
    <n v="21"/>
    <n v="16"/>
    <s v="LinkedIn"/>
    <n v="4025"/>
    <n v="6.3"/>
    <s v="45+"/>
    <s v="Good"/>
  </r>
  <r>
    <x v="57"/>
    <x v="51"/>
    <x v="1"/>
    <n v="37"/>
    <x v="5"/>
    <x v="6"/>
    <s v="Associate"/>
    <s v="Full-Time"/>
    <x v="1"/>
    <x v="56"/>
    <x v="0"/>
    <s v="Onsite"/>
    <n v="43000"/>
    <n v="18"/>
    <n v="96.8"/>
    <n v="8"/>
    <n v="3"/>
    <n v="3"/>
    <n v="13"/>
    <n v="15"/>
    <s v="Company Website"/>
    <n v="3583"/>
    <n v="0.3"/>
    <s v="35-39"/>
    <s v="Excellent"/>
  </r>
  <r>
    <x v="58"/>
    <x v="52"/>
    <x v="1"/>
    <n v="25"/>
    <x v="0"/>
    <x v="1"/>
    <s v="Associate"/>
    <s v="Full-Time"/>
    <x v="3"/>
    <x v="57"/>
    <x v="0"/>
    <s v="Onsite"/>
    <n v="51700"/>
    <n v="6"/>
    <n v="92.9"/>
    <n v="5"/>
    <n v="9"/>
    <n v="4"/>
    <n v="11"/>
    <n v="7"/>
    <s v="Employee Referral"/>
    <n v="4308"/>
    <n v="5.6"/>
    <s v="25-29"/>
    <s v="Good"/>
  </r>
  <r>
    <x v="59"/>
    <x v="53"/>
    <x v="1"/>
    <n v="49"/>
    <x v="5"/>
    <x v="4"/>
    <s v="Manager"/>
    <s v="Full-Time"/>
    <x v="1"/>
    <x v="58"/>
    <x v="0"/>
    <s v="Hybrid"/>
    <n v="106900"/>
    <n v="27"/>
    <n v="83.4"/>
    <n v="6"/>
    <n v="12"/>
    <n v="1"/>
    <n v="25"/>
    <n v="5"/>
    <s v="Campus Hiring"/>
    <n v="8908"/>
    <n v="5.0999999999999996"/>
    <s v="45+"/>
    <s v="Good"/>
  </r>
  <r>
    <x v="60"/>
    <x v="18"/>
    <x v="0"/>
    <n v="29"/>
    <x v="6"/>
    <x v="0"/>
    <s v="Junior"/>
    <s v="Full-Time"/>
    <x v="6"/>
    <x v="59"/>
    <x v="0"/>
    <s v="Remote"/>
    <n v="40400"/>
    <n v="8"/>
    <n v="84.4"/>
    <n v="5"/>
    <n v="7"/>
    <n v="0"/>
    <n v="23"/>
    <n v="30"/>
    <s v="Consultancy"/>
    <n v="3367"/>
    <n v="0.7"/>
    <s v="25-29"/>
    <s v="Good"/>
  </r>
  <r>
    <x v="61"/>
    <x v="54"/>
    <x v="0"/>
    <n v="37"/>
    <x v="2"/>
    <x v="2"/>
    <s v="Intern"/>
    <s v="Full-Time"/>
    <x v="4"/>
    <x v="60"/>
    <x v="0"/>
    <s v="Hybrid"/>
    <n v="23700"/>
    <n v="16"/>
    <n v="95.5"/>
    <n v="0"/>
    <n v="10"/>
    <n v="3"/>
    <n v="29"/>
    <n v="19"/>
    <s v="Consultancy"/>
    <n v="1975"/>
    <n v="0.4"/>
    <s v="35-39"/>
    <s v="Excellent"/>
  </r>
  <r>
    <x v="62"/>
    <x v="55"/>
    <x v="1"/>
    <n v="43"/>
    <x v="3"/>
    <x v="3"/>
    <s v="Junior"/>
    <s v="Full-Time"/>
    <x v="3"/>
    <x v="61"/>
    <x v="0"/>
    <s v="Remote"/>
    <n v="40200"/>
    <n v="22"/>
    <n v="93.5"/>
    <n v="4"/>
    <n v="11"/>
    <n v="4"/>
    <n v="12"/>
    <n v="19"/>
    <s v="Company Website"/>
    <n v="3350"/>
    <n v="1.3"/>
    <s v="40-44"/>
    <s v="Excellent"/>
  </r>
  <r>
    <x v="63"/>
    <x v="35"/>
    <x v="0"/>
    <n v="26"/>
    <x v="4"/>
    <x v="5"/>
    <s v="Manager"/>
    <s v="Full-Time"/>
    <x v="0"/>
    <x v="62"/>
    <x v="0"/>
    <s v="Remote"/>
    <n v="132300"/>
    <n v="3"/>
    <n v="89.6"/>
    <n v="2"/>
    <n v="10"/>
    <n v="3"/>
    <n v="7"/>
    <n v="29"/>
    <s v="Naukri"/>
    <n v="11025"/>
    <n v="2.5"/>
    <s v="25-29"/>
    <s v="Good"/>
  </r>
  <r>
    <x v="64"/>
    <x v="22"/>
    <x v="0"/>
    <n v="33"/>
    <x v="5"/>
    <x v="2"/>
    <s v="Manager"/>
    <s v="Full-Time"/>
    <x v="2"/>
    <x v="63"/>
    <x v="1"/>
    <s v="Hybrid"/>
    <n v="119500"/>
    <n v="9"/>
    <n v="93.4"/>
    <n v="7"/>
    <n v="8"/>
    <n v="3"/>
    <n v="4"/>
    <n v="30"/>
    <s v="Campus Hiring"/>
    <n v="9958"/>
    <n v="5.4"/>
    <s v="30-34"/>
    <s v="Good"/>
  </r>
  <r>
    <x v="65"/>
    <x v="14"/>
    <x v="0"/>
    <n v="41"/>
    <x v="9"/>
    <x v="1"/>
    <s v="Senior"/>
    <s v="Full-Time"/>
    <x v="0"/>
    <x v="64"/>
    <x v="0"/>
    <s v="Hybrid"/>
    <n v="81600"/>
    <n v="18"/>
    <n v="94.1"/>
    <n v="6"/>
    <n v="9"/>
    <n v="4"/>
    <n v="10"/>
    <n v="5"/>
    <s v="Company Website"/>
    <n v="6800"/>
    <n v="0.7"/>
    <s v="40-44"/>
    <s v="Excellent"/>
  </r>
  <r>
    <x v="66"/>
    <x v="56"/>
    <x v="1"/>
    <n v="33"/>
    <x v="11"/>
    <x v="1"/>
    <s v="Lead"/>
    <s v="Full-Time"/>
    <x v="7"/>
    <x v="65"/>
    <x v="1"/>
    <s v="Hybrid"/>
    <n v="88600"/>
    <n v="14"/>
    <n v="96.1"/>
    <n v="8"/>
    <n v="4"/>
    <n v="2"/>
    <n v="23"/>
    <n v="28"/>
    <s v="Employee Referral"/>
    <n v="7383"/>
    <n v="5.7"/>
    <s v="30-34"/>
    <s v="Good"/>
  </r>
  <r>
    <x v="67"/>
    <x v="57"/>
    <x v="0"/>
    <n v="29"/>
    <x v="10"/>
    <x v="0"/>
    <s v="Junior"/>
    <s v="Full-Time"/>
    <x v="5"/>
    <x v="66"/>
    <x v="0"/>
    <s v="Hybrid"/>
    <n v="34100"/>
    <n v="10"/>
    <n v="89.8"/>
    <n v="0"/>
    <n v="0"/>
    <n v="0"/>
    <n v="19"/>
    <n v="22"/>
    <s v="Consultancy"/>
    <n v="2842"/>
    <n v="4.4000000000000004"/>
    <s v="25-29"/>
    <s v="Excellent"/>
  </r>
  <r>
    <x v="68"/>
    <x v="58"/>
    <x v="1"/>
    <n v="41"/>
    <x v="0"/>
    <x v="7"/>
    <s v="Manager"/>
    <s v="Full-Time"/>
    <x v="5"/>
    <x v="67"/>
    <x v="0"/>
    <s v="Remote"/>
    <n v="76300"/>
    <n v="21"/>
    <n v="95"/>
    <n v="1"/>
    <n v="3"/>
    <n v="0"/>
    <n v="5"/>
    <n v="2"/>
    <s v="Company Website"/>
    <n v="6358"/>
    <n v="6.4"/>
    <s v="40-44"/>
    <s v="Good"/>
  </r>
  <r>
    <x v="69"/>
    <x v="59"/>
    <x v="1"/>
    <n v="44"/>
    <x v="1"/>
    <x v="1"/>
    <s v="Junior"/>
    <s v="Full-Time"/>
    <x v="1"/>
    <x v="42"/>
    <x v="0"/>
    <s v="Hybrid"/>
    <n v="31700"/>
    <n v="25"/>
    <n v="90.4"/>
    <n v="1"/>
    <n v="2"/>
    <n v="4"/>
    <n v="6"/>
    <n v="4"/>
    <s v="Campus Hiring"/>
    <n v="2642"/>
    <n v="0.4"/>
    <s v="40-44"/>
    <s v="Good"/>
  </r>
  <r>
    <x v="70"/>
    <x v="60"/>
    <x v="1"/>
    <n v="28"/>
    <x v="11"/>
    <x v="6"/>
    <s v="Junior"/>
    <s v="Contract"/>
    <x v="7"/>
    <x v="68"/>
    <x v="0"/>
    <s v="Onsite"/>
    <n v="33500"/>
    <n v="7"/>
    <n v="83.6"/>
    <n v="0"/>
    <n v="5"/>
    <n v="0"/>
    <n v="21"/>
    <n v="6"/>
    <s v="Campus Hiring"/>
    <n v="2792"/>
    <n v="0.7"/>
    <s v="25-29"/>
    <s v="Good"/>
  </r>
  <r>
    <x v="71"/>
    <x v="61"/>
    <x v="1"/>
    <n v="45"/>
    <x v="6"/>
    <x v="4"/>
    <s v="Junior"/>
    <s v="Full-Time"/>
    <x v="3"/>
    <x v="69"/>
    <x v="2"/>
    <s v="Hybrid"/>
    <n v="31200"/>
    <n v="21"/>
    <n v="92.9"/>
    <n v="7"/>
    <n v="14"/>
    <n v="1"/>
    <n v="21"/>
    <n v="25"/>
    <s v="Employee Referral"/>
    <n v="2600"/>
    <n v="2"/>
    <s v="45+"/>
    <s v="Average"/>
  </r>
  <r>
    <x v="72"/>
    <x v="62"/>
    <x v="1"/>
    <n v="29"/>
    <x v="12"/>
    <x v="5"/>
    <s v="Senior"/>
    <s v="Full-Time"/>
    <x v="5"/>
    <x v="70"/>
    <x v="0"/>
    <s v="Onsite"/>
    <n v="100500"/>
    <n v="8"/>
    <n v="97.3"/>
    <n v="3"/>
    <n v="1"/>
    <n v="1"/>
    <n v="30"/>
    <n v="21"/>
    <s v="Consultancy"/>
    <n v="8375"/>
    <n v="8.5"/>
    <s v="25-29"/>
    <s v="Good"/>
  </r>
  <r>
    <x v="73"/>
    <x v="63"/>
    <x v="0"/>
    <n v="21"/>
    <x v="5"/>
    <x v="5"/>
    <s v="Senior"/>
    <s v="Full-Time"/>
    <x v="0"/>
    <x v="71"/>
    <x v="1"/>
    <s v="Onsite"/>
    <n v="88600"/>
    <n v="0"/>
    <n v="94.9"/>
    <n v="6"/>
    <n v="4"/>
    <n v="1"/>
    <n v="23"/>
    <n v="7"/>
    <s v="LinkedIn"/>
    <n v="7383"/>
    <n v="2"/>
    <s v="20-24"/>
    <s v="Average"/>
  </r>
  <r>
    <x v="74"/>
    <x v="38"/>
    <x v="1"/>
    <n v="22"/>
    <x v="10"/>
    <x v="2"/>
    <s v="Associate"/>
    <s v="Full-Time"/>
    <x v="1"/>
    <x v="72"/>
    <x v="0"/>
    <s v="Onsite"/>
    <n v="40700"/>
    <n v="0"/>
    <n v="97"/>
    <n v="0"/>
    <n v="7"/>
    <n v="4"/>
    <n v="29"/>
    <n v="29"/>
    <s v="Indeed"/>
    <n v="3392"/>
    <n v="4.7"/>
    <s v="20-24"/>
    <s v="Good"/>
  </r>
  <r>
    <x v="75"/>
    <x v="64"/>
    <x v="1"/>
    <n v="35"/>
    <x v="10"/>
    <x v="5"/>
    <s v="Manager"/>
    <s v="Contract"/>
    <x v="4"/>
    <x v="73"/>
    <x v="0"/>
    <s v="Hybrid"/>
    <n v="148700"/>
    <n v="16"/>
    <n v="91.9"/>
    <n v="7"/>
    <n v="10"/>
    <n v="3"/>
    <n v="14"/>
    <n v="5"/>
    <s v="Indeed"/>
    <n v="12392"/>
    <n v="5.2"/>
    <s v="35-39"/>
    <s v="Average"/>
  </r>
  <r>
    <x v="76"/>
    <x v="65"/>
    <x v="1"/>
    <n v="29"/>
    <x v="8"/>
    <x v="2"/>
    <s v="Associate"/>
    <s v="Full-Time"/>
    <x v="5"/>
    <x v="74"/>
    <x v="0"/>
    <s v="Onsite"/>
    <n v="53200"/>
    <n v="6"/>
    <n v="86.8"/>
    <n v="7"/>
    <n v="4"/>
    <n v="3"/>
    <n v="4"/>
    <n v="6"/>
    <s v="LinkedIn"/>
    <n v="4433"/>
    <n v="3.8"/>
    <s v="25-29"/>
    <s v="Average"/>
  </r>
  <r>
    <x v="77"/>
    <x v="66"/>
    <x v="1"/>
    <n v="42"/>
    <x v="3"/>
    <x v="1"/>
    <s v="Junior"/>
    <s v="Full-Time"/>
    <x v="3"/>
    <x v="75"/>
    <x v="0"/>
    <s v="Onsite"/>
    <n v="34100"/>
    <n v="21"/>
    <n v="92"/>
    <n v="2"/>
    <n v="4"/>
    <n v="2"/>
    <n v="23"/>
    <n v="13"/>
    <s v="Campus Hiring"/>
    <n v="2842"/>
    <n v="6.6"/>
    <s v="40-44"/>
    <s v="Good"/>
  </r>
  <r>
    <x v="78"/>
    <x v="57"/>
    <x v="0"/>
    <n v="30"/>
    <x v="8"/>
    <x v="1"/>
    <s v="Associate"/>
    <s v="Intern"/>
    <x v="0"/>
    <x v="76"/>
    <x v="0"/>
    <s v="Onsite"/>
    <n v="56100"/>
    <n v="8"/>
    <n v="89.1"/>
    <n v="8"/>
    <n v="7"/>
    <n v="2"/>
    <n v="8"/>
    <n v="8"/>
    <s v="Consultancy"/>
    <n v="4675"/>
    <n v="4.9000000000000004"/>
    <s v="30-34"/>
    <s v="Good"/>
  </r>
  <r>
    <x v="79"/>
    <x v="67"/>
    <x v="0"/>
    <n v="29"/>
    <x v="9"/>
    <x v="1"/>
    <s v="Senior"/>
    <s v="Full-Time"/>
    <x v="0"/>
    <x v="77"/>
    <x v="0"/>
    <s v="Onsite"/>
    <n v="70700"/>
    <n v="5"/>
    <n v="92.6"/>
    <n v="4"/>
    <n v="10"/>
    <n v="1"/>
    <n v="27"/>
    <n v="14"/>
    <s v="Company Website"/>
    <n v="5892"/>
    <n v="3.6"/>
    <s v="25-29"/>
    <s v="Excellent"/>
  </r>
  <r>
    <x v="80"/>
    <x v="17"/>
    <x v="0"/>
    <n v="31"/>
    <x v="3"/>
    <x v="4"/>
    <s v="Lead"/>
    <s v="Full-Time"/>
    <x v="3"/>
    <x v="78"/>
    <x v="0"/>
    <s v="Remote"/>
    <n v="78300"/>
    <n v="12"/>
    <n v="91.3"/>
    <n v="4"/>
    <n v="4"/>
    <n v="1"/>
    <n v="19"/>
    <n v="9"/>
    <s v="Consultancy"/>
    <n v="6525"/>
    <n v="8.1999999999999993"/>
    <s v="30-34"/>
    <s v="Excellent"/>
  </r>
  <r>
    <x v="81"/>
    <x v="68"/>
    <x v="1"/>
    <n v="48"/>
    <x v="13"/>
    <x v="5"/>
    <s v="Associate"/>
    <s v="Full-Time"/>
    <x v="2"/>
    <x v="79"/>
    <x v="0"/>
    <s v="Remote"/>
    <n v="59400"/>
    <n v="28"/>
    <n v="96.1"/>
    <n v="4"/>
    <n v="3"/>
    <n v="4"/>
    <n v="30"/>
    <n v="14"/>
    <s v="Naukri"/>
    <n v="4950"/>
    <n v="7.6"/>
    <s v="45+"/>
    <s v="Good"/>
  </r>
  <r>
    <x v="82"/>
    <x v="69"/>
    <x v="1"/>
    <n v="33"/>
    <x v="1"/>
    <x v="4"/>
    <s v="Senior"/>
    <s v="Full-Time"/>
    <x v="0"/>
    <x v="80"/>
    <x v="0"/>
    <s v="Hybrid"/>
    <n v="70400"/>
    <n v="11"/>
    <n v="84.1"/>
    <n v="0"/>
    <n v="9"/>
    <n v="1"/>
    <n v="18"/>
    <n v="13"/>
    <s v="Naukri"/>
    <n v="5867"/>
    <n v="3.5"/>
    <s v="30-34"/>
    <s v="Excellent"/>
  </r>
  <r>
    <x v="83"/>
    <x v="70"/>
    <x v="0"/>
    <n v="49"/>
    <x v="3"/>
    <x v="2"/>
    <s v="Associate"/>
    <s v="Intern"/>
    <x v="1"/>
    <x v="81"/>
    <x v="0"/>
    <s v="Hybrid"/>
    <n v="48300"/>
    <n v="26"/>
    <n v="79.3"/>
    <n v="1"/>
    <n v="8"/>
    <n v="1"/>
    <n v="4"/>
    <n v="11"/>
    <s v="Employee Referral"/>
    <n v="4025"/>
    <n v="5.6"/>
    <s v="45+"/>
    <s v="Good"/>
  </r>
  <r>
    <x v="84"/>
    <x v="71"/>
    <x v="1"/>
    <n v="28"/>
    <x v="7"/>
    <x v="2"/>
    <s v="Senior"/>
    <s v="Full-Time"/>
    <x v="7"/>
    <x v="82"/>
    <x v="0"/>
    <s v="Onsite"/>
    <n v="71500"/>
    <n v="4"/>
    <n v="91.4"/>
    <n v="0"/>
    <n v="1"/>
    <n v="1"/>
    <n v="12"/>
    <n v="11"/>
    <s v="Company Website"/>
    <n v="5958"/>
    <n v="6.4"/>
    <s v="25-29"/>
    <s v="Good"/>
  </r>
  <r>
    <x v="85"/>
    <x v="14"/>
    <x v="1"/>
    <n v="47"/>
    <x v="4"/>
    <x v="0"/>
    <s v="Manager"/>
    <s v="Contract"/>
    <x v="6"/>
    <x v="83"/>
    <x v="1"/>
    <s v="Hybrid"/>
    <n v="134300"/>
    <n v="25"/>
    <n v="89.2"/>
    <n v="1"/>
    <n v="0"/>
    <n v="0"/>
    <n v="25"/>
    <n v="9"/>
    <s v="Campus Hiring"/>
    <n v="11192"/>
    <n v="4.2"/>
    <s v="45+"/>
    <s v="Average"/>
  </r>
  <r>
    <x v="86"/>
    <x v="1"/>
    <x v="0"/>
    <n v="32"/>
    <x v="4"/>
    <x v="1"/>
    <s v="Intern"/>
    <s v="Intern"/>
    <x v="3"/>
    <x v="84"/>
    <x v="0"/>
    <s v="Remote"/>
    <n v="23500"/>
    <n v="12"/>
    <n v="88.4"/>
    <n v="8"/>
    <n v="3"/>
    <n v="3"/>
    <n v="25"/>
    <n v="28"/>
    <s v="Employee Referral"/>
    <n v="1958"/>
    <n v="3.8"/>
    <s v="30-34"/>
    <s v="Average"/>
  </r>
  <r>
    <x v="87"/>
    <x v="72"/>
    <x v="0"/>
    <n v="49"/>
    <x v="12"/>
    <x v="5"/>
    <s v="Lead"/>
    <s v="Full-Time"/>
    <x v="2"/>
    <x v="85"/>
    <x v="0"/>
    <s v="Onsite"/>
    <n v="103900"/>
    <n v="27"/>
    <n v="87.5"/>
    <n v="8"/>
    <n v="9"/>
    <n v="0"/>
    <n v="11"/>
    <n v="30"/>
    <s v="Company Website"/>
    <n v="8658"/>
    <n v="1"/>
    <s v="45+"/>
    <s v="Excellent"/>
  </r>
  <r>
    <x v="88"/>
    <x v="73"/>
    <x v="0"/>
    <n v="25"/>
    <x v="4"/>
    <x v="0"/>
    <s v="Senior"/>
    <s v="Full-Time"/>
    <x v="0"/>
    <x v="86"/>
    <x v="0"/>
    <s v="Remote"/>
    <n v="84100"/>
    <n v="5"/>
    <n v="90.8"/>
    <n v="4"/>
    <n v="11"/>
    <n v="1"/>
    <n v="4"/>
    <n v="29"/>
    <s v="Company Website"/>
    <n v="7008"/>
    <n v="8.4"/>
    <s v="25-29"/>
    <s v="Good"/>
  </r>
  <r>
    <x v="89"/>
    <x v="74"/>
    <x v="1"/>
    <n v="30"/>
    <x v="11"/>
    <x v="5"/>
    <s v="Associate"/>
    <s v="Full-Time"/>
    <x v="7"/>
    <x v="87"/>
    <x v="0"/>
    <s v="Onsite"/>
    <n v="66700"/>
    <n v="7"/>
    <n v="93.1"/>
    <n v="3"/>
    <n v="2"/>
    <n v="1"/>
    <n v="29"/>
    <n v="15"/>
    <s v="Company Website"/>
    <n v="5558"/>
    <n v="6.5"/>
    <s v="30-34"/>
    <s v="Excellent"/>
  </r>
  <r>
    <x v="90"/>
    <x v="75"/>
    <x v="0"/>
    <n v="20"/>
    <x v="6"/>
    <x v="3"/>
    <s v="Manager"/>
    <s v="Full-Time"/>
    <x v="4"/>
    <x v="88"/>
    <x v="0"/>
    <s v="Hybrid"/>
    <n v="142700"/>
    <n v="0"/>
    <n v="93.7"/>
    <n v="1"/>
    <n v="8"/>
    <n v="0"/>
    <n v="6"/>
    <n v="24"/>
    <s v="Naukri"/>
    <n v="11892"/>
    <n v="7.5"/>
    <s v="20-24"/>
    <s v="Excellent"/>
  </r>
  <r>
    <x v="91"/>
    <x v="53"/>
    <x v="1"/>
    <n v="46"/>
    <x v="1"/>
    <x v="0"/>
    <s v="Associate"/>
    <s v="Full-Time"/>
    <x v="2"/>
    <x v="89"/>
    <x v="0"/>
    <s v="Hybrid"/>
    <n v="53400"/>
    <n v="23"/>
    <n v="76.8"/>
    <n v="5"/>
    <n v="2"/>
    <n v="0"/>
    <n v="2"/>
    <n v="5"/>
    <s v="Employee Referral"/>
    <n v="4450"/>
    <n v="0.7"/>
    <s v="45+"/>
    <s v="Good"/>
  </r>
  <r>
    <x v="92"/>
    <x v="76"/>
    <x v="0"/>
    <n v="34"/>
    <x v="14"/>
    <x v="0"/>
    <s v="Associate"/>
    <s v="Full-Time"/>
    <x v="3"/>
    <x v="90"/>
    <x v="0"/>
    <s v="Hybrid"/>
    <n v="54700"/>
    <n v="10"/>
    <n v="90.5"/>
    <n v="8"/>
    <n v="2"/>
    <n v="4"/>
    <n v="12"/>
    <n v="21"/>
    <s v="LinkedIn"/>
    <n v="4558"/>
    <n v="0.6"/>
    <s v="30-34"/>
    <s v="Excellent"/>
  </r>
  <r>
    <x v="93"/>
    <x v="13"/>
    <x v="0"/>
    <n v="26"/>
    <x v="2"/>
    <x v="0"/>
    <s v="Junior"/>
    <s v="Full-Time"/>
    <x v="0"/>
    <x v="91"/>
    <x v="0"/>
    <s v="Onsite"/>
    <n v="32700"/>
    <n v="4"/>
    <n v="82.1"/>
    <n v="7"/>
    <n v="9"/>
    <n v="4"/>
    <n v="10"/>
    <n v="3"/>
    <s v="LinkedIn"/>
    <n v="2725"/>
    <n v="7.7"/>
    <s v="25-29"/>
    <s v="Average"/>
  </r>
  <r>
    <x v="94"/>
    <x v="77"/>
    <x v="0"/>
    <n v="30"/>
    <x v="1"/>
    <x v="5"/>
    <s v="Junior"/>
    <s v="Contract"/>
    <x v="4"/>
    <x v="92"/>
    <x v="0"/>
    <s v="Hybrid"/>
    <n v="44900"/>
    <n v="7"/>
    <n v="95.5"/>
    <n v="3"/>
    <n v="12"/>
    <n v="1"/>
    <n v="9"/>
    <n v="10"/>
    <s v="Indeed"/>
    <n v="3742"/>
    <n v="6.5"/>
    <s v="30-34"/>
    <s v="Average"/>
  </r>
  <r>
    <x v="95"/>
    <x v="10"/>
    <x v="0"/>
    <n v="36"/>
    <x v="12"/>
    <x v="2"/>
    <s v="Lead"/>
    <s v="Full-Time"/>
    <x v="0"/>
    <x v="93"/>
    <x v="0"/>
    <s v="Onsite"/>
    <n v="83500"/>
    <n v="12"/>
    <n v="94.1"/>
    <n v="5"/>
    <n v="6"/>
    <n v="0"/>
    <n v="29"/>
    <n v="7"/>
    <s v="Naukri"/>
    <n v="6958"/>
    <n v="7"/>
    <s v="35-39"/>
    <s v="Good"/>
  </r>
  <r>
    <x v="96"/>
    <x v="76"/>
    <x v="0"/>
    <n v="24"/>
    <x v="2"/>
    <x v="5"/>
    <s v="Senior"/>
    <s v="Full-Time"/>
    <x v="6"/>
    <x v="94"/>
    <x v="0"/>
    <s v="Onsite"/>
    <n v="91000"/>
    <n v="5"/>
    <n v="85.7"/>
    <n v="8"/>
    <n v="12"/>
    <n v="4"/>
    <n v="8"/>
    <n v="30"/>
    <s v="LinkedIn"/>
    <n v="7583"/>
    <n v="7.4"/>
    <s v="20-24"/>
    <s v="Good"/>
  </r>
  <r>
    <x v="97"/>
    <x v="71"/>
    <x v="0"/>
    <n v="28"/>
    <x v="7"/>
    <x v="5"/>
    <s v="Lead"/>
    <s v="Contract"/>
    <x v="6"/>
    <x v="95"/>
    <x v="0"/>
    <s v="Onsite"/>
    <n v="105800"/>
    <n v="8"/>
    <n v="91.4"/>
    <n v="3"/>
    <n v="11"/>
    <n v="2"/>
    <n v="29"/>
    <n v="28"/>
    <s v="Consultancy"/>
    <n v="8817"/>
    <n v="4.5"/>
    <s v="25-29"/>
    <s v="Good"/>
  </r>
  <r>
    <x v="98"/>
    <x v="78"/>
    <x v="0"/>
    <n v="45"/>
    <x v="14"/>
    <x v="2"/>
    <s v="Junior"/>
    <s v="Full-Time"/>
    <x v="4"/>
    <x v="96"/>
    <x v="1"/>
    <s v="Hybrid"/>
    <n v="29700"/>
    <n v="21"/>
    <n v="81"/>
    <n v="8"/>
    <n v="1"/>
    <n v="0"/>
    <n v="28"/>
    <n v="20"/>
    <s v="LinkedIn"/>
    <n v="2475"/>
    <n v="7.6"/>
    <s v="45+"/>
    <s v="Excellent"/>
  </r>
  <r>
    <x v="99"/>
    <x v="79"/>
    <x v="1"/>
    <n v="35"/>
    <x v="5"/>
    <x v="4"/>
    <s v="Junior"/>
    <s v="Full-Time"/>
    <x v="3"/>
    <x v="97"/>
    <x v="0"/>
    <s v="Onsite"/>
    <n v="28500"/>
    <n v="16"/>
    <n v="93.2"/>
    <n v="7"/>
    <n v="10"/>
    <n v="3"/>
    <n v="5"/>
    <n v="4"/>
    <s v="Employee Referral"/>
    <n v="2375"/>
    <n v="3.2"/>
    <s v="35-39"/>
    <s v="Good"/>
  </r>
  <r>
    <x v="100"/>
    <x v="80"/>
    <x v="1"/>
    <n v="30"/>
    <x v="2"/>
    <x v="2"/>
    <s v="Intern"/>
    <s v="Full-Time"/>
    <x v="7"/>
    <x v="98"/>
    <x v="0"/>
    <s v="Onsite"/>
    <n v="20600"/>
    <n v="7"/>
    <n v="93.3"/>
    <n v="2"/>
    <n v="15"/>
    <n v="2"/>
    <n v="13"/>
    <n v="30"/>
    <s v="Indeed"/>
    <n v="1717"/>
    <n v="1.9"/>
    <s v="30-34"/>
    <s v="Excellent"/>
  </r>
  <r>
    <x v="101"/>
    <x v="61"/>
    <x v="0"/>
    <n v="45"/>
    <x v="13"/>
    <x v="6"/>
    <s v="Associate"/>
    <s v="Full-Time"/>
    <x v="7"/>
    <x v="99"/>
    <x v="0"/>
    <s v="Hybrid"/>
    <n v="57300"/>
    <n v="22"/>
    <n v="94.8"/>
    <n v="8"/>
    <n v="7"/>
    <n v="2"/>
    <n v="9"/>
    <n v="14"/>
    <s v="Consultancy"/>
    <n v="4775"/>
    <n v="1.7"/>
    <s v="45+"/>
    <s v="Good"/>
  </r>
  <r>
    <x v="102"/>
    <x v="81"/>
    <x v="1"/>
    <n v="44"/>
    <x v="0"/>
    <x v="0"/>
    <s v="Manager"/>
    <s v="Full-Time"/>
    <x v="1"/>
    <x v="100"/>
    <x v="0"/>
    <s v="Onsite"/>
    <n v="112200"/>
    <n v="22"/>
    <n v="94.1"/>
    <n v="4"/>
    <n v="5"/>
    <n v="0"/>
    <n v="24"/>
    <n v="28"/>
    <s v="Employee Referral"/>
    <n v="9350"/>
    <n v="0.7"/>
    <s v="40-44"/>
    <s v="Excellent"/>
  </r>
  <r>
    <x v="103"/>
    <x v="82"/>
    <x v="1"/>
    <n v="36"/>
    <x v="7"/>
    <x v="2"/>
    <s v="Senior"/>
    <s v="Full-Time"/>
    <x v="5"/>
    <x v="101"/>
    <x v="1"/>
    <s v="Hybrid"/>
    <n v="67300"/>
    <n v="16"/>
    <n v="88.3"/>
    <n v="0"/>
    <n v="15"/>
    <n v="1"/>
    <n v="16"/>
    <n v="12"/>
    <s v="Consultancy"/>
    <n v="5608"/>
    <n v="8.3000000000000007"/>
    <s v="35-39"/>
    <s v="Excellent"/>
  </r>
  <r>
    <x v="104"/>
    <x v="83"/>
    <x v="1"/>
    <n v="25"/>
    <x v="0"/>
    <x v="5"/>
    <s v="Associate"/>
    <s v="Full-Time"/>
    <x v="5"/>
    <x v="102"/>
    <x v="0"/>
    <s v="Hybrid"/>
    <n v="61900"/>
    <n v="1"/>
    <n v="85.9"/>
    <n v="7"/>
    <n v="11"/>
    <n v="3"/>
    <n v="1"/>
    <n v="29"/>
    <s v="Naukri"/>
    <n v="5158"/>
    <n v="6.5"/>
    <s v="25-29"/>
    <s v="Excellent"/>
  </r>
  <r>
    <x v="105"/>
    <x v="30"/>
    <x v="1"/>
    <n v="34"/>
    <x v="2"/>
    <x v="6"/>
    <s v="Lead"/>
    <s v="Intern"/>
    <x v="6"/>
    <x v="103"/>
    <x v="0"/>
    <s v="Hybrid"/>
    <n v="102700"/>
    <n v="11"/>
    <n v="87.5"/>
    <n v="4"/>
    <n v="10"/>
    <n v="4"/>
    <n v="25"/>
    <n v="15"/>
    <s v="Employee Referral"/>
    <n v="8558"/>
    <n v="3.3"/>
    <s v="30-34"/>
    <s v="Average"/>
  </r>
  <r>
    <x v="106"/>
    <x v="84"/>
    <x v="0"/>
    <n v="48"/>
    <x v="10"/>
    <x v="1"/>
    <s v="Senior"/>
    <s v="Full-Time"/>
    <x v="6"/>
    <x v="104"/>
    <x v="0"/>
    <s v="Remote"/>
    <n v="60300"/>
    <n v="24"/>
    <n v="90.4"/>
    <n v="4"/>
    <n v="11"/>
    <n v="4"/>
    <n v="1"/>
    <n v="18"/>
    <s v="Company Website"/>
    <n v="5025"/>
    <n v="2.5"/>
    <s v="45+"/>
    <s v="Good"/>
  </r>
  <r>
    <x v="107"/>
    <x v="47"/>
    <x v="1"/>
    <n v="22"/>
    <x v="13"/>
    <x v="0"/>
    <s v="Intern"/>
    <s v="Full-Time"/>
    <x v="0"/>
    <x v="105"/>
    <x v="0"/>
    <s v="Onsite"/>
    <n v="21400"/>
    <n v="1"/>
    <n v="84.7"/>
    <n v="1"/>
    <n v="13"/>
    <n v="1"/>
    <n v="26"/>
    <n v="19"/>
    <s v="Campus Hiring"/>
    <n v="1783"/>
    <n v="8.5"/>
    <s v="20-24"/>
    <s v="Good"/>
  </r>
  <r>
    <x v="108"/>
    <x v="85"/>
    <x v="1"/>
    <n v="50"/>
    <x v="8"/>
    <x v="2"/>
    <s v="Lead"/>
    <s v="Full-Time"/>
    <x v="3"/>
    <x v="106"/>
    <x v="0"/>
    <s v="Remote"/>
    <n v="80000"/>
    <n v="30"/>
    <n v="89.3"/>
    <n v="8"/>
    <n v="15"/>
    <n v="3"/>
    <n v="23"/>
    <n v="6"/>
    <s v="Employee Referral"/>
    <n v="6667"/>
    <n v="7.9"/>
    <s v="45+"/>
    <s v="Average"/>
  </r>
  <r>
    <x v="109"/>
    <x v="74"/>
    <x v="0"/>
    <n v="47"/>
    <x v="11"/>
    <x v="3"/>
    <s v="Associate"/>
    <s v="Full-Time"/>
    <x v="0"/>
    <x v="107"/>
    <x v="0"/>
    <s v="Onsite"/>
    <n v="73000"/>
    <n v="27"/>
    <n v="89.3"/>
    <n v="5"/>
    <n v="8"/>
    <n v="3"/>
    <n v="3"/>
    <n v="26"/>
    <s v="Naukri"/>
    <n v="6083"/>
    <n v="4.9000000000000004"/>
    <s v="45+"/>
    <s v="Excellent"/>
  </r>
  <r>
    <x v="110"/>
    <x v="86"/>
    <x v="0"/>
    <n v="28"/>
    <x v="11"/>
    <x v="3"/>
    <s v="Junior"/>
    <s v="Full-Time"/>
    <x v="1"/>
    <x v="108"/>
    <x v="1"/>
    <s v="Hybrid"/>
    <n v="45100"/>
    <n v="9"/>
    <n v="96.6"/>
    <n v="2"/>
    <n v="7"/>
    <n v="2"/>
    <n v="6"/>
    <n v="4"/>
    <s v="Consultancy"/>
    <n v="3758"/>
    <n v="3.9"/>
    <s v="25-29"/>
    <s v="Good"/>
  </r>
  <r>
    <x v="111"/>
    <x v="44"/>
    <x v="0"/>
    <n v="49"/>
    <x v="11"/>
    <x v="2"/>
    <s v="Junior"/>
    <s v="Contract"/>
    <x v="1"/>
    <x v="109"/>
    <x v="0"/>
    <s v="Hybrid"/>
    <n v="29500"/>
    <n v="28"/>
    <n v="93.4"/>
    <n v="6"/>
    <n v="3"/>
    <n v="2"/>
    <n v="19"/>
    <n v="8"/>
    <s v="Indeed"/>
    <n v="2458"/>
    <n v="1"/>
    <s v="45+"/>
    <s v="Average"/>
  </r>
  <r>
    <x v="112"/>
    <x v="87"/>
    <x v="0"/>
    <n v="31"/>
    <x v="2"/>
    <x v="1"/>
    <s v="Associate"/>
    <s v="Full-Time"/>
    <x v="2"/>
    <x v="110"/>
    <x v="0"/>
    <s v="Hybrid"/>
    <n v="45100"/>
    <n v="11"/>
    <n v="87.4"/>
    <n v="1"/>
    <n v="7"/>
    <n v="3"/>
    <n v="3"/>
    <n v="7"/>
    <s v="Employee Referral"/>
    <n v="3758"/>
    <n v="7.8"/>
    <s v="30-34"/>
    <s v="Good"/>
  </r>
  <r>
    <x v="113"/>
    <x v="17"/>
    <x v="1"/>
    <n v="38"/>
    <x v="11"/>
    <x v="0"/>
    <s v="Associate"/>
    <s v="Full-Time"/>
    <x v="0"/>
    <x v="111"/>
    <x v="2"/>
    <s v="Onsite"/>
    <n v="47100"/>
    <n v="17"/>
    <n v="92.5"/>
    <n v="6"/>
    <n v="3"/>
    <n v="0"/>
    <n v="7"/>
    <n v="28"/>
    <s v="LinkedIn"/>
    <n v="3925"/>
    <n v="6.3"/>
    <s v="35-39"/>
    <s v="Average"/>
  </r>
  <r>
    <x v="114"/>
    <x v="88"/>
    <x v="1"/>
    <n v="37"/>
    <x v="10"/>
    <x v="0"/>
    <s v="Associate"/>
    <s v="Full-Time"/>
    <x v="3"/>
    <x v="112"/>
    <x v="2"/>
    <s v="Hybrid"/>
    <n v="46300"/>
    <n v="13"/>
    <n v="93.1"/>
    <n v="1"/>
    <n v="10"/>
    <n v="0"/>
    <n v="13"/>
    <n v="4"/>
    <s v="Consultancy"/>
    <n v="3858"/>
    <n v="5.5"/>
    <s v="35-39"/>
    <s v="Good"/>
  </r>
  <r>
    <x v="115"/>
    <x v="75"/>
    <x v="0"/>
    <n v="35"/>
    <x v="10"/>
    <x v="1"/>
    <s v="Junior"/>
    <s v="Full-Time"/>
    <x v="5"/>
    <x v="113"/>
    <x v="0"/>
    <s v="Hybrid"/>
    <n v="37400"/>
    <n v="14"/>
    <n v="82.3"/>
    <n v="4"/>
    <n v="14"/>
    <n v="0"/>
    <n v="26"/>
    <n v="28"/>
    <s v="Naukri"/>
    <n v="3117"/>
    <n v="3.9"/>
    <s v="35-39"/>
    <s v="Good"/>
  </r>
  <r>
    <x v="116"/>
    <x v="89"/>
    <x v="1"/>
    <n v="27"/>
    <x v="13"/>
    <x v="4"/>
    <s v="Senior"/>
    <s v="Full-Time"/>
    <x v="2"/>
    <x v="114"/>
    <x v="0"/>
    <s v="Onsite"/>
    <n v="66100"/>
    <n v="5"/>
    <n v="100"/>
    <n v="8"/>
    <n v="4"/>
    <n v="3"/>
    <n v="25"/>
    <n v="21"/>
    <s v="LinkedIn"/>
    <n v="5508"/>
    <n v="4"/>
    <s v="25-29"/>
    <s v="Good"/>
  </r>
  <r>
    <x v="117"/>
    <x v="90"/>
    <x v="0"/>
    <n v="38"/>
    <x v="7"/>
    <x v="3"/>
    <s v="Manager"/>
    <s v="Full-Time"/>
    <x v="4"/>
    <x v="115"/>
    <x v="0"/>
    <s v="Remote"/>
    <n v="154200"/>
    <n v="19"/>
    <n v="90.1"/>
    <n v="8"/>
    <n v="10"/>
    <n v="4"/>
    <n v="19"/>
    <n v="14"/>
    <s v="Campus Hiring"/>
    <n v="12850"/>
    <n v="4.2"/>
    <s v="35-39"/>
    <s v="Excellent"/>
  </r>
  <r>
    <x v="118"/>
    <x v="91"/>
    <x v="0"/>
    <n v="50"/>
    <x v="14"/>
    <x v="4"/>
    <s v="Senior"/>
    <s v="Full-Time"/>
    <x v="3"/>
    <x v="116"/>
    <x v="0"/>
    <s v="Hybrid"/>
    <n v="62600"/>
    <n v="29"/>
    <n v="86.5"/>
    <n v="5"/>
    <n v="9"/>
    <n v="0"/>
    <n v="2"/>
    <n v="12"/>
    <s v="Employee Referral"/>
    <n v="5217"/>
    <n v="7.4"/>
    <s v="45+"/>
    <s v="Excellent"/>
  </r>
  <r>
    <x v="119"/>
    <x v="92"/>
    <x v="0"/>
    <n v="24"/>
    <x v="14"/>
    <x v="4"/>
    <s v="Associate"/>
    <s v="Full-Time"/>
    <x v="6"/>
    <x v="117"/>
    <x v="0"/>
    <s v="Onsite"/>
    <n v="46500"/>
    <n v="0"/>
    <n v="91.1"/>
    <n v="2"/>
    <n v="10"/>
    <n v="4"/>
    <n v="10"/>
    <n v="28"/>
    <s v="Campus Hiring"/>
    <n v="3875"/>
    <n v="2.2000000000000002"/>
    <s v="20-24"/>
    <s v="Excellent"/>
  </r>
  <r>
    <x v="120"/>
    <x v="25"/>
    <x v="0"/>
    <n v="31"/>
    <x v="13"/>
    <x v="4"/>
    <s v="Junior"/>
    <s v="Full-Time"/>
    <x v="1"/>
    <x v="118"/>
    <x v="0"/>
    <s v="Onsite"/>
    <n v="29500"/>
    <n v="11"/>
    <n v="86.4"/>
    <n v="3"/>
    <n v="14"/>
    <n v="0"/>
    <n v="25"/>
    <n v="22"/>
    <s v="Indeed"/>
    <n v="2458"/>
    <n v="7"/>
    <s v="30-34"/>
    <s v="Good"/>
  </r>
  <r>
    <x v="121"/>
    <x v="93"/>
    <x v="0"/>
    <n v="25"/>
    <x v="8"/>
    <x v="7"/>
    <s v="Junior"/>
    <s v="Full-Time"/>
    <x v="6"/>
    <x v="119"/>
    <x v="0"/>
    <s v="Onsite"/>
    <n v="24000"/>
    <n v="3"/>
    <n v="82.2"/>
    <n v="3"/>
    <n v="6"/>
    <n v="3"/>
    <n v="24"/>
    <n v="3"/>
    <s v="Campus Hiring"/>
    <n v="2000"/>
    <n v="4.9000000000000004"/>
    <s v="25-29"/>
    <s v="Excellent"/>
  </r>
  <r>
    <x v="122"/>
    <x v="94"/>
    <x v="0"/>
    <n v="50"/>
    <x v="9"/>
    <x v="2"/>
    <s v="Junior"/>
    <s v="Full-Time"/>
    <x v="7"/>
    <x v="120"/>
    <x v="0"/>
    <s v="Onsite"/>
    <n v="35000"/>
    <n v="29"/>
    <n v="93.8"/>
    <n v="8"/>
    <n v="5"/>
    <n v="0"/>
    <n v="2"/>
    <n v="9"/>
    <s v="Indeed"/>
    <n v="2917"/>
    <n v="4.8"/>
    <s v="45+"/>
    <s v="Good"/>
  </r>
  <r>
    <x v="123"/>
    <x v="74"/>
    <x v="0"/>
    <n v="31"/>
    <x v="0"/>
    <x v="2"/>
    <s v="Senior"/>
    <s v="Intern"/>
    <x v="6"/>
    <x v="121"/>
    <x v="2"/>
    <s v="Remote"/>
    <n v="61300"/>
    <n v="12"/>
    <n v="91.2"/>
    <n v="3"/>
    <n v="4"/>
    <n v="4"/>
    <n v="4"/>
    <n v="13"/>
    <s v="Employee Referral"/>
    <n v="5108"/>
    <n v="1.3"/>
    <s v="30-34"/>
    <s v="Good"/>
  </r>
  <r>
    <x v="124"/>
    <x v="77"/>
    <x v="1"/>
    <n v="45"/>
    <x v="9"/>
    <x v="4"/>
    <s v="Senior"/>
    <s v="Full-Time"/>
    <x v="7"/>
    <x v="122"/>
    <x v="2"/>
    <s v="Hybrid"/>
    <n v="68800"/>
    <n v="26"/>
    <n v="92.3"/>
    <n v="3"/>
    <n v="15"/>
    <n v="1"/>
    <n v="15"/>
    <n v="13"/>
    <s v="Naukri"/>
    <n v="5733"/>
    <n v="2.4"/>
    <s v="45+"/>
    <s v="Good"/>
  </r>
  <r>
    <x v="125"/>
    <x v="11"/>
    <x v="0"/>
    <n v="34"/>
    <x v="10"/>
    <x v="7"/>
    <s v="Senior"/>
    <s v="Full-Time"/>
    <x v="3"/>
    <x v="123"/>
    <x v="0"/>
    <s v="Onsite"/>
    <n v="59100"/>
    <n v="10"/>
    <n v="82.5"/>
    <n v="4"/>
    <n v="1"/>
    <n v="4"/>
    <n v="10"/>
    <n v="24"/>
    <s v="Consultancy"/>
    <n v="4925"/>
    <n v="3"/>
    <s v="30-34"/>
    <s v="Good"/>
  </r>
  <r>
    <x v="126"/>
    <x v="95"/>
    <x v="0"/>
    <n v="49"/>
    <x v="10"/>
    <x v="5"/>
    <s v="Senior"/>
    <s v="Full-Time"/>
    <x v="3"/>
    <x v="124"/>
    <x v="0"/>
    <s v="Hybrid"/>
    <n v="83900"/>
    <n v="27"/>
    <n v="93.3"/>
    <n v="5"/>
    <n v="13"/>
    <n v="1"/>
    <n v="0"/>
    <n v="16"/>
    <s v="Company Website"/>
    <n v="6992"/>
    <n v="3.3"/>
    <s v="45+"/>
    <s v="Average"/>
  </r>
  <r>
    <x v="127"/>
    <x v="96"/>
    <x v="0"/>
    <n v="29"/>
    <x v="5"/>
    <x v="3"/>
    <s v="Associate"/>
    <s v="Full-Time"/>
    <x v="7"/>
    <x v="125"/>
    <x v="0"/>
    <s v="Hybrid"/>
    <n v="71100"/>
    <n v="7"/>
    <n v="89.9"/>
    <n v="7"/>
    <n v="14"/>
    <n v="4"/>
    <n v="8"/>
    <n v="26"/>
    <s v="Consultancy"/>
    <n v="5925"/>
    <n v="6.3"/>
    <s v="25-29"/>
    <s v="Good"/>
  </r>
  <r>
    <x v="128"/>
    <x v="44"/>
    <x v="0"/>
    <n v="36"/>
    <x v="10"/>
    <x v="6"/>
    <s v="Associate"/>
    <s v="Full-Time"/>
    <x v="2"/>
    <x v="126"/>
    <x v="0"/>
    <s v="Onsite"/>
    <n v="43800"/>
    <n v="14"/>
    <n v="84.7"/>
    <n v="0"/>
    <n v="14"/>
    <n v="0"/>
    <n v="21"/>
    <n v="9"/>
    <s v="Employee Referral"/>
    <n v="3650"/>
    <n v="1.9"/>
    <s v="35-39"/>
    <s v="Good"/>
  </r>
  <r>
    <x v="129"/>
    <x v="15"/>
    <x v="0"/>
    <n v="26"/>
    <x v="0"/>
    <x v="1"/>
    <s v="Senior"/>
    <s v="Full-Time"/>
    <x v="7"/>
    <x v="2"/>
    <x v="0"/>
    <s v="Remote"/>
    <n v="67200"/>
    <n v="5"/>
    <n v="86.5"/>
    <n v="4"/>
    <n v="4"/>
    <n v="0"/>
    <n v="4"/>
    <n v="13"/>
    <s v="Employee Referral"/>
    <n v="5600"/>
    <n v="7.1"/>
    <s v="25-29"/>
    <s v="Average"/>
  </r>
  <r>
    <x v="130"/>
    <x v="97"/>
    <x v="1"/>
    <n v="46"/>
    <x v="9"/>
    <x v="6"/>
    <s v="Associate"/>
    <s v="Full-Time"/>
    <x v="1"/>
    <x v="127"/>
    <x v="0"/>
    <s v="Remote"/>
    <n v="52600"/>
    <n v="22"/>
    <n v="98.9"/>
    <n v="8"/>
    <n v="14"/>
    <n v="4"/>
    <n v="19"/>
    <n v="24"/>
    <s v="Indeed"/>
    <n v="4383"/>
    <n v="5.5"/>
    <s v="45+"/>
    <s v="Average"/>
  </r>
  <r>
    <x v="131"/>
    <x v="88"/>
    <x v="0"/>
    <n v="26"/>
    <x v="11"/>
    <x v="2"/>
    <s v="Junior"/>
    <s v="Full-Time"/>
    <x v="5"/>
    <x v="128"/>
    <x v="0"/>
    <s v="Hybrid"/>
    <n v="34000"/>
    <n v="2"/>
    <n v="88.8"/>
    <n v="3"/>
    <n v="9"/>
    <n v="0"/>
    <n v="23"/>
    <n v="26"/>
    <s v="Employee Referral"/>
    <n v="2833"/>
    <n v="3.9"/>
    <s v="25-29"/>
    <s v="Average"/>
  </r>
  <r>
    <x v="132"/>
    <x v="66"/>
    <x v="0"/>
    <n v="50"/>
    <x v="1"/>
    <x v="5"/>
    <s v="Associate"/>
    <s v="Contract"/>
    <x v="0"/>
    <x v="129"/>
    <x v="0"/>
    <s v="Hybrid"/>
    <n v="57300"/>
    <n v="26"/>
    <n v="98.6"/>
    <n v="7"/>
    <n v="6"/>
    <n v="0"/>
    <n v="10"/>
    <n v="11"/>
    <s v="Employee Referral"/>
    <n v="4775"/>
    <n v="1.1000000000000001"/>
    <s v="45+"/>
    <s v="Average"/>
  </r>
  <r>
    <x v="133"/>
    <x v="43"/>
    <x v="0"/>
    <n v="40"/>
    <x v="13"/>
    <x v="3"/>
    <s v="Associate"/>
    <s v="Full-Time"/>
    <x v="3"/>
    <x v="130"/>
    <x v="0"/>
    <s v="Onsite"/>
    <n v="69000"/>
    <n v="17"/>
    <n v="86.2"/>
    <n v="8"/>
    <n v="10"/>
    <n v="3"/>
    <n v="1"/>
    <n v="22"/>
    <s v="Indeed"/>
    <n v="5750"/>
    <n v="0.7"/>
    <s v="40-44"/>
    <s v="Good"/>
  </r>
  <r>
    <x v="134"/>
    <x v="98"/>
    <x v="1"/>
    <n v="44"/>
    <x v="1"/>
    <x v="1"/>
    <s v="Junior"/>
    <s v="Full-Time"/>
    <x v="2"/>
    <x v="131"/>
    <x v="0"/>
    <s v="Onsite"/>
    <n v="39400"/>
    <n v="24"/>
    <n v="88.1"/>
    <n v="0"/>
    <n v="12"/>
    <n v="2"/>
    <n v="29"/>
    <n v="4"/>
    <s v="Indeed"/>
    <n v="3283"/>
    <n v="0.8"/>
    <s v="40-44"/>
    <s v="Good"/>
  </r>
  <r>
    <x v="135"/>
    <x v="29"/>
    <x v="1"/>
    <n v="30"/>
    <x v="14"/>
    <x v="4"/>
    <s v="Lead"/>
    <s v="Full-Time"/>
    <x v="4"/>
    <x v="132"/>
    <x v="0"/>
    <s v="Onsite"/>
    <n v="75700"/>
    <n v="6"/>
    <n v="88.9"/>
    <n v="7"/>
    <n v="5"/>
    <n v="2"/>
    <n v="9"/>
    <n v="7"/>
    <s v="Naukri"/>
    <n v="6308"/>
    <n v="4.7"/>
    <s v="30-34"/>
    <s v="Excellent"/>
  </r>
  <r>
    <x v="136"/>
    <x v="99"/>
    <x v="0"/>
    <n v="21"/>
    <x v="7"/>
    <x v="5"/>
    <s v="Lead"/>
    <s v="Contract"/>
    <x v="1"/>
    <x v="133"/>
    <x v="2"/>
    <s v="Remote"/>
    <n v="137700"/>
    <n v="0"/>
    <n v="94.9"/>
    <n v="7"/>
    <n v="5"/>
    <n v="4"/>
    <n v="4"/>
    <n v="26"/>
    <s v="LinkedIn"/>
    <n v="11475"/>
    <n v="3.4"/>
    <s v="20-24"/>
    <s v="Good"/>
  </r>
  <r>
    <x v="137"/>
    <x v="99"/>
    <x v="1"/>
    <n v="40"/>
    <x v="2"/>
    <x v="1"/>
    <s v="Junior"/>
    <s v="Full-Time"/>
    <x v="0"/>
    <x v="134"/>
    <x v="0"/>
    <s v="Onsite"/>
    <n v="34700"/>
    <n v="17"/>
    <n v="92.2"/>
    <n v="4"/>
    <n v="15"/>
    <n v="2"/>
    <n v="23"/>
    <n v="23"/>
    <s v="Employee Referral"/>
    <n v="2892"/>
    <n v="0.4"/>
    <s v="40-44"/>
    <s v="Good"/>
  </r>
  <r>
    <x v="138"/>
    <x v="100"/>
    <x v="0"/>
    <n v="21"/>
    <x v="2"/>
    <x v="6"/>
    <s v="Junior"/>
    <s v="Full-Time"/>
    <x v="2"/>
    <x v="135"/>
    <x v="1"/>
    <s v="Hybrid"/>
    <n v="40600"/>
    <n v="0"/>
    <n v="91.8"/>
    <n v="1"/>
    <n v="15"/>
    <n v="1"/>
    <n v="16"/>
    <n v="29"/>
    <s v="Company Website"/>
    <n v="3383"/>
    <n v="7.4"/>
    <s v="20-24"/>
    <s v="Excellent"/>
  </r>
  <r>
    <x v="139"/>
    <x v="30"/>
    <x v="0"/>
    <n v="33"/>
    <x v="5"/>
    <x v="1"/>
    <s v="Senior"/>
    <s v="Contract"/>
    <x v="5"/>
    <x v="136"/>
    <x v="0"/>
    <s v="Remote"/>
    <n v="63200"/>
    <n v="13"/>
    <n v="96.2"/>
    <n v="6"/>
    <n v="4"/>
    <n v="4"/>
    <n v="11"/>
    <n v="16"/>
    <s v="Company Website"/>
    <n v="5267"/>
    <n v="1.1000000000000001"/>
    <s v="30-34"/>
    <s v="Average"/>
  </r>
  <r>
    <x v="140"/>
    <x v="99"/>
    <x v="0"/>
    <n v="37"/>
    <x v="1"/>
    <x v="2"/>
    <s v="Junior"/>
    <s v="Full-Time"/>
    <x v="5"/>
    <x v="137"/>
    <x v="1"/>
    <s v="Remote"/>
    <n v="36600"/>
    <n v="15"/>
    <n v="94"/>
    <n v="4"/>
    <n v="13"/>
    <n v="4"/>
    <n v="2"/>
    <n v="15"/>
    <s v="Employee Referral"/>
    <n v="3050"/>
    <n v="2"/>
    <s v="35-39"/>
    <s v="Excellent"/>
  </r>
  <r>
    <x v="141"/>
    <x v="101"/>
    <x v="1"/>
    <n v="35"/>
    <x v="1"/>
    <x v="1"/>
    <s v="Associate"/>
    <s v="Full-Time"/>
    <x v="3"/>
    <x v="138"/>
    <x v="2"/>
    <s v="Onsite"/>
    <n v="41700"/>
    <n v="15"/>
    <n v="84.2"/>
    <n v="4"/>
    <n v="13"/>
    <n v="1"/>
    <n v="6"/>
    <n v="4"/>
    <s v="Employee Referral"/>
    <n v="3475"/>
    <n v="1.8"/>
    <s v="35-39"/>
    <s v="Average"/>
  </r>
  <r>
    <x v="142"/>
    <x v="101"/>
    <x v="1"/>
    <n v="47"/>
    <x v="11"/>
    <x v="3"/>
    <s v="Junior"/>
    <s v="Full-Time"/>
    <x v="2"/>
    <x v="139"/>
    <x v="0"/>
    <s v="Hybrid"/>
    <n v="49500"/>
    <n v="25"/>
    <n v="95.8"/>
    <n v="5"/>
    <n v="14"/>
    <n v="2"/>
    <n v="10"/>
    <n v="19"/>
    <s v="Campus Hiring"/>
    <n v="4125"/>
    <n v="6.9"/>
    <s v="45+"/>
    <s v="Excellent"/>
  </r>
  <r>
    <x v="143"/>
    <x v="102"/>
    <x v="0"/>
    <n v="30"/>
    <x v="9"/>
    <x v="2"/>
    <s v="Junior"/>
    <s v="Contract"/>
    <x v="1"/>
    <x v="140"/>
    <x v="0"/>
    <s v="Hybrid"/>
    <n v="35300"/>
    <n v="11"/>
    <n v="85.6"/>
    <n v="7"/>
    <n v="8"/>
    <n v="1"/>
    <n v="30"/>
    <n v="22"/>
    <s v="Indeed"/>
    <n v="2942"/>
    <n v="3.5"/>
    <s v="30-34"/>
    <s v="Good"/>
  </r>
  <r>
    <x v="144"/>
    <x v="103"/>
    <x v="0"/>
    <n v="28"/>
    <x v="12"/>
    <x v="7"/>
    <s v="Senior"/>
    <s v="Contract"/>
    <x v="7"/>
    <x v="141"/>
    <x v="0"/>
    <s v="Hybrid"/>
    <n v="50700"/>
    <n v="7"/>
    <n v="95.9"/>
    <n v="0"/>
    <n v="0"/>
    <n v="0"/>
    <n v="10"/>
    <n v="25"/>
    <s v="Naukri"/>
    <n v="4225"/>
    <n v="2.1"/>
    <s v="25-29"/>
    <s v="Excellent"/>
  </r>
  <r>
    <x v="145"/>
    <x v="104"/>
    <x v="1"/>
    <n v="26"/>
    <x v="3"/>
    <x v="5"/>
    <s v="Lead"/>
    <s v="Contract"/>
    <x v="3"/>
    <x v="142"/>
    <x v="0"/>
    <s v="Hybrid"/>
    <n v="109800"/>
    <n v="6"/>
    <n v="93.2"/>
    <n v="2"/>
    <n v="3"/>
    <n v="4"/>
    <n v="25"/>
    <n v="25"/>
    <s v="Consultancy"/>
    <n v="9150"/>
    <n v="2.6"/>
    <s v="25-29"/>
    <s v="Average"/>
  </r>
  <r>
    <x v="146"/>
    <x v="53"/>
    <x v="1"/>
    <n v="23"/>
    <x v="1"/>
    <x v="1"/>
    <s v="Junior"/>
    <s v="Full-Time"/>
    <x v="0"/>
    <x v="143"/>
    <x v="0"/>
    <s v="Onsite"/>
    <n v="37600"/>
    <n v="4"/>
    <n v="93.8"/>
    <n v="6"/>
    <n v="15"/>
    <n v="3"/>
    <n v="11"/>
    <n v="18"/>
    <s v="Naukri"/>
    <n v="3133"/>
    <n v="0.7"/>
    <s v="20-24"/>
    <s v="Good"/>
  </r>
  <r>
    <x v="147"/>
    <x v="11"/>
    <x v="0"/>
    <n v="35"/>
    <x v="4"/>
    <x v="4"/>
    <s v="Associate"/>
    <s v="Contract"/>
    <x v="4"/>
    <x v="144"/>
    <x v="2"/>
    <s v="Hybrid"/>
    <n v="47200"/>
    <n v="12"/>
    <n v="88.8"/>
    <n v="8"/>
    <n v="6"/>
    <n v="1"/>
    <n v="4"/>
    <n v="29"/>
    <s v="Indeed"/>
    <n v="3933"/>
    <n v="6.6"/>
    <s v="35-39"/>
    <s v="Average"/>
  </r>
  <r>
    <x v="148"/>
    <x v="62"/>
    <x v="1"/>
    <n v="33"/>
    <x v="0"/>
    <x v="6"/>
    <s v="Junior"/>
    <s v="Full-Time"/>
    <x v="6"/>
    <x v="145"/>
    <x v="0"/>
    <s v="Onsite"/>
    <n v="33900"/>
    <n v="10"/>
    <n v="85.6"/>
    <n v="1"/>
    <n v="15"/>
    <n v="4"/>
    <n v="9"/>
    <n v="15"/>
    <s v="Company Website"/>
    <n v="2825"/>
    <n v="1.7"/>
    <s v="30-34"/>
    <s v="Good"/>
  </r>
  <r>
    <x v="149"/>
    <x v="105"/>
    <x v="1"/>
    <n v="30"/>
    <x v="0"/>
    <x v="3"/>
    <s v="Junior"/>
    <s v="Full-Time"/>
    <x v="3"/>
    <x v="146"/>
    <x v="0"/>
    <s v="Onsite"/>
    <n v="43200"/>
    <n v="10"/>
    <n v="90.2"/>
    <n v="3"/>
    <n v="0"/>
    <n v="4"/>
    <n v="24"/>
    <n v="15"/>
    <s v="LinkedIn"/>
    <n v="3600"/>
    <n v="6"/>
    <s v="30-34"/>
    <s v="Good"/>
  </r>
  <r>
    <x v="150"/>
    <x v="85"/>
    <x v="0"/>
    <n v="49"/>
    <x v="12"/>
    <x v="5"/>
    <s v="Manager"/>
    <s v="Full-Time"/>
    <x v="1"/>
    <x v="147"/>
    <x v="0"/>
    <s v="Onsite"/>
    <n v="171500"/>
    <n v="27"/>
    <n v="92.5"/>
    <n v="3"/>
    <n v="12"/>
    <n v="1"/>
    <n v="11"/>
    <n v="17"/>
    <s v="Company Website"/>
    <n v="14292"/>
    <n v="2.9"/>
    <s v="45+"/>
    <s v="Excellent"/>
  </r>
  <r>
    <x v="151"/>
    <x v="106"/>
    <x v="0"/>
    <n v="27"/>
    <x v="9"/>
    <x v="5"/>
    <s v="Senior"/>
    <s v="Full-Time"/>
    <x v="6"/>
    <x v="148"/>
    <x v="0"/>
    <s v="Onsite"/>
    <n v="90700"/>
    <n v="6"/>
    <n v="93.9"/>
    <n v="6"/>
    <n v="11"/>
    <n v="3"/>
    <n v="13"/>
    <n v="20"/>
    <s v="Company Website"/>
    <n v="7558"/>
    <n v="3.8"/>
    <s v="25-29"/>
    <s v="Good"/>
  </r>
  <r>
    <x v="152"/>
    <x v="78"/>
    <x v="0"/>
    <n v="30"/>
    <x v="11"/>
    <x v="3"/>
    <s v="Associate"/>
    <s v="Full-Time"/>
    <x v="0"/>
    <x v="149"/>
    <x v="0"/>
    <s v="Hybrid"/>
    <n v="54500"/>
    <n v="9"/>
    <n v="88.4"/>
    <n v="4"/>
    <n v="10"/>
    <n v="4"/>
    <n v="0"/>
    <n v="28"/>
    <s v="LinkedIn"/>
    <n v="4542"/>
    <n v="4.4000000000000004"/>
    <s v="30-34"/>
    <s v="Good"/>
  </r>
  <r>
    <x v="153"/>
    <x v="11"/>
    <x v="1"/>
    <n v="46"/>
    <x v="6"/>
    <x v="0"/>
    <s v="Senior"/>
    <s v="Full-Time"/>
    <x v="1"/>
    <x v="150"/>
    <x v="0"/>
    <s v="Remote"/>
    <n v="86800"/>
    <n v="22"/>
    <n v="87.6"/>
    <n v="4"/>
    <n v="14"/>
    <n v="0"/>
    <n v="26"/>
    <n v="12"/>
    <s v="LinkedIn"/>
    <n v="7233"/>
    <n v="3.9"/>
    <s v="45+"/>
    <s v="Good"/>
  </r>
  <r>
    <x v="154"/>
    <x v="39"/>
    <x v="1"/>
    <n v="48"/>
    <x v="1"/>
    <x v="2"/>
    <s v="Lead"/>
    <s v="Contract"/>
    <x v="5"/>
    <x v="151"/>
    <x v="0"/>
    <s v="Hybrid"/>
    <n v="85000"/>
    <n v="28"/>
    <n v="89.4"/>
    <n v="6"/>
    <n v="3"/>
    <n v="0"/>
    <n v="13"/>
    <n v="6"/>
    <s v="Naukri"/>
    <n v="7083"/>
    <n v="5.3"/>
    <s v="45+"/>
    <s v="Good"/>
  </r>
  <r>
    <x v="155"/>
    <x v="107"/>
    <x v="1"/>
    <n v="39"/>
    <x v="6"/>
    <x v="6"/>
    <s v="Lead"/>
    <s v="Full-Time"/>
    <x v="5"/>
    <x v="152"/>
    <x v="0"/>
    <s v="Remote"/>
    <n v="89300"/>
    <n v="18"/>
    <n v="95"/>
    <n v="1"/>
    <n v="5"/>
    <n v="0"/>
    <n v="6"/>
    <n v="2"/>
    <s v="LinkedIn"/>
    <n v="7442"/>
    <n v="5.3"/>
    <s v="35-39"/>
    <s v="Good"/>
  </r>
  <r>
    <x v="156"/>
    <x v="15"/>
    <x v="1"/>
    <n v="36"/>
    <x v="2"/>
    <x v="7"/>
    <s v="Intern"/>
    <s v="Full-Time"/>
    <x v="3"/>
    <x v="153"/>
    <x v="0"/>
    <s v="Hybrid"/>
    <n v="18000"/>
    <n v="14"/>
    <n v="82"/>
    <n v="7"/>
    <n v="9"/>
    <n v="3"/>
    <n v="9"/>
    <n v="30"/>
    <s v="Indeed"/>
    <n v="1500"/>
    <n v="3.4"/>
    <s v="35-39"/>
    <s v="Good"/>
  </r>
  <r>
    <x v="157"/>
    <x v="86"/>
    <x v="0"/>
    <n v="47"/>
    <x v="3"/>
    <x v="5"/>
    <s v="Junior"/>
    <s v="Contract"/>
    <x v="2"/>
    <x v="154"/>
    <x v="0"/>
    <s v="Hybrid"/>
    <n v="52100"/>
    <n v="25"/>
    <n v="89.6"/>
    <n v="5"/>
    <n v="7"/>
    <n v="2"/>
    <n v="11"/>
    <n v="23"/>
    <s v="LinkedIn"/>
    <n v="4342"/>
    <n v="0.3"/>
    <s v="45+"/>
    <s v="Excellent"/>
  </r>
  <r>
    <x v="158"/>
    <x v="73"/>
    <x v="0"/>
    <n v="49"/>
    <x v="1"/>
    <x v="5"/>
    <s v="Senior"/>
    <s v="Full-Time"/>
    <x v="1"/>
    <x v="155"/>
    <x v="1"/>
    <s v="Remote"/>
    <n v="86900"/>
    <n v="26"/>
    <n v="87.5"/>
    <n v="4"/>
    <n v="6"/>
    <n v="0"/>
    <n v="5"/>
    <n v="21"/>
    <s v="Company Website"/>
    <n v="7242"/>
    <n v="4.4000000000000004"/>
    <s v="45+"/>
    <s v="Good"/>
  </r>
  <r>
    <x v="159"/>
    <x v="65"/>
    <x v="1"/>
    <n v="45"/>
    <x v="0"/>
    <x v="6"/>
    <s v="Associate"/>
    <s v="Full-Time"/>
    <x v="7"/>
    <x v="156"/>
    <x v="0"/>
    <s v="Onsite"/>
    <n v="53000"/>
    <n v="24"/>
    <n v="93.5"/>
    <n v="0"/>
    <n v="15"/>
    <n v="1"/>
    <n v="15"/>
    <n v="26"/>
    <s v="Indeed"/>
    <n v="4417"/>
    <n v="7.5"/>
    <s v="45+"/>
    <s v="Average"/>
  </r>
  <r>
    <x v="160"/>
    <x v="102"/>
    <x v="0"/>
    <n v="49"/>
    <x v="14"/>
    <x v="3"/>
    <s v="Manager"/>
    <s v="Full-Time"/>
    <x v="6"/>
    <x v="157"/>
    <x v="2"/>
    <s v="Onsite"/>
    <n v="166200"/>
    <n v="28"/>
    <n v="96.4"/>
    <n v="1"/>
    <n v="11"/>
    <n v="2"/>
    <n v="9"/>
    <n v="19"/>
    <s v="LinkedIn"/>
    <n v="13850"/>
    <n v="2"/>
    <s v="45+"/>
    <s v="Excellent"/>
  </r>
  <r>
    <x v="161"/>
    <x v="85"/>
    <x v="0"/>
    <n v="38"/>
    <x v="14"/>
    <x v="1"/>
    <s v="Senior"/>
    <s v="Full-Time"/>
    <x v="7"/>
    <x v="158"/>
    <x v="0"/>
    <s v="Hybrid"/>
    <n v="60000"/>
    <n v="16"/>
    <n v="82.9"/>
    <n v="5"/>
    <n v="8"/>
    <n v="1"/>
    <n v="19"/>
    <n v="27"/>
    <s v="Naukri"/>
    <n v="5000"/>
    <n v="1.4"/>
    <s v="35-39"/>
    <s v="Excellent"/>
  </r>
  <r>
    <x v="162"/>
    <x v="70"/>
    <x v="0"/>
    <n v="29"/>
    <x v="5"/>
    <x v="4"/>
    <s v="Manager"/>
    <s v="Full-Time"/>
    <x v="3"/>
    <x v="159"/>
    <x v="0"/>
    <s v="Onsite"/>
    <n v="118800"/>
    <n v="6"/>
    <n v="92.6"/>
    <n v="5"/>
    <n v="14"/>
    <n v="3"/>
    <n v="26"/>
    <n v="15"/>
    <s v="Naukri"/>
    <n v="9900"/>
    <n v="1.7"/>
    <s v="25-29"/>
    <s v="Excellent"/>
  </r>
  <r>
    <x v="163"/>
    <x v="108"/>
    <x v="0"/>
    <n v="31"/>
    <x v="3"/>
    <x v="2"/>
    <s v="Junior"/>
    <s v="Full-Time"/>
    <x v="5"/>
    <x v="160"/>
    <x v="1"/>
    <s v="Onsite"/>
    <n v="32400"/>
    <n v="10"/>
    <n v="95.4"/>
    <n v="8"/>
    <n v="6"/>
    <n v="0"/>
    <n v="11"/>
    <n v="6"/>
    <s v="Consultancy"/>
    <n v="2700"/>
    <n v="0.4"/>
    <s v="30-34"/>
    <s v="Good"/>
  </r>
  <r>
    <x v="164"/>
    <x v="109"/>
    <x v="1"/>
    <n v="20"/>
    <x v="9"/>
    <x v="3"/>
    <s v="Lead"/>
    <s v="Contract"/>
    <x v="4"/>
    <x v="161"/>
    <x v="0"/>
    <s v="Remote"/>
    <n v="122400"/>
    <n v="0"/>
    <n v="86.1"/>
    <n v="5"/>
    <n v="2"/>
    <n v="4"/>
    <n v="26"/>
    <n v="6"/>
    <s v="Company Website"/>
    <n v="10200"/>
    <n v="8.3000000000000007"/>
    <s v="20-24"/>
    <s v="Good"/>
  </r>
  <r>
    <x v="165"/>
    <x v="110"/>
    <x v="0"/>
    <n v="21"/>
    <x v="1"/>
    <x v="7"/>
    <s v="Associate"/>
    <s v="Full-Time"/>
    <x v="0"/>
    <x v="142"/>
    <x v="0"/>
    <s v="Remote"/>
    <n v="35000"/>
    <n v="0"/>
    <n v="95.8"/>
    <n v="0"/>
    <n v="15"/>
    <n v="0"/>
    <n v="9"/>
    <n v="23"/>
    <s v="Consultancy"/>
    <n v="2917"/>
    <n v="2.6"/>
    <s v="20-24"/>
    <s v="Good"/>
  </r>
  <r>
    <x v="166"/>
    <x v="71"/>
    <x v="1"/>
    <n v="37"/>
    <x v="7"/>
    <x v="3"/>
    <s v="Manager"/>
    <s v="Full-Time"/>
    <x v="2"/>
    <x v="162"/>
    <x v="0"/>
    <s v="Onsite"/>
    <n v="157300"/>
    <n v="14"/>
    <n v="86"/>
    <n v="6"/>
    <n v="9"/>
    <n v="3"/>
    <n v="9"/>
    <n v="6"/>
    <s v="Employee Referral"/>
    <n v="13108"/>
    <n v="7"/>
    <s v="35-39"/>
    <s v="Average"/>
  </r>
  <r>
    <x v="167"/>
    <x v="111"/>
    <x v="1"/>
    <n v="26"/>
    <x v="4"/>
    <x v="5"/>
    <s v="Junior"/>
    <s v="Full-Time"/>
    <x v="0"/>
    <x v="163"/>
    <x v="0"/>
    <s v="Onsite"/>
    <n v="42500"/>
    <n v="4"/>
    <n v="94"/>
    <n v="2"/>
    <n v="3"/>
    <n v="0"/>
    <n v="21"/>
    <n v="11"/>
    <s v="Company Website"/>
    <n v="3542"/>
    <n v="6.6"/>
    <s v="25-29"/>
    <s v="Good"/>
  </r>
  <r>
    <x v="168"/>
    <x v="112"/>
    <x v="0"/>
    <n v="35"/>
    <x v="6"/>
    <x v="5"/>
    <s v="Associate"/>
    <s v="Full-Time"/>
    <x v="1"/>
    <x v="164"/>
    <x v="0"/>
    <s v="Onsite"/>
    <n v="55700"/>
    <n v="12"/>
    <n v="96.9"/>
    <n v="7"/>
    <n v="2"/>
    <n v="0"/>
    <n v="25"/>
    <n v="11"/>
    <s v="LinkedIn"/>
    <n v="4642"/>
    <n v="5.8"/>
    <s v="35-39"/>
    <s v="Average"/>
  </r>
  <r>
    <x v="169"/>
    <x v="113"/>
    <x v="1"/>
    <n v="32"/>
    <x v="6"/>
    <x v="2"/>
    <s v="Senior"/>
    <s v="Full-Time"/>
    <x v="3"/>
    <x v="165"/>
    <x v="0"/>
    <s v="Onsite"/>
    <n v="79200"/>
    <n v="13"/>
    <n v="87.2"/>
    <n v="5"/>
    <n v="8"/>
    <n v="0"/>
    <n v="10"/>
    <n v="10"/>
    <s v="Company Website"/>
    <n v="6600"/>
    <n v="4.3"/>
    <s v="30-34"/>
    <s v="Good"/>
  </r>
  <r>
    <x v="170"/>
    <x v="34"/>
    <x v="1"/>
    <n v="23"/>
    <x v="4"/>
    <x v="7"/>
    <s v="Associate"/>
    <s v="Contract"/>
    <x v="2"/>
    <x v="166"/>
    <x v="0"/>
    <s v="Hybrid"/>
    <n v="30800"/>
    <n v="4"/>
    <n v="89.7"/>
    <n v="2"/>
    <n v="14"/>
    <n v="3"/>
    <n v="8"/>
    <n v="15"/>
    <s v="Indeed"/>
    <n v="2567"/>
    <n v="7.8"/>
    <s v="20-24"/>
    <s v="Good"/>
  </r>
  <r>
    <x v="171"/>
    <x v="114"/>
    <x v="1"/>
    <n v="29"/>
    <x v="13"/>
    <x v="0"/>
    <s v="Associate"/>
    <s v="Full-Time"/>
    <x v="3"/>
    <x v="167"/>
    <x v="0"/>
    <s v="Remote"/>
    <n v="58300"/>
    <n v="6"/>
    <n v="96.6"/>
    <n v="2"/>
    <n v="10"/>
    <n v="0"/>
    <n v="8"/>
    <n v="2"/>
    <s v="Campus Hiring"/>
    <n v="4858"/>
    <n v="3"/>
    <s v="25-29"/>
    <s v="Average"/>
  </r>
  <r>
    <x v="172"/>
    <x v="115"/>
    <x v="1"/>
    <n v="47"/>
    <x v="0"/>
    <x v="0"/>
    <s v="Manager"/>
    <s v="Full-Time"/>
    <x v="3"/>
    <x v="168"/>
    <x v="0"/>
    <s v="Onsite"/>
    <n v="110700"/>
    <n v="23"/>
    <n v="79.2"/>
    <n v="7"/>
    <n v="10"/>
    <n v="4"/>
    <n v="11"/>
    <n v="30"/>
    <s v="Company Website"/>
    <n v="9225"/>
    <n v="0.8"/>
    <s v="45+"/>
    <s v="Good"/>
  </r>
  <r>
    <x v="173"/>
    <x v="116"/>
    <x v="0"/>
    <n v="28"/>
    <x v="4"/>
    <x v="7"/>
    <s v="Associate"/>
    <s v="Contract"/>
    <x v="3"/>
    <x v="169"/>
    <x v="0"/>
    <s v="Hybrid"/>
    <n v="35300"/>
    <n v="5"/>
    <n v="93.4"/>
    <n v="5"/>
    <n v="7"/>
    <n v="4"/>
    <n v="1"/>
    <n v="25"/>
    <s v="Consultancy"/>
    <n v="2942"/>
    <n v="2.7"/>
    <s v="25-29"/>
    <s v="Good"/>
  </r>
  <r>
    <x v="174"/>
    <x v="43"/>
    <x v="0"/>
    <n v="37"/>
    <x v="14"/>
    <x v="5"/>
    <s v="Senior"/>
    <s v="Full-Time"/>
    <x v="0"/>
    <x v="170"/>
    <x v="0"/>
    <s v="Onsite"/>
    <n v="105700"/>
    <n v="16"/>
    <n v="100"/>
    <n v="1"/>
    <n v="9"/>
    <n v="2"/>
    <n v="13"/>
    <n v="7"/>
    <s v="Naukri"/>
    <n v="8808"/>
    <n v="2.8"/>
    <s v="35-39"/>
    <s v="Good"/>
  </r>
  <r>
    <x v="175"/>
    <x v="67"/>
    <x v="1"/>
    <n v="28"/>
    <x v="0"/>
    <x v="4"/>
    <s v="Junior"/>
    <s v="Full-Time"/>
    <x v="1"/>
    <x v="171"/>
    <x v="0"/>
    <s v="Hybrid"/>
    <n v="28900"/>
    <n v="5"/>
    <n v="76.099999999999994"/>
    <n v="2"/>
    <n v="12"/>
    <n v="2"/>
    <n v="8"/>
    <n v="28"/>
    <s v="Indeed"/>
    <n v="2408"/>
    <n v="5.7"/>
    <s v="25-29"/>
    <s v="Good"/>
  </r>
  <r>
    <x v="176"/>
    <x v="117"/>
    <x v="0"/>
    <n v="41"/>
    <x v="3"/>
    <x v="6"/>
    <s v="Lead"/>
    <s v="Full-Time"/>
    <x v="1"/>
    <x v="172"/>
    <x v="0"/>
    <s v="Onsite"/>
    <n v="105100"/>
    <n v="20"/>
    <n v="96.4"/>
    <n v="5"/>
    <n v="8"/>
    <n v="2"/>
    <n v="28"/>
    <n v="26"/>
    <s v="Consultancy"/>
    <n v="8758"/>
    <n v="6.8"/>
    <s v="40-44"/>
    <s v="Excellent"/>
  </r>
  <r>
    <x v="177"/>
    <x v="50"/>
    <x v="0"/>
    <n v="29"/>
    <x v="1"/>
    <x v="6"/>
    <s v="Senior"/>
    <s v="Full-Time"/>
    <x v="6"/>
    <x v="173"/>
    <x v="0"/>
    <s v="Hybrid"/>
    <n v="73500"/>
    <n v="7"/>
    <n v="95.1"/>
    <n v="6"/>
    <n v="9"/>
    <n v="2"/>
    <n v="17"/>
    <n v="27"/>
    <s v="Campus Hiring"/>
    <n v="6125"/>
    <n v="1.1000000000000001"/>
    <s v="25-29"/>
    <s v="Good"/>
  </r>
  <r>
    <x v="178"/>
    <x v="118"/>
    <x v="1"/>
    <n v="27"/>
    <x v="10"/>
    <x v="2"/>
    <s v="Associate"/>
    <s v="Part-Time"/>
    <x v="4"/>
    <x v="174"/>
    <x v="0"/>
    <s v="Onsite"/>
    <n v="45600"/>
    <n v="4"/>
    <n v="90.7"/>
    <n v="3"/>
    <n v="9"/>
    <n v="4"/>
    <n v="21"/>
    <n v="8"/>
    <s v="Naukri"/>
    <n v="3800"/>
    <n v="5.5"/>
    <s v="25-29"/>
    <s v="Good"/>
  </r>
  <r>
    <x v="179"/>
    <x v="119"/>
    <x v="1"/>
    <n v="42"/>
    <x v="11"/>
    <x v="4"/>
    <s v="Intern"/>
    <s v="Full-Time"/>
    <x v="6"/>
    <x v="175"/>
    <x v="1"/>
    <s v="Remote"/>
    <n v="21600"/>
    <n v="20"/>
    <n v="93"/>
    <n v="7"/>
    <n v="1"/>
    <n v="2"/>
    <n v="28"/>
    <n v="13"/>
    <s v="Campus Hiring"/>
    <n v="1800"/>
    <n v="2.8"/>
    <s v="40-44"/>
    <s v="Excellent"/>
  </r>
  <r>
    <x v="180"/>
    <x v="120"/>
    <x v="0"/>
    <n v="30"/>
    <x v="13"/>
    <x v="2"/>
    <s v="Senior"/>
    <s v="Full-Time"/>
    <x v="6"/>
    <x v="176"/>
    <x v="0"/>
    <s v="Hybrid"/>
    <n v="65600"/>
    <n v="10"/>
    <n v="92.2"/>
    <n v="2"/>
    <n v="4"/>
    <n v="1"/>
    <n v="22"/>
    <n v="16"/>
    <s v="Consultancy"/>
    <n v="5467"/>
    <n v="7.1"/>
    <s v="30-34"/>
    <s v="Good"/>
  </r>
  <r>
    <x v="181"/>
    <x v="40"/>
    <x v="1"/>
    <n v="32"/>
    <x v="14"/>
    <x v="2"/>
    <s v="Intern"/>
    <s v="Full-Time"/>
    <x v="0"/>
    <x v="177"/>
    <x v="0"/>
    <s v="Remote"/>
    <n v="20400"/>
    <n v="13"/>
    <n v="88.3"/>
    <n v="5"/>
    <n v="4"/>
    <n v="3"/>
    <n v="29"/>
    <n v="17"/>
    <s v="Company Website"/>
    <n v="1700"/>
    <n v="5.9"/>
    <s v="30-34"/>
    <s v="Good"/>
  </r>
  <r>
    <x v="182"/>
    <x v="121"/>
    <x v="0"/>
    <n v="43"/>
    <x v="3"/>
    <x v="6"/>
    <s v="Intern"/>
    <s v="Contract"/>
    <x v="7"/>
    <x v="178"/>
    <x v="0"/>
    <s v="Remote"/>
    <n v="24600"/>
    <n v="20"/>
    <n v="97.2"/>
    <n v="6"/>
    <n v="6"/>
    <n v="3"/>
    <n v="24"/>
    <n v="4"/>
    <s v="LinkedIn"/>
    <n v="2050"/>
    <n v="8.3000000000000007"/>
    <s v="40-44"/>
    <s v="Good"/>
  </r>
  <r>
    <x v="183"/>
    <x v="88"/>
    <x v="1"/>
    <n v="32"/>
    <x v="9"/>
    <x v="2"/>
    <s v="Senior"/>
    <s v="Contract"/>
    <x v="2"/>
    <x v="179"/>
    <x v="0"/>
    <s v="Onsite"/>
    <n v="64900"/>
    <n v="10"/>
    <n v="91"/>
    <n v="7"/>
    <n v="3"/>
    <n v="4"/>
    <n v="26"/>
    <n v="17"/>
    <s v="Company Website"/>
    <n v="5408"/>
    <n v="0.6"/>
    <s v="30-34"/>
    <s v="Good"/>
  </r>
  <r>
    <x v="184"/>
    <x v="122"/>
    <x v="0"/>
    <n v="35"/>
    <x v="1"/>
    <x v="0"/>
    <s v="Junior"/>
    <s v="Full-Time"/>
    <x v="4"/>
    <x v="180"/>
    <x v="0"/>
    <s v="Hybrid"/>
    <n v="33400"/>
    <n v="15"/>
    <n v="93"/>
    <n v="3"/>
    <n v="3"/>
    <n v="3"/>
    <n v="12"/>
    <n v="9"/>
    <s v="Indeed"/>
    <n v="2783"/>
    <n v="5.3"/>
    <s v="35-39"/>
    <s v="Excellent"/>
  </r>
  <r>
    <x v="185"/>
    <x v="4"/>
    <x v="0"/>
    <n v="32"/>
    <x v="5"/>
    <x v="5"/>
    <s v="Junior"/>
    <s v="Full-Time"/>
    <x v="2"/>
    <x v="181"/>
    <x v="0"/>
    <s v="Onsite"/>
    <n v="50800"/>
    <n v="11"/>
    <n v="86.2"/>
    <n v="4"/>
    <n v="7"/>
    <n v="3"/>
    <n v="21"/>
    <n v="15"/>
    <s v="Naukri"/>
    <n v="4233"/>
    <n v="2.2000000000000002"/>
    <s v="30-34"/>
    <s v="Excellent"/>
  </r>
  <r>
    <x v="186"/>
    <x v="24"/>
    <x v="1"/>
    <n v="44"/>
    <x v="5"/>
    <x v="5"/>
    <s v="Senior"/>
    <s v="Full-Time"/>
    <x v="0"/>
    <x v="182"/>
    <x v="0"/>
    <s v="Hybrid"/>
    <n v="105200"/>
    <n v="23"/>
    <n v="79.3"/>
    <n v="5"/>
    <n v="0"/>
    <n v="0"/>
    <n v="15"/>
    <n v="27"/>
    <s v="Consultancy"/>
    <n v="8767"/>
    <n v="2.2999999999999998"/>
    <s v="40-44"/>
    <s v="Good"/>
  </r>
  <r>
    <x v="187"/>
    <x v="123"/>
    <x v="0"/>
    <n v="31"/>
    <x v="6"/>
    <x v="0"/>
    <s v="Junior"/>
    <s v="Full-Time"/>
    <x v="3"/>
    <x v="183"/>
    <x v="0"/>
    <s v="Hybrid"/>
    <n v="36900"/>
    <n v="12"/>
    <n v="85.1"/>
    <n v="0"/>
    <n v="5"/>
    <n v="2"/>
    <n v="12"/>
    <n v="4"/>
    <s v="Company Website"/>
    <n v="3075"/>
    <n v="8.5"/>
    <s v="30-34"/>
    <s v="Good"/>
  </r>
  <r>
    <x v="188"/>
    <x v="124"/>
    <x v="0"/>
    <n v="34"/>
    <x v="7"/>
    <x v="6"/>
    <s v="Associate"/>
    <s v="Contract"/>
    <x v="3"/>
    <x v="184"/>
    <x v="0"/>
    <s v="Hybrid"/>
    <n v="51200"/>
    <n v="15"/>
    <n v="100"/>
    <n v="8"/>
    <n v="8"/>
    <n v="2"/>
    <n v="7"/>
    <n v="13"/>
    <s v="LinkedIn"/>
    <n v="4267"/>
    <n v="7.6"/>
    <s v="30-34"/>
    <s v="Good"/>
  </r>
  <r>
    <x v="189"/>
    <x v="125"/>
    <x v="0"/>
    <n v="48"/>
    <x v="8"/>
    <x v="7"/>
    <s v="Junior"/>
    <s v="Contract"/>
    <x v="1"/>
    <x v="185"/>
    <x v="0"/>
    <s v="Remote"/>
    <n v="27200"/>
    <n v="27"/>
    <n v="94.2"/>
    <n v="2"/>
    <n v="12"/>
    <n v="0"/>
    <n v="25"/>
    <n v="15"/>
    <s v="LinkedIn"/>
    <n v="2267"/>
    <n v="6.3"/>
    <s v="45+"/>
    <s v="Average"/>
  </r>
  <r>
    <x v="190"/>
    <x v="112"/>
    <x v="1"/>
    <n v="35"/>
    <x v="4"/>
    <x v="2"/>
    <s v="Senior"/>
    <s v="Contract"/>
    <x v="0"/>
    <x v="186"/>
    <x v="0"/>
    <s v="Hybrid"/>
    <n v="69400"/>
    <n v="14"/>
    <n v="88.8"/>
    <n v="1"/>
    <n v="12"/>
    <n v="4"/>
    <n v="30"/>
    <n v="30"/>
    <s v="Employee Referral"/>
    <n v="5783"/>
    <n v="0.5"/>
    <s v="35-39"/>
    <s v="Good"/>
  </r>
  <r>
    <x v="191"/>
    <x v="126"/>
    <x v="0"/>
    <n v="27"/>
    <x v="7"/>
    <x v="7"/>
    <s v="Senior"/>
    <s v="Full-Time"/>
    <x v="7"/>
    <x v="187"/>
    <x v="0"/>
    <s v="Hybrid"/>
    <n v="51600"/>
    <n v="6"/>
    <n v="93.9"/>
    <n v="6"/>
    <n v="12"/>
    <n v="1"/>
    <n v="11"/>
    <n v="20"/>
    <s v="Campus Hiring"/>
    <n v="4300"/>
    <n v="5.6"/>
    <s v="25-29"/>
    <s v="Excellent"/>
  </r>
  <r>
    <x v="192"/>
    <x v="90"/>
    <x v="1"/>
    <n v="25"/>
    <x v="10"/>
    <x v="4"/>
    <s v="Senior"/>
    <s v="Contract"/>
    <x v="7"/>
    <x v="188"/>
    <x v="0"/>
    <s v="Onsite"/>
    <n v="76900"/>
    <n v="1"/>
    <n v="93.1"/>
    <n v="3"/>
    <n v="15"/>
    <n v="4"/>
    <n v="18"/>
    <n v="5"/>
    <s v="Campus Hiring"/>
    <n v="6408"/>
    <n v="5.4"/>
    <s v="25-29"/>
    <s v="Average"/>
  </r>
  <r>
    <x v="193"/>
    <x v="76"/>
    <x v="1"/>
    <n v="43"/>
    <x v="2"/>
    <x v="1"/>
    <s v="Associate"/>
    <s v="Contract"/>
    <x v="2"/>
    <x v="189"/>
    <x v="0"/>
    <s v="Onsite"/>
    <n v="43100"/>
    <n v="24"/>
    <n v="82"/>
    <n v="3"/>
    <n v="14"/>
    <n v="1"/>
    <n v="9"/>
    <n v="13"/>
    <s v="LinkedIn"/>
    <n v="3592"/>
    <n v="4.3"/>
    <s v="40-44"/>
    <s v="Good"/>
  </r>
  <r>
    <x v="194"/>
    <x v="2"/>
    <x v="1"/>
    <n v="27"/>
    <x v="13"/>
    <x v="1"/>
    <s v="Junior"/>
    <s v="Full-Time"/>
    <x v="6"/>
    <x v="190"/>
    <x v="0"/>
    <s v="Hybrid"/>
    <n v="35100"/>
    <n v="5"/>
    <n v="95.2"/>
    <n v="8"/>
    <n v="1"/>
    <n v="1"/>
    <n v="21"/>
    <n v="4"/>
    <s v="Company Website"/>
    <n v="2925"/>
    <n v="7.9"/>
    <s v="25-29"/>
    <s v="Excellent"/>
  </r>
  <r>
    <x v="195"/>
    <x v="65"/>
    <x v="0"/>
    <n v="21"/>
    <x v="4"/>
    <x v="5"/>
    <s v="Junior"/>
    <s v="Full-Time"/>
    <x v="2"/>
    <x v="191"/>
    <x v="0"/>
    <s v="Remote"/>
    <n v="52000"/>
    <n v="1"/>
    <n v="81.5"/>
    <n v="6"/>
    <n v="4"/>
    <n v="0"/>
    <n v="1"/>
    <n v="23"/>
    <s v="LinkedIn"/>
    <n v="4333"/>
    <n v="8.4"/>
    <s v="20-24"/>
    <s v="Average"/>
  </r>
  <r>
    <x v="196"/>
    <x v="59"/>
    <x v="1"/>
    <n v="37"/>
    <x v="7"/>
    <x v="5"/>
    <s v="Associate"/>
    <s v="Full-Time"/>
    <x v="6"/>
    <x v="192"/>
    <x v="0"/>
    <s v="Onsite"/>
    <n v="70000"/>
    <n v="17"/>
    <n v="87.9"/>
    <n v="8"/>
    <n v="9"/>
    <n v="4"/>
    <n v="14"/>
    <n v="28"/>
    <s v="LinkedIn"/>
    <n v="5833"/>
    <n v="6.8"/>
    <s v="35-39"/>
    <s v="Excellent"/>
  </r>
  <r>
    <x v="197"/>
    <x v="98"/>
    <x v="1"/>
    <n v="30"/>
    <x v="2"/>
    <x v="2"/>
    <s v="Manager"/>
    <s v="Full-Time"/>
    <x v="6"/>
    <x v="193"/>
    <x v="0"/>
    <s v="Onsite"/>
    <n v="126000"/>
    <n v="7"/>
    <n v="86.1"/>
    <n v="0"/>
    <n v="9"/>
    <n v="2"/>
    <n v="16"/>
    <n v="24"/>
    <s v="Indeed"/>
    <n v="10500"/>
    <n v="7.3"/>
    <s v="30-34"/>
    <s v="Excellent"/>
  </r>
  <r>
    <x v="198"/>
    <x v="127"/>
    <x v="1"/>
    <n v="36"/>
    <x v="5"/>
    <x v="3"/>
    <s v="Junior"/>
    <s v="Intern"/>
    <x v="5"/>
    <x v="194"/>
    <x v="0"/>
    <s v="Onsite"/>
    <n v="41700"/>
    <n v="14"/>
    <n v="92"/>
    <n v="2"/>
    <n v="8"/>
    <n v="4"/>
    <n v="27"/>
    <n v="17"/>
    <s v="LinkedIn"/>
    <n v="3475"/>
    <n v="4.9000000000000004"/>
    <s v="35-39"/>
    <s v="Excellent"/>
  </r>
  <r>
    <x v="199"/>
    <x v="54"/>
    <x v="0"/>
    <n v="29"/>
    <x v="13"/>
    <x v="5"/>
    <s v="Associate"/>
    <s v="Full-Time"/>
    <x v="3"/>
    <x v="195"/>
    <x v="0"/>
    <s v="Remote"/>
    <n v="61100"/>
    <n v="10"/>
    <n v="92.1"/>
    <n v="5"/>
    <n v="14"/>
    <n v="4"/>
    <n v="5"/>
    <n v="4"/>
    <s v="Consultancy"/>
    <n v="5092"/>
    <n v="7.6"/>
    <s v="25-29"/>
    <s v="Excellent"/>
  </r>
  <r>
    <x v="200"/>
    <x v="29"/>
    <x v="0"/>
    <n v="21"/>
    <x v="2"/>
    <x v="5"/>
    <s v="Junior"/>
    <s v="Full-Time"/>
    <x v="5"/>
    <x v="196"/>
    <x v="0"/>
    <s v="Onsite"/>
    <n v="51500"/>
    <n v="0"/>
    <n v="76"/>
    <n v="0"/>
    <n v="10"/>
    <n v="1"/>
    <n v="27"/>
    <n v="4"/>
    <s v="Company Website"/>
    <n v="4292"/>
    <n v="1.2"/>
    <s v="20-24"/>
    <s v="Average"/>
  </r>
  <r>
    <x v="201"/>
    <x v="36"/>
    <x v="0"/>
    <n v="42"/>
    <x v="2"/>
    <x v="7"/>
    <s v="Senior"/>
    <s v="Part-Time"/>
    <x v="6"/>
    <x v="197"/>
    <x v="0"/>
    <s v="Onsite"/>
    <n v="51200"/>
    <n v="18"/>
    <n v="97.2"/>
    <n v="4"/>
    <n v="11"/>
    <n v="1"/>
    <n v="2"/>
    <n v="30"/>
    <s v="LinkedIn"/>
    <n v="4267"/>
    <n v="5"/>
    <s v="40-44"/>
    <s v="Average"/>
  </r>
  <r>
    <x v="202"/>
    <x v="92"/>
    <x v="1"/>
    <n v="46"/>
    <x v="7"/>
    <x v="0"/>
    <s v="Senior"/>
    <s v="Full-Time"/>
    <x v="3"/>
    <x v="198"/>
    <x v="0"/>
    <s v="Remote"/>
    <n v="81700"/>
    <n v="24"/>
    <n v="91.3"/>
    <n v="3"/>
    <n v="3"/>
    <n v="2"/>
    <n v="10"/>
    <n v="8"/>
    <s v="Naukri"/>
    <n v="6808"/>
    <n v="0.6"/>
    <s v="45+"/>
    <s v="Excellent"/>
  </r>
  <r>
    <x v="203"/>
    <x v="43"/>
    <x v="1"/>
    <n v="38"/>
    <x v="5"/>
    <x v="7"/>
    <s v="Senior"/>
    <s v="Contract"/>
    <x v="0"/>
    <x v="199"/>
    <x v="0"/>
    <s v="Hybrid"/>
    <n v="46900"/>
    <n v="17"/>
    <n v="95.8"/>
    <n v="3"/>
    <n v="14"/>
    <n v="2"/>
    <n v="27"/>
    <n v="11"/>
    <s v="Employee Referral"/>
    <n v="3908"/>
    <n v="7"/>
    <s v="35-39"/>
    <s v="Good"/>
  </r>
  <r>
    <x v="204"/>
    <x v="128"/>
    <x v="0"/>
    <n v="39"/>
    <x v="1"/>
    <x v="2"/>
    <s v="Lead"/>
    <s v="Full-Time"/>
    <x v="3"/>
    <x v="200"/>
    <x v="0"/>
    <s v="Remote"/>
    <n v="95600"/>
    <n v="18"/>
    <n v="91.2"/>
    <n v="6"/>
    <n v="8"/>
    <n v="1"/>
    <n v="4"/>
    <n v="26"/>
    <s v="Employee Referral"/>
    <n v="7967"/>
    <n v="7.9"/>
    <s v="35-39"/>
    <s v="Good"/>
  </r>
  <r>
    <x v="205"/>
    <x v="46"/>
    <x v="1"/>
    <n v="39"/>
    <x v="7"/>
    <x v="3"/>
    <s v="Associate"/>
    <s v="Full-Time"/>
    <x v="3"/>
    <x v="201"/>
    <x v="0"/>
    <s v="Remote"/>
    <n v="63900"/>
    <n v="17"/>
    <n v="91.9"/>
    <n v="4"/>
    <n v="7"/>
    <n v="4"/>
    <n v="21"/>
    <n v="17"/>
    <s v="Indeed"/>
    <n v="5325"/>
    <n v="7.1"/>
    <s v="35-39"/>
    <s v="Good"/>
  </r>
  <r>
    <x v="206"/>
    <x v="47"/>
    <x v="1"/>
    <n v="39"/>
    <x v="14"/>
    <x v="1"/>
    <s v="Junior"/>
    <s v="Full-Time"/>
    <x v="1"/>
    <x v="202"/>
    <x v="0"/>
    <s v="Remote"/>
    <n v="31500"/>
    <n v="20"/>
    <n v="83.8"/>
    <n v="6"/>
    <n v="8"/>
    <n v="1"/>
    <n v="12"/>
    <n v="14"/>
    <s v="Company Website"/>
    <n v="2625"/>
    <n v="6.6"/>
    <s v="35-39"/>
    <s v="Good"/>
  </r>
  <r>
    <x v="207"/>
    <x v="129"/>
    <x v="1"/>
    <n v="21"/>
    <x v="13"/>
    <x v="2"/>
    <s v="Associate"/>
    <s v="Full-Time"/>
    <x v="6"/>
    <x v="172"/>
    <x v="0"/>
    <s v="Remote"/>
    <n v="47600"/>
    <n v="1"/>
    <n v="87.1"/>
    <n v="0"/>
    <n v="12"/>
    <n v="3"/>
    <n v="15"/>
    <n v="20"/>
    <s v="Campus Hiring"/>
    <n v="3967"/>
    <n v="6.8"/>
    <s v="20-24"/>
    <s v="Excellent"/>
  </r>
  <r>
    <x v="208"/>
    <x v="130"/>
    <x v="1"/>
    <n v="46"/>
    <x v="6"/>
    <x v="1"/>
    <s v="Senior"/>
    <s v="Full-Time"/>
    <x v="0"/>
    <x v="203"/>
    <x v="0"/>
    <s v="Hybrid"/>
    <n v="75200"/>
    <n v="25"/>
    <n v="89.9"/>
    <n v="8"/>
    <n v="12"/>
    <n v="3"/>
    <n v="25"/>
    <n v="29"/>
    <s v="Company Website"/>
    <n v="6267"/>
    <n v="7"/>
    <s v="45+"/>
    <s v="Good"/>
  </r>
  <r>
    <x v="209"/>
    <x v="94"/>
    <x v="0"/>
    <n v="25"/>
    <x v="9"/>
    <x v="2"/>
    <s v="Senior"/>
    <s v="Contract"/>
    <x v="2"/>
    <x v="204"/>
    <x v="0"/>
    <s v="Onsite"/>
    <n v="58200"/>
    <n v="2"/>
    <n v="94.5"/>
    <n v="7"/>
    <n v="12"/>
    <n v="1"/>
    <n v="21"/>
    <n v="7"/>
    <s v="Indeed"/>
    <n v="4850"/>
    <n v="2.4"/>
    <s v="25-29"/>
    <s v="Good"/>
  </r>
  <r>
    <x v="210"/>
    <x v="2"/>
    <x v="1"/>
    <n v="36"/>
    <x v="2"/>
    <x v="1"/>
    <s v="Associate"/>
    <s v="Full-Time"/>
    <x v="4"/>
    <x v="205"/>
    <x v="1"/>
    <s v="Onsite"/>
    <n v="50900"/>
    <n v="17"/>
    <n v="88.7"/>
    <n v="6"/>
    <n v="1"/>
    <n v="2"/>
    <n v="27"/>
    <n v="22"/>
    <s v="Employee Referral"/>
    <n v="4242"/>
    <n v="0.7"/>
    <s v="35-39"/>
    <s v="Good"/>
  </r>
  <r>
    <x v="211"/>
    <x v="131"/>
    <x v="0"/>
    <n v="31"/>
    <x v="3"/>
    <x v="5"/>
    <s v="Senior"/>
    <s v="Full-Time"/>
    <x v="0"/>
    <x v="206"/>
    <x v="0"/>
    <s v="Hybrid"/>
    <n v="97000"/>
    <n v="12"/>
    <n v="87.4"/>
    <n v="1"/>
    <n v="9"/>
    <n v="1"/>
    <n v="9"/>
    <n v="25"/>
    <s v="Naukri"/>
    <n v="8083"/>
    <n v="7.4"/>
    <s v="30-34"/>
    <s v="Good"/>
  </r>
  <r>
    <x v="212"/>
    <x v="132"/>
    <x v="0"/>
    <n v="49"/>
    <x v="11"/>
    <x v="6"/>
    <s v="Senior"/>
    <s v="Full-Time"/>
    <x v="6"/>
    <x v="207"/>
    <x v="0"/>
    <s v="Onsite"/>
    <n v="66900"/>
    <n v="25"/>
    <n v="86.5"/>
    <n v="5"/>
    <n v="4"/>
    <n v="4"/>
    <n v="12"/>
    <n v="10"/>
    <s v="Employee Referral"/>
    <n v="5575"/>
    <n v="4.5999999999999996"/>
    <s v="45+"/>
    <s v="Good"/>
  </r>
  <r>
    <x v="213"/>
    <x v="109"/>
    <x v="1"/>
    <n v="24"/>
    <x v="12"/>
    <x v="6"/>
    <s v="Lead"/>
    <s v="Full-Time"/>
    <x v="7"/>
    <x v="208"/>
    <x v="0"/>
    <s v="Onsite"/>
    <n v="101600"/>
    <n v="3"/>
    <n v="92.8"/>
    <n v="3"/>
    <n v="14"/>
    <n v="3"/>
    <n v="22"/>
    <n v="25"/>
    <s v="Employee Referral"/>
    <n v="8467"/>
    <n v="3.6"/>
    <s v="20-24"/>
    <s v="Good"/>
  </r>
  <r>
    <x v="214"/>
    <x v="15"/>
    <x v="0"/>
    <n v="21"/>
    <x v="4"/>
    <x v="7"/>
    <s v="Senior"/>
    <s v="Intern"/>
    <x v="3"/>
    <x v="209"/>
    <x v="0"/>
    <s v="Hybrid"/>
    <n v="49600"/>
    <n v="1"/>
    <n v="90.5"/>
    <n v="2"/>
    <n v="9"/>
    <n v="0"/>
    <n v="30"/>
    <n v="15"/>
    <s v="Naukri"/>
    <n v="4133"/>
    <n v="7.5"/>
    <s v="20-24"/>
    <s v="Good"/>
  </r>
  <r>
    <x v="215"/>
    <x v="132"/>
    <x v="1"/>
    <n v="28"/>
    <x v="12"/>
    <x v="7"/>
    <s v="Senior"/>
    <s v="Full-Time"/>
    <x v="4"/>
    <x v="210"/>
    <x v="0"/>
    <s v="Onsite"/>
    <n v="49100"/>
    <n v="9"/>
    <n v="86.6"/>
    <n v="7"/>
    <n v="8"/>
    <n v="2"/>
    <n v="22"/>
    <n v="18"/>
    <s v="Employee Referral"/>
    <n v="4092"/>
    <n v="6.4"/>
    <s v="25-29"/>
    <s v="Good"/>
  </r>
  <r>
    <x v="216"/>
    <x v="122"/>
    <x v="0"/>
    <n v="21"/>
    <x v="5"/>
    <x v="2"/>
    <s v="Junior"/>
    <s v="Full-Time"/>
    <x v="2"/>
    <x v="211"/>
    <x v="0"/>
    <s v="Onsite"/>
    <n v="33100"/>
    <n v="0"/>
    <n v="90"/>
    <n v="3"/>
    <n v="4"/>
    <n v="0"/>
    <n v="10"/>
    <n v="8"/>
    <s v="LinkedIn"/>
    <n v="2758"/>
    <n v="7.9"/>
    <s v="20-24"/>
    <s v="Good"/>
  </r>
  <r>
    <x v="217"/>
    <x v="76"/>
    <x v="1"/>
    <n v="41"/>
    <x v="14"/>
    <x v="5"/>
    <s v="Senior"/>
    <s v="Full-Time"/>
    <x v="0"/>
    <x v="199"/>
    <x v="0"/>
    <s v="Hybrid"/>
    <n v="101100"/>
    <n v="20"/>
    <n v="87.2"/>
    <n v="2"/>
    <n v="11"/>
    <n v="2"/>
    <n v="15"/>
    <n v="9"/>
    <s v="Consultancy"/>
    <n v="8425"/>
    <n v="7"/>
    <s v="40-44"/>
    <s v="Good"/>
  </r>
  <r>
    <x v="218"/>
    <x v="133"/>
    <x v="0"/>
    <n v="39"/>
    <x v="7"/>
    <x v="2"/>
    <s v="Lead"/>
    <s v="Full-Time"/>
    <x v="4"/>
    <x v="212"/>
    <x v="0"/>
    <s v="Onsite"/>
    <n v="100600"/>
    <n v="15"/>
    <n v="86.1"/>
    <n v="4"/>
    <n v="3"/>
    <n v="0"/>
    <n v="5"/>
    <n v="6"/>
    <s v="Company Website"/>
    <n v="8383"/>
    <n v="3.8"/>
    <s v="35-39"/>
    <s v="Excellent"/>
  </r>
  <r>
    <x v="219"/>
    <x v="107"/>
    <x v="0"/>
    <n v="33"/>
    <x v="5"/>
    <x v="6"/>
    <s v="Associate"/>
    <s v="Full-Time"/>
    <x v="4"/>
    <x v="213"/>
    <x v="1"/>
    <s v="Remote"/>
    <n v="44800"/>
    <n v="10"/>
    <n v="83"/>
    <n v="8"/>
    <n v="7"/>
    <n v="0"/>
    <n v="27"/>
    <n v="21"/>
    <s v="Employee Referral"/>
    <n v="3733"/>
    <n v="1.6"/>
    <s v="30-34"/>
    <s v="Average"/>
  </r>
  <r>
    <x v="220"/>
    <x v="93"/>
    <x v="0"/>
    <n v="41"/>
    <x v="2"/>
    <x v="3"/>
    <s v="Senior"/>
    <s v="Full-Time"/>
    <x v="2"/>
    <x v="214"/>
    <x v="0"/>
    <s v="Remote"/>
    <n v="88200"/>
    <n v="22"/>
    <n v="84.2"/>
    <n v="2"/>
    <n v="5"/>
    <n v="1"/>
    <n v="0"/>
    <n v="24"/>
    <s v="Naukri"/>
    <n v="7350"/>
    <n v="5.9"/>
    <s v="40-44"/>
    <s v="Average"/>
  </r>
  <r>
    <x v="221"/>
    <x v="134"/>
    <x v="0"/>
    <n v="34"/>
    <x v="12"/>
    <x v="3"/>
    <s v="Senior"/>
    <s v="Full-Time"/>
    <x v="6"/>
    <x v="215"/>
    <x v="0"/>
    <s v="Onsite"/>
    <n v="78400"/>
    <n v="11"/>
    <n v="90.7"/>
    <n v="8"/>
    <n v="1"/>
    <n v="2"/>
    <n v="7"/>
    <n v="13"/>
    <s v="Company Website"/>
    <n v="6533"/>
    <n v="3.2"/>
    <s v="30-34"/>
    <s v="Excellent"/>
  </r>
  <r>
    <x v="222"/>
    <x v="0"/>
    <x v="1"/>
    <n v="21"/>
    <x v="7"/>
    <x v="5"/>
    <s v="Junior"/>
    <s v="Contract"/>
    <x v="3"/>
    <x v="201"/>
    <x v="0"/>
    <s v="Onsite"/>
    <n v="50100"/>
    <n v="1"/>
    <n v="80.900000000000006"/>
    <n v="3"/>
    <n v="7"/>
    <n v="3"/>
    <n v="25"/>
    <n v="23"/>
    <s v="Company Website"/>
    <n v="4175"/>
    <n v="7.1"/>
    <s v="20-24"/>
    <s v="Good"/>
  </r>
  <r>
    <x v="223"/>
    <x v="55"/>
    <x v="1"/>
    <n v="47"/>
    <x v="2"/>
    <x v="7"/>
    <s v="Senior"/>
    <s v="Part-Time"/>
    <x v="2"/>
    <x v="216"/>
    <x v="0"/>
    <s v="Onsite"/>
    <n v="52100"/>
    <n v="25"/>
    <n v="86.8"/>
    <n v="3"/>
    <n v="11"/>
    <n v="0"/>
    <n v="29"/>
    <n v="29"/>
    <s v="Employee Referral"/>
    <n v="4342"/>
    <n v="2.7"/>
    <s v="45+"/>
    <s v="Excellent"/>
  </r>
  <r>
    <x v="224"/>
    <x v="112"/>
    <x v="1"/>
    <n v="37"/>
    <x v="11"/>
    <x v="5"/>
    <s v="Junior"/>
    <s v="Part-Time"/>
    <x v="2"/>
    <x v="217"/>
    <x v="0"/>
    <s v="Hybrid"/>
    <n v="49300"/>
    <n v="15"/>
    <n v="94.2"/>
    <n v="1"/>
    <n v="4"/>
    <n v="1"/>
    <n v="19"/>
    <n v="3"/>
    <s v="Employee Referral"/>
    <n v="4108"/>
    <n v="4.8"/>
    <s v="35-39"/>
    <s v="Good"/>
  </r>
  <r>
    <x v="225"/>
    <x v="83"/>
    <x v="0"/>
    <n v="31"/>
    <x v="7"/>
    <x v="4"/>
    <s v="Manager"/>
    <s v="Contract"/>
    <x v="2"/>
    <x v="218"/>
    <x v="0"/>
    <s v="Onsite"/>
    <n v="101100"/>
    <n v="9"/>
    <n v="95.9"/>
    <n v="7"/>
    <n v="6"/>
    <n v="4"/>
    <n v="16"/>
    <n v="17"/>
    <s v="Consultancy"/>
    <n v="8425"/>
    <n v="3.3"/>
    <s v="30-34"/>
    <s v="Good"/>
  </r>
  <r>
    <x v="226"/>
    <x v="23"/>
    <x v="1"/>
    <n v="26"/>
    <x v="13"/>
    <x v="6"/>
    <s v="Lead"/>
    <s v="Intern"/>
    <x v="4"/>
    <x v="219"/>
    <x v="2"/>
    <s v="Hybrid"/>
    <n v="104400"/>
    <n v="6"/>
    <n v="92.9"/>
    <n v="3"/>
    <n v="3"/>
    <n v="2"/>
    <n v="9"/>
    <n v="29"/>
    <s v="Employee Referral"/>
    <n v="8700"/>
    <n v="8"/>
    <s v="25-29"/>
    <s v="Average"/>
  </r>
  <r>
    <x v="227"/>
    <x v="135"/>
    <x v="1"/>
    <n v="35"/>
    <x v="4"/>
    <x v="5"/>
    <s v="Junior"/>
    <s v="Full-Time"/>
    <x v="6"/>
    <x v="195"/>
    <x v="0"/>
    <s v="Hybrid"/>
    <n v="46700"/>
    <n v="16"/>
    <n v="95.1"/>
    <n v="2"/>
    <n v="8"/>
    <n v="2"/>
    <n v="28"/>
    <n v="26"/>
    <s v="Indeed"/>
    <n v="3892"/>
    <n v="7.6"/>
    <s v="35-39"/>
    <s v="Good"/>
  </r>
  <r>
    <x v="228"/>
    <x v="136"/>
    <x v="0"/>
    <n v="38"/>
    <x v="11"/>
    <x v="7"/>
    <s v="Junior"/>
    <s v="Full-Time"/>
    <x v="4"/>
    <x v="220"/>
    <x v="0"/>
    <s v="Onsite"/>
    <n v="29300"/>
    <n v="17"/>
    <n v="91.1"/>
    <n v="2"/>
    <n v="1"/>
    <n v="3"/>
    <n v="1"/>
    <n v="28"/>
    <s v="Company Website"/>
    <n v="2442"/>
    <n v="7.7"/>
    <s v="35-39"/>
    <s v="Average"/>
  </r>
  <r>
    <x v="229"/>
    <x v="88"/>
    <x v="0"/>
    <n v="22"/>
    <x v="2"/>
    <x v="5"/>
    <s v="Senior"/>
    <s v="Full-Time"/>
    <x v="7"/>
    <x v="134"/>
    <x v="0"/>
    <s v="Onsite"/>
    <n v="82600"/>
    <n v="0"/>
    <n v="85.7"/>
    <n v="0"/>
    <n v="11"/>
    <n v="0"/>
    <n v="18"/>
    <n v="4"/>
    <s v="Indeed"/>
    <n v="6883"/>
    <n v="0.4"/>
    <s v="20-24"/>
    <s v="Average"/>
  </r>
  <r>
    <x v="230"/>
    <x v="83"/>
    <x v="1"/>
    <n v="34"/>
    <x v="7"/>
    <x v="5"/>
    <s v="Associate"/>
    <s v="Part-Time"/>
    <x v="1"/>
    <x v="221"/>
    <x v="0"/>
    <s v="Onsite"/>
    <n v="66300"/>
    <n v="11"/>
    <n v="94.4"/>
    <n v="7"/>
    <n v="9"/>
    <n v="1"/>
    <n v="5"/>
    <n v="16"/>
    <s v="Employee Referral"/>
    <n v="5525"/>
    <n v="1.6"/>
    <s v="30-34"/>
    <s v="Good"/>
  </r>
  <r>
    <x v="231"/>
    <x v="137"/>
    <x v="0"/>
    <n v="34"/>
    <x v="14"/>
    <x v="2"/>
    <s v="Intern"/>
    <s v="Full-Time"/>
    <x v="0"/>
    <x v="108"/>
    <x v="0"/>
    <s v="Onsite"/>
    <n v="23300"/>
    <n v="13"/>
    <n v="93.4"/>
    <n v="4"/>
    <n v="8"/>
    <n v="0"/>
    <n v="1"/>
    <n v="18"/>
    <s v="Naukri"/>
    <n v="1942"/>
    <n v="3.9"/>
    <s v="30-34"/>
    <s v="Good"/>
  </r>
  <r>
    <x v="232"/>
    <x v="50"/>
    <x v="1"/>
    <n v="26"/>
    <x v="3"/>
    <x v="2"/>
    <s v="Associate"/>
    <s v="Full-Time"/>
    <x v="4"/>
    <x v="222"/>
    <x v="0"/>
    <s v="Remote"/>
    <n v="49300"/>
    <n v="7"/>
    <n v="88.3"/>
    <n v="4"/>
    <n v="3"/>
    <n v="1"/>
    <n v="17"/>
    <n v="17"/>
    <s v="Consultancy"/>
    <n v="4108"/>
    <n v="8.3000000000000007"/>
    <s v="25-29"/>
    <s v="Good"/>
  </r>
  <r>
    <x v="233"/>
    <x v="49"/>
    <x v="0"/>
    <n v="27"/>
    <x v="0"/>
    <x v="3"/>
    <s v="Associate"/>
    <s v="Full-Time"/>
    <x v="2"/>
    <x v="223"/>
    <x v="0"/>
    <s v="Onsite"/>
    <n v="53200"/>
    <n v="4"/>
    <n v="87.9"/>
    <n v="3"/>
    <n v="5"/>
    <n v="3"/>
    <n v="13"/>
    <n v="29"/>
    <s v="Employee Referral"/>
    <n v="4433"/>
    <n v="1.2"/>
    <s v="25-29"/>
    <s v="Good"/>
  </r>
  <r>
    <x v="234"/>
    <x v="97"/>
    <x v="0"/>
    <n v="26"/>
    <x v="14"/>
    <x v="2"/>
    <s v="Junior"/>
    <s v="Full-Time"/>
    <x v="7"/>
    <x v="104"/>
    <x v="0"/>
    <s v="Hybrid"/>
    <n v="38500"/>
    <n v="7"/>
    <n v="90.8"/>
    <n v="4"/>
    <n v="4"/>
    <n v="0"/>
    <n v="5"/>
    <n v="4"/>
    <s v="Employee Referral"/>
    <n v="3208"/>
    <n v="2.5"/>
    <s v="25-29"/>
    <s v="Average"/>
  </r>
  <r>
    <x v="235"/>
    <x v="33"/>
    <x v="0"/>
    <n v="22"/>
    <x v="8"/>
    <x v="2"/>
    <s v="Lead"/>
    <s v="Full-Time"/>
    <x v="2"/>
    <x v="224"/>
    <x v="0"/>
    <s v="Hybrid"/>
    <n v="82500"/>
    <n v="0"/>
    <n v="96.7"/>
    <n v="4"/>
    <n v="15"/>
    <n v="4"/>
    <n v="11"/>
    <n v="16"/>
    <s v="Campus Hiring"/>
    <n v="6875"/>
    <n v="1.6"/>
    <s v="20-24"/>
    <s v="Good"/>
  </r>
  <r>
    <x v="236"/>
    <x v="109"/>
    <x v="1"/>
    <n v="38"/>
    <x v="3"/>
    <x v="1"/>
    <s v="Lead"/>
    <s v="Full-Time"/>
    <x v="6"/>
    <x v="225"/>
    <x v="0"/>
    <s v="Hybrid"/>
    <n v="82800"/>
    <n v="16"/>
    <n v="89.1"/>
    <n v="8"/>
    <n v="2"/>
    <n v="3"/>
    <n v="19"/>
    <n v="2"/>
    <s v="LinkedIn"/>
    <n v="6900"/>
    <n v="3.4"/>
    <s v="35-39"/>
    <s v="Average"/>
  </r>
  <r>
    <x v="237"/>
    <x v="138"/>
    <x v="1"/>
    <n v="42"/>
    <x v="12"/>
    <x v="5"/>
    <s v="Senior"/>
    <s v="Full-Time"/>
    <x v="2"/>
    <x v="226"/>
    <x v="0"/>
    <s v="Onsite"/>
    <n v="95200"/>
    <n v="20"/>
    <n v="75.8"/>
    <n v="5"/>
    <n v="6"/>
    <n v="3"/>
    <n v="20"/>
    <n v="13"/>
    <s v="LinkedIn"/>
    <n v="7933"/>
    <n v="6"/>
    <s v="40-44"/>
    <s v="Excellent"/>
  </r>
  <r>
    <x v="238"/>
    <x v="139"/>
    <x v="1"/>
    <n v="38"/>
    <x v="1"/>
    <x v="5"/>
    <s v="Lead"/>
    <s v="Full-Time"/>
    <x v="6"/>
    <x v="227"/>
    <x v="0"/>
    <s v="Onsite"/>
    <n v="123700"/>
    <n v="14"/>
    <n v="93.2"/>
    <n v="8"/>
    <n v="3"/>
    <n v="2"/>
    <n v="26"/>
    <n v="11"/>
    <s v="Company Website"/>
    <n v="10308"/>
    <n v="0.8"/>
    <s v="35-39"/>
    <s v="Good"/>
  </r>
  <r>
    <x v="239"/>
    <x v="107"/>
    <x v="0"/>
    <n v="48"/>
    <x v="3"/>
    <x v="6"/>
    <s v="Junior"/>
    <s v="Full-Time"/>
    <x v="5"/>
    <x v="228"/>
    <x v="0"/>
    <s v="Hybrid"/>
    <n v="38600"/>
    <n v="24"/>
    <n v="85.5"/>
    <n v="7"/>
    <n v="15"/>
    <n v="1"/>
    <n v="7"/>
    <n v="24"/>
    <s v="Company Website"/>
    <n v="3217"/>
    <n v="1.5"/>
    <s v="45+"/>
    <s v="Average"/>
  </r>
  <r>
    <x v="240"/>
    <x v="53"/>
    <x v="1"/>
    <n v="37"/>
    <x v="8"/>
    <x v="2"/>
    <s v="Associate"/>
    <s v="Full-Time"/>
    <x v="1"/>
    <x v="229"/>
    <x v="1"/>
    <s v="Hybrid"/>
    <n v="46000"/>
    <n v="14"/>
    <n v="93.2"/>
    <n v="2"/>
    <n v="0"/>
    <n v="0"/>
    <n v="2"/>
    <n v="28"/>
    <s v="Company Website"/>
    <n v="3833"/>
    <n v="2.1"/>
    <s v="35-39"/>
    <s v="Poor"/>
  </r>
  <r>
    <x v="241"/>
    <x v="88"/>
    <x v="1"/>
    <n v="49"/>
    <x v="6"/>
    <x v="1"/>
    <s v="Junior"/>
    <s v="Full-Time"/>
    <x v="7"/>
    <x v="230"/>
    <x v="0"/>
    <s v="Remote"/>
    <n v="33400"/>
    <n v="27"/>
    <n v="93"/>
    <n v="1"/>
    <n v="13"/>
    <n v="1"/>
    <n v="4"/>
    <n v="7"/>
    <s v="Consultancy"/>
    <n v="2783"/>
    <n v="5.7"/>
    <s v="45+"/>
    <s v="Average"/>
  </r>
  <r>
    <x v="242"/>
    <x v="140"/>
    <x v="1"/>
    <n v="26"/>
    <x v="2"/>
    <x v="7"/>
    <s v="Senior"/>
    <s v="Full-Time"/>
    <x v="4"/>
    <x v="231"/>
    <x v="0"/>
    <s v="Hybrid"/>
    <n v="53600"/>
    <n v="7"/>
    <n v="98.7"/>
    <n v="5"/>
    <n v="13"/>
    <n v="3"/>
    <n v="16"/>
    <n v="29"/>
    <s v="Indeed"/>
    <n v="4467"/>
    <n v="1.6"/>
    <s v="25-29"/>
    <s v="Good"/>
  </r>
  <r>
    <x v="243"/>
    <x v="65"/>
    <x v="0"/>
    <n v="38"/>
    <x v="14"/>
    <x v="6"/>
    <s v="Manager"/>
    <s v="Full-Time"/>
    <x v="1"/>
    <x v="232"/>
    <x v="0"/>
    <s v="Hybrid"/>
    <n v="115200"/>
    <n v="14"/>
    <n v="90.5"/>
    <n v="1"/>
    <n v="7"/>
    <n v="0"/>
    <n v="25"/>
    <n v="9"/>
    <s v="Company Website"/>
    <n v="9600"/>
    <n v="2.2999999999999998"/>
    <s v="35-39"/>
    <s v="Poor"/>
  </r>
  <r>
    <x v="244"/>
    <x v="21"/>
    <x v="0"/>
    <n v="24"/>
    <x v="6"/>
    <x v="5"/>
    <s v="Senior"/>
    <s v="Full-Time"/>
    <x v="7"/>
    <x v="233"/>
    <x v="0"/>
    <s v="Remote"/>
    <n v="108600"/>
    <n v="0"/>
    <n v="93.5"/>
    <n v="2"/>
    <n v="2"/>
    <n v="4"/>
    <n v="19"/>
    <n v="21"/>
    <s v="Campus Hiring"/>
    <n v="9050"/>
    <n v="4"/>
    <s v="20-24"/>
    <s v="Average"/>
  </r>
  <r>
    <x v="245"/>
    <x v="141"/>
    <x v="1"/>
    <n v="42"/>
    <x v="2"/>
    <x v="5"/>
    <s v="Lead"/>
    <s v="Full-Time"/>
    <x v="0"/>
    <x v="234"/>
    <x v="0"/>
    <s v="Onsite"/>
    <n v="136000"/>
    <n v="20"/>
    <n v="91.7"/>
    <n v="2"/>
    <n v="5"/>
    <n v="1"/>
    <n v="29"/>
    <n v="7"/>
    <s v="Consultancy"/>
    <n v="11333"/>
    <n v="4"/>
    <s v="40-44"/>
    <s v="Good"/>
  </r>
  <r>
    <x v="246"/>
    <x v="68"/>
    <x v="1"/>
    <n v="32"/>
    <x v="14"/>
    <x v="7"/>
    <s v="Senior"/>
    <s v="Part-Time"/>
    <x v="0"/>
    <x v="235"/>
    <x v="0"/>
    <s v="Onsite"/>
    <n v="52200"/>
    <n v="13"/>
    <n v="95.4"/>
    <n v="0"/>
    <n v="11"/>
    <n v="1"/>
    <n v="29"/>
    <n v="20"/>
    <s v="LinkedIn"/>
    <n v="4350"/>
    <n v="0.5"/>
    <s v="30-34"/>
    <s v="Average"/>
  </r>
  <r>
    <x v="247"/>
    <x v="142"/>
    <x v="1"/>
    <n v="21"/>
    <x v="13"/>
    <x v="2"/>
    <s v="Associate"/>
    <s v="Full-Time"/>
    <x v="6"/>
    <x v="236"/>
    <x v="0"/>
    <s v="Hybrid"/>
    <n v="40000"/>
    <n v="0"/>
    <n v="73.2"/>
    <n v="4"/>
    <n v="1"/>
    <n v="4"/>
    <n v="4"/>
    <n v="5"/>
    <s v="Company Website"/>
    <n v="3333"/>
    <n v="7.5"/>
    <s v="20-24"/>
    <s v="Good"/>
  </r>
  <r>
    <x v="248"/>
    <x v="143"/>
    <x v="1"/>
    <n v="43"/>
    <x v="4"/>
    <x v="3"/>
    <s v="Associate"/>
    <s v="Full-Time"/>
    <x v="1"/>
    <x v="237"/>
    <x v="0"/>
    <s v="Onsite"/>
    <n v="71100"/>
    <n v="22"/>
    <n v="87.6"/>
    <n v="7"/>
    <n v="8"/>
    <n v="3"/>
    <n v="13"/>
    <n v="23"/>
    <s v="Consultancy"/>
    <n v="5925"/>
    <n v="0.3"/>
    <s v="40-44"/>
    <s v="Good"/>
  </r>
  <r>
    <x v="249"/>
    <x v="135"/>
    <x v="0"/>
    <n v="37"/>
    <x v="2"/>
    <x v="5"/>
    <s v="Junior"/>
    <s v="Part-Time"/>
    <x v="0"/>
    <x v="238"/>
    <x v="0"/>
    <s v="Onsite"/>
    <n v="40500"/>
    <n v="18"/>
    <n v="89.8"/>
    <n v="8"/>
    <n v="3"/>
    <n v="1"/>
    <n v="28"/>
    <n v="17"/>
    <s v="Campus Hiring"/>
    <n v="3375"/>
    <n v="6.9"/>
    <s v="35-39"/>
    <s v="Average"/>
  </r>
  <r>
    <x v="250"/>
    <x v="144"/>
    <x v="0"/>
    <n v="23"/>
    <x v="13"/>
    <x v="3"/>
    <s v="Intern"/>
    <s v="Full-Time"/>
    <x v="2"/>
    <x v="60"/>
    <x v="0"/>
    <s v="Onsite"/>
    <n v="26000"/>
    <n v="2"/>
    <n v="91.2"/>
    <n v="6"/>
    <n v="6"/>
    <n v="2"/>
    <n v="19"/>
    <n v="6"/>
    <s v="Consultancy"/>
    <n v="2167"/>
    <n v="0.4"/>
    <s v="20-24"/>
    <s v="Excellent"/>
  </r>
  <r>
    <x v="251"/>
    <x v="19"/>
    <x v="1"/>
    <n v="23"/>
    <x v="13"/>
    <x v="0"/>
    <s v="Senior"/>
    <s v="Full-Time"/>
    <x v="0"/>
    <x v="239"/>
    <x v="0"/>
    <s v="Hybrid"/>
    <n v="67900"/>
    <n v="1"/>
    <n v="84.9"/>
    <n v="4"/>
    <n v="14"/>
    <n v="2"/>
    <n v="27"/>
    <n v="17"/>
    <s v="Employee Referral"/>
    <n v="5658"/>
    <n v="8"/>
    <s v="20-24"/>
    <s v="Good"/>
  </r>
  <r>
    <x v="252"/>
    <x v="145"/>
    <x v="0"/>
    <n v="27"/>
    <x v="7"/>
    <x v="5"/>
    <s v="Associate"/>
    <s v="Full-Time"/>
    <x v="5"/>
    <x v="9"/>
    <x v="0"/>
    <s v="Hybrid"/>
    <n v="59100"/>
    <n v="5"/>
    <n v="92.5"/>
    <n v="7"/>
    <n v="8"/>
    <n v="0"/>
    <n v="13"/>
    <n v="30"/>
    <s v="LinkedIn"/>
    <n v="4925"/>
    <n v="2.1"/>
    <s v="25-29"/>
    <s v="Poor"/>
  </r>
  <r>
    <x v="253"/>
    <x v="146"/>
    <x v="1"/>
    <n v="30"/>
    <x v="3"/>
    <x v="3"/>
    <s v="Senior"/>
    <s v="Part-Time"/>
    <x v="0"/>
    <x v="240"/>
    <x v="0"/>
    <s v="Onsite"/>
    <n v="100200"/>
    <n v="6"/>
    <n v="95.4"/>
    <n v="8"/>
    <n v="12"/>
    <n v="4"/>
    <n v="8"/>
    <n v="19"/>
    <s v="Indeed"/>
    <n v="8350"/>
    <n v="8.1"/>
    <s v="30-34"/>
    <s v="Average"/>
  </r>
  <r>
    <x v="254"/>
    <x v="147"/>
    <x v="0"/>
    <n v="20"/>
    <x v="13"/>
    <x v="0"/>
    <s v="Senior"/>
    <s v="Full-Time"/>
    <x v="0"/>
    <x v="241"/>
    <x v="0"/>
    <s v="Onsite"/>
    <n v="78500"/>
    <n v="0"/>
    <n v="87.5"/>
    <n v="8"/>
    <n v="10"/>
    <n v="3"/>
    <n v="7"/>
    <n v="26"/>
    <s v="Campus Hiring"/>
    <n v="6542"/>
    <n v="2.4"/>
    <s v="20-24"/>
    <s v="Good"/>
  </r>
  <r>
    <x v="255"/>
    <x v="145"/>
    <x v="1"/>
    <n v="47"/>
    <x v="6"/>
    <x v="2"/>
    <s v="Associate"/>
    <s v="Full-Time"/>
    <x v="2"/>
    <x v="242"/>
    <x v="0"/>
    <s v="Onsite"/>
    <n v="54800"/>
    <n v="27"/>
    <n v="86.1"/>
    <n v="8"/>
    <n v="2"/>
    <n v="2"/>
    <n v="10"/>
    <n v="14"/>
    <s v="Indeed"/>
    <n v="4567"/>
    <n v="7.8"/>
    <s v="45+"/>
    <s v="Good"/>
  </r>
  <r>
    <x v="256"/>
    <x v="148"/>
    <x v="0"/>
    <n v="28"/>
    <x v="4"/>
    <x v="5"/>
    <s v="Associate"/>
    <s v="Full-Time"/>
    <x v="7"/>
    <x v="243"/>
    <x v="0"/>
    <s v="Hybrid"/>
    <n v="60200"/>
    <n v="7"/>
    <n v="93"/>
    <n v="1"/>
    <n v="12"/>
    <n v="0"/>
    <n v="27"/>
    <n v="14"/>
    <s v="Campus Hiring"/>
    <n v="5017"/>
    <n v="8.3000000000000007"/>
    <s v="25-29"/>
    <s v="Good"/>
  </r>
  <r>
    <x v="257"/>
    <x v="53"/>
    <x v="0"/>
    <n v="25"/>
    <x v="5"/>
    <x v="2"/>
    <s v="Associate"/>
    <s v="Full-Time"/>
    <x v="5"/>
    <x v="244"/>
    <x v="0"/>
    <s v="Onsite"/>
    <n v="47500"/>
    <n v="4"/>
    <n v="91.8"/>
    <n v="2"/>
    <n v="2"/>
    <n v="0"/>
    <n v="28"/>
    <n v="19"/>
    <s v="Consultancy"/>
    <n v="3958"/>
    <n v="0.2"/>
    <s v="25-29"/>
    <s v="Average"/>
  </r>
  <r>
    <x v="258"/>
    <x v="149"/>
    <x v="1"/>
    <n v="23"/>
    <x v="3"/>
    <x v="3"/>
    <s v="Associate"/>
    <s v="Full-Time"/>
    <x v="0"/>
    <x v="245"/>
    <x v="0"/>
    <s v="Hybrid"/>
    <n v="72700"/>
    <n v="4"/>
    <n v="92.2"/>
    <n v="1"/>
    <n v="2"/>
    <n v="1"/>
    <n v="17"/>
    <n v="9"/>
    <s v="Consultancy"/>
    <n v="6058"/>
    <n v="2.6"/>
    <s v="20-24"/>
    <s v="Good"/>
  </r>
  <r>
    <x v="259"/>
    <x v="150"/>
    <x v="0"/>
    <n v="25"/>
    <x v="14"/>
    <x v="4"/>
    <s v="Lead"/>
    <s v="Full-Time"/>
    <x v="0"/>
    <x v="246"/>
    <x v="0"/>
    <s v="Onsite"/>
    <n v="93500"/>
    <n v="6"/>
    <n v="83.7"/>
    <n v="4"/>
    <n v="13"/>
    <n v="3"/>
    <n v="8"/>
    <n v="30"/>
    <s v="Consultancy"/>
    <n v="7792"/>
    <n v="2.5"/>
    <s v="25-29"/>
    <s v="Average"/>
  </r>
  <r>
    <x v="260"/>
    <x v="151"/>
    <x v="0"/>
    <n v="32"/>
    <x v="13"/>
    <x v="2"/>
    <s v="Associate"/>
    <s v="Full-Time"/>
    <x v="3"/>
    <x v="247"/>
    <x v="0"/>
    <s v="Onsite"/>
    <n v="51300"/>
    <n v="10"/>
    <n v="100"/>
    <n v="2"/>
    <n v="14"/>
    <n v="2"/>
    <n v="1"/>
    <n v="22"/>
    <s v="Company Website"/>
    <n v="4275"/>
    <n v="0.8"/>
    <s v="30-34"/>
    <s v="Good"/>
  </r>
  <r>
    <x v="261"/>
    <x v="107"/>
    <x v="0"/>
    <n v="48"/>
    <x v="3"/>
    <x v="5"/>
    <s v="Senior"/>
    <s v="Full-Time"/>
    <x v="4"/>
    <x v="248"/>
    <x v="0"/>
    <s v="Hybrid"/>
    <n v="86000"/>
    <n v="25"/>
    <n v="78.7"/>
    <n v="8"/>
    <n v="4"/>
    <n v="4"/>
    <n v="21"/>
    <n v="8"/>
    <s v="Consultancy"/>
    <n v="7167"/>
    <n v="0.5"/>
    <s v="45+"/>
    <s v="Good"/>
  </r>
  <r>
    <x v="262"/>
    <x v="152"/>
    <x v="0"/>
    <n v="41"/>
    <x v="7"/>
    <x v="2"/>
    <s v="Lead"/>
    <s v="Full-Time"/>
    <x v="4"/>
    <x v="249"/>
    <x v="0"/>
    <s v="Remote"/>
    <n v="96000"/>
    <n v="19"/>
    <n v="95.3"/>
    <n v="1"/>
    <n v="9"/>
    <n v="1"/>
    <n v="1"/>
    <n v="23"/>
    <s v="Indeed"/>
    <n v="8000"/>
    <n v="8.1999999999999993"/>
    <s v="40-44"/>
    <s v="Good"/>
  </r>
  <r>
    <x v="263"/>
    <x v="153"/>
    <x v="1"/>
    <n v="48"/>
    <x v="12"/>
    <x v="4"/>
    <s v="Lead"/>
    <s v="Full-Time"/>
    <x v="3"/>
    <x v="250"/>
    <x v="0"/>
    <s v="Onsite"/>
    <n v="80300"/>
    <n v="24"/>
    <n v="87.4"/>
    <n v="4"/>
    <n v="5"/>
    <n v="2"/>
    <n v="5"/>
    <n v="28"/>
    <s v="Indeed"/>
    <n v="6692"/>
    <n v="8"/>
    <s v="45+"/>
    <s v="Good"/>
  </r>
  <r>
    <x v="264"/>
    <x v="99"/>
    <x v="1"/>
    <n v="49"/>
    <x v="13"/>
    <x v="0"/>
    <s v="Lead"/>
    <s v="Full-Time"/>
    <x v="4"/>
    <x v="251"/>
    <x v="0"/>
    <s v="Onsite"/>
    <n v="98600"/>
    <n v="26"/>
    <n v="100"/>
    <n v="4"/>
    <n v="2"/>
    <n v="0"/>
    <n v="5"/>
    <n v="16"/>
    <s v="LinkedIn"/>
    <n v="8217"/>
    <n v="4.5"/>
    <s v="45+"/>
    <s v="Excellent"/>
  </r>
  <r>
    <x v="265"/>
    <x v="73"/>
    <x v="1"/>
    <n v="28"/>
    <x v="1"/>
    <x v="4"/>
    <s v="Associate"/>
    <s v="Full-Time"/>
    <x v="5"/>
    <x v="252"/>
    <x v="0"/>
    <s v="Onsite"/>
    <n v="47300"/>
    <n v="4"/>
    <n v="93.2"/>
    <n v="4"/>
    <n v="9"/>
    <n v="4"/>
    <n v="10"/>
    <n v="3"/>
    <s v="Consultancy"/>
    <n v="3942"/>
    <n v="7.7"/>
    <s v="25-29"/>
    <s v="Average"/>
  </r>
  <r>
    <x v="266"/>
    <x v="17"/>
    <x v="0"/>
    <n v="46"/>
    <x v="3"/>
    <x v="5"/>
    <s v="Intern"/>
    <s v="Full-Time"/>
    <x v="7"/>
    <x v="20"/>
    <x v="0"/>
    <s v="Hybrid"/>
    <n v="30700"/>
    <n v="25"/>
    <n v="96.3"/>
    <n v="0"/>
    <n v="15"/>
    <n v="0"/>
    <n v="22"/>
    <n v="5"/>
    <s v="Company Website"/>
    <n v="2558"/>
    <n v="1.1000000000000001"/>
    <s v="45+"/>
    <s v="Good"/>
  </r>
  <r>
    <x v="267"/>
    <x v="154"/>
    <x v="1"/>
    <n v="33"/>
    <x v="11"/>
    <x v="3"/>
    <s v="Associate"/>
    <s v="Full-Time"/>
    <x v="0"/>
    <x v="7"/>
    <x v="0"/>
    <s v="Hybrid"/>
    <n v="67600"/>
    <n v="11"/>
    <n v="93.5"/>
    <n v="6"/>
    <n v="8"/>
    <n v="1"/>
    <n v="9"/>
    <n v="17"/>
    <s v="Consultancy"/>
    <n v="5633"/>
    <n v="6.3"/>
    <s v="30-34"/>
    <s v="Good"/>
  </r>
  <r>
    <x v="268"/>
    <x v="155"/>
    <x v="1"/>
    <n v="31"/>
    <x v="11"/>
    <x v="1"/>
    <s v="Associate"/>
    <s v="Full-Time"/>
    <x v="0"/>
    <x v="253"/>
    <x v="0"/>
    <s v="Hybrid"/>
    <n v="51300"/>
    <n v="12"/>
    <n v="78.8"/>
    <n v="1"/>
    <n v="0"/>
    <n v="4"/>
    <n v="12"/>
    <n v="13"/>
    <s v="Campus Hiring"/>
    <n v="4275"/>
    <n v="4.2"/>
    <s v="30-34"/>
    <s v="Average"/>
  </r>
  <r>
    <x v="269"/>
    <x v="156"/>
    <x v="0"/>
    <n v="23"/>
    <x v="6"/>
    <x v="0"/>
    <s v="Lead"/>
    <s v="Full-Time"/>
    <x v="7"/>
    <x v="254"/>
    <x v="0"/>
    <s v="Onsite"/>
    <n v="83900"/>
    <n v="1"/>
    <n v="91.6"/>
    <n v="1"/>
    <n v="6"/>
    <n v="4"/>
    <n v="20"/>
    <n v="17"/>
    <s v="Consultancy"/>
    <n v="6992"/>
    <n v="3.6"/>
    <s v="20-24"/>
    <s v="Excellent"/>
  </r>
  <r>
    <x v="270"/>
    <x v="157"/>
    <x v="0"/>
    <n v="27"/>
    <x v="13"/>
    <x v="1"/>
    <s v="Senior"/>
    <s v="Full-Time"/>
    <x v="7"/>
    <x v="255"/>
    <x v="0"/>
    <s v="Hybrid"/>
    <n v="69700"/>
    <n v="7"/>
    <n v="92.8"/>
    <n v="8"/>
    <n v="10"/>
    <n v="1"/>
    <n v="27"/>
    <n v="26"/>
    <s v="Company Website"/>
    <n v="5808"/>
    <n v="1.6"/>
    <s v="25-29"/>
    <s v="Average"/>
  </r>
  <r>
    <x v="271"/>
    <x v="12"/>
    <x v="0"/>
    <n v="36"/>
    <x v="1"/>
    <x v="4"/>
    <s v="Junior"/>
    <s v="Full-Time"/>
    <x v="6"/>
    <x v="256"/>
    <x v="0"/>
    <s v="Onsite"/>
    <n v="33700"/>
    <n v="13"/>
    <n v="93.4"/>
    <n v="0"/>
    <n v="8"/>
    <n v="0"/>
    <n v="18"/>
    <n v="24"/>
    <s v="Employee Referral"/>
    <n v="2808"/>
    <n v="2.7"/>
    <s v="35-39"/>
    <s v="Good"/>
  </r>
  <r>
    <x v="272"/>
    <x v="25"/>
    <x v="0"/>
    <n v="41"/>
    <x v="4"/>
    <x v="7"/>
    <s v="Junior"/>
    <s v="Full-Time"/>
    <x v="3"/>
    <x v="257"/>
    <x v="0"/>
    <s v="Onsite"/>
    <n v="23900"/>
    <n v="20"/>
    <n v="96.9"/>
    <n v="8"/>
    <n v="4"/>
    <n v="4"/>
    <n v="27"/>
    <n v="18"/>
    <s v="Company Website"/>
    <n v="1992"/>
    <n v="4.3"/>
    <s v="40-44"/>
    <s v="Good"/>
  </r>
  <r>
    <x v="273"/>
    <x v="133"/>
    <x v="1"/>
    <n v="24"/>
    <x v="8"/>
    <x v="3"/>
    <s v="Junior"/>
    <s v="Intern"/>
    <x v="6"/>
    <x v="258"/>
    <x v="0"/>
    <s v="Onsite"/>
    <n v="41400"/>
    <n v="4"/>
    <n v="92.1"/>
    <n v="5"/>
    <n v="2"/>
    <n v="3"/>
    <n v="30"/>
    <n v="30"/>
    <s v="Company Website"/>
    <n v="3450"/>
    <n v="2.2000000000000002"/>
    <s v="20-24"/>
    <s v="Average"/>
  </r>
  <r>
    <x v="274"/>
    <x v="136"/>
    <x v="1"/>
    <n v="22"/>
    <x v="8"/>
    <x v="1"/>
    <s v="Senior"/>
    <s v="Full-Time"/>
    <x v="4"/>
    <x v="259"/>
    <x v="0"/>
    <s v="Onsite"/>
    <n v="62000"/>
    <n v="2"/>
    <n v="95"/>
    <n v="4"/>
    <n v="12"/>
    <n v="3"/>
    <n v="1"/>
    <n v="30"/>
    <s v="LinkedIn"/>
    <n v="5167"/>
    <n v="2.6"/>
    <s v="20-24"/>
    <s v="Good"/>
  </r>
  <r>
    <x v="275"/>
    <x v="37"/>
    <x v="1"/>
    <n v="23"/>
    <x v="9"/>
    <x v="3"/>
    <s v="Senior"/>
    <s v="Full-Time"/>
    <x v="4"/>
    <x v="260"/>
    <x v="0"/>
    <s v="Remote"/>
    <n v="88800"/>
    <n v="1"/>
    <n v="87.2"/>
    <n v="4"/>
    <n v="14"/>
    <n v="0"/>
    <n v="28"/>
    <n v="21"/>
    <s v="Employee Referral"/>
    <n v="7400"/>
    <n v="3.8"/>
    <s v="20-24"/>
    <s v="Excellent"/>
  </r>
  <r>
    <x v="276"/>
    <x v="51"/>
    <x v="1"/>
    <n v="27"/>
    <x v="8"/>
    <x v="6"/>
    <s v="Lead"/>
    <s v="Full-Time"/>
    <x v="6"/>
    <x v="139"/>
    <x v="2"/>
    <s v="Remote"/>
    <n v="108700"/>
    <n v="4"/>
    <n v="82.2"/>
    <n v="4"/>
    <n v="9"/>
    <n v="4"/>
    <n v="19"/>
    <n v="11"/>
    <s v="Employee Referral"/>
    <n v="9058"/>
    <n v="6.9"/>
    <s v="25-29"/>
    <s v="Excellent"/>
  </r>
  <r>
    <x v="277"/>
    <x v="12"/>
    <x v="1"/>
    <n v="35"/>
    <x v="4"/>
    <x v="5"/>
    <s v="Manager"/>
    <s v="Contract"/>
    <x v="2"/>
    <x v="261"/>
    <x v="0"/>
    <s v="Onsite"/>
    <n v="144200"/>
    <n v="13"/>
    <n v="86.4"/>
    <n v="5"/>
    <n v="3"/>
    <n v="0"/>
    <n v="28"/>
    <n v="16"/>
    <s v="Consultancy"/>
    <n v="12017"/>
    <n v="0.5"/>
    <s v="35-39"/>
    <s v="Good"/>
  </r>
  <r>
    <x v="278"/>
    <x v="66"/>
    <x v="0"/>
    <n v="30"/>
    <x v="7"/>
    <x v="2"/>
    <s v="Junior"/>
    <s v="Intern"/>
    <x v="6"/>
    <x v="262"/>
    <x v="0"/>
    <s v="Hybrid"/>
    <n v="33700"/>
    <n v="7"/>
    <n v="87.3"/>
    <n v="6"/>
    <n v="7"/>
    <n v="3"/>
    <n v="13"/>
    <n v="20"/>
    <s v="Company Website"/>
    <n v="2808"/>
    <n v="7.6"/>
    <s v="30-34"/>
    <s v="Good"/>
  </r>
  <r>
    <x v="279"/>
    <x v="158"/>
    <x v="1"/>
    <n v="46"/>
    <x v="3"/>
    <x v="6"/>
    <s v="Associate"/>
    <s v="Full-Time"/>
    <x v="7"/>
    <x v="263"/>
    <x v="0"/>
    <s v="Hybrid"/>
    <n v="54800"/>
    <n v="26"/>
    <n v="86.4"/>
    <n v="8"/>
    <n v="11"/>
    <n v="4"/>
    <n v="27"/>
    <n v="15"/>
    <s v="Consultancy"/>
    <n v="4567"/>
    <n v="5.8"/>
    <s v="45+"/>
    <s v="Good"/>
  </r>
  <r>
    <x v="280"/>
    <x v="94"/>
    <x v="1"/>
    <n v="45"/>
    <x v="14"/>
    <x v="2"/>
    <s v="Junior"/>
    <s v="Full-Time"/>
    <x v="3"/>
    <x v="264"/>
    <x v="0"/>
    <s v="Hybrid"/>
    <n v="28100"/>
    <n v="21"/>
    <n v="84.9"/>
    <n v="1"/>
    <n v="13"/>
    <n v="4"/>
    <n v="0"/>
    <n v="2"/>
    <s v="Naukri"/>
    <n v="2342"/>
    <n v="1.9"/>
    <s v="45+"/>
    <s v="Excellent"/>
  </r>
  <r>
    <x v="281"/>
    <x v="159"/>
    <x v="0"/>
    <n v="46"/>
    <x v="0"/>
    <x v="3"/>
    <s v="Associate"/>
    <s v="Full-Time"/>
    <x v="6"/>
    <x v="265"/>
    <x v="0"/>
    <s v="Hybrid"/>
    <n v="71100"/>
    <n v="25"/>
    <n v="86.2"/>
    <n v="3"/>
    <n v="14"/>
    <n v="0"/>
    <n v="26"/>
    <n v="22"/>
    <s v="Employee Referral"/>
    <n v="5925"/>
    <n v="4.9000000000000004"/>
    <s v="45+"/>
    <s v="Good"/>
  </r>
  <r>
    <x v="282"/>
    <x v="135"/>
    <x v="0"/>
    <n v="49"/>
    <x v="14"/>
    <x v="1"/>
    <s v="Lead"/>
    <s v="Full-Time"/>
    <x v="4"/>
    <x v="266"/>
    <x v="0"/>
    <s v="Onsite"/>
    <n v="86800"/>
    <n v="29"/>
    <n v="88.8"/>
    <n v="4"/>
    <n v="2"/>
    <n v="4"/>
    <n v="11"/>
    <n v="26"/>
    <s v="Company Website"/>
    <n v="7233"/>
    <n v="7.3"/>
    <s v="45+"/>
    <s v="Poor"/>
  </r>
  <r>
    <x v="283"/>
    <x v="3"/>
    <x v="1"/>
    <n v="50"/>
    <x v="14"/>
    <x v="3"/>
    <s v="Senior"/>
    <s v="Full-Time"/>
    <x v="1"/>
    <x v="267"/>
    <x v="0"/>
    <s v="Hybrid"/>
    <n v="102200"/>
    <n v="28"/>
    <n v="85.9"/>
    <n v="5"/>
    <n v="14"/>
    <n v="0"/>
    <n v="17"/>
    <n v="5"/>
    <s v="Company Website"/>
    <n v="8517"/>
    <n v="3.1"/>
    <s v="45+"/>
    <s v="Average"/>
  </r>
  <r>
    <x v="284"/>
    <x v="51"/>
    <x v="0"/>
    <n v="21"/>
    <x v="3"/>
    <x v="7"/>
    <s v="Senior"/>
    <s v="Contract"/>
    <x v="2"/>
    <x v="268"/>
    <x v="0"/>
    <s v="Hybrid"/>
    <n v="45000"/>
    <n v="0"/>
    <n v="100"/>
    <n v="6"/>
    <n v="4"/>
    <n v="2"/>
    <n v="23"/>
    <n v="3"/>
    <s v="LinkedIn"/>
    <n v="3750"/>
    <n v="6"/>
    <s v="20-24"/>
    <s v="Good"/>
  </r>
  <r>
    <x v="285"/>
    <x v="5"/>
    <x v="0"/>
    <n v="27"/>
    <x v="8"/>
    <x v="1"/>
    <s v="Associate"/>
    <s v="Full-Time"/>
    <x v="3"/>
    <x v="269"/>
    <x v="1"/>
    <s v="Remote"/>
    <n v="43100"/>
    <n v="7"/>
    <n v="84"/>
    <n v="2"/>
    <n v="11"/>
    <n v="2"/>
    <n v="15"/>
    <n v="24"/>
    <s v="Consultancy"/>
    <n v="3592"/>
    <n v="8.5"/>
    <s v="25-29"/>
    <s v="Good"/>
  </r>
  <r>
    <x v="286"/>
    <x v="160"/>
    <x v="0"/>
    <n v="26"/>
    <x v="9"/>
    <x v="2"/>
    <s v="Intern"/>
    <s v="Full-Time"/>
    <x v="6"/>
    <x v="270"/>
    <x v="0"/>
    <s v="Hybrid"/>
    <n v="20200"/>
    <n v="3"/>
    <n v="93.2"/>
    <n v="2"/>
    <n v="2"/>
    <n v="3"/>
    <n v="4"/>
    <n v="29"/>
    <s v="Campus Hiring"/>
    <n v="1683"/>
    <n v="0.5"/>
    <s v="25-29"/>
    <s v="Good"/>
  </r>
  <r>
    <x v="287"/>
    <x v="22"/>
    <x v="1"/>
    <n v="20"/>
    <x v="1"/>
    <x v="4"/>
    <s v="Junior"/>
    <s v="Full-Time"/>
    <x v="7"/>
    <x v="271"/>
    <x v="0"/>
    <s v="Onsite"/>
    <n v="30400"/>
    <n v="0"/>
    <n v="88.3"/>
    <n v="8"/>
    <n v="14"/>
    <n v="3"/>
    <n v="20"/>
    <n v="9"/>
    <s v="Employee Referral"/>
    <n v="2533"/>
    <n v="1.3"/>
    <s v="20-24"/>
    <s v="Good"/>
  </r>
  <r>
    <x v="288"/>
    <x v="161"/>
    <x v="1"/>
    <n v="48"/>
    <x v="3"/>
    <x v="3"/>
    <s v="Associate"/>
    <s v="Full-Time"/>
    <x v="5"/>
    <x v="272"/>
    <x v="0"/>
    <s v="Remote"/>
    <n v="70000"/>
    <n v="28"/>
    <n v="93.7"/>
    <n v="8"/>
    <n v="13"/>
    <n v="1"/>
    <n v="18"/>
    <n v="28"/>
    <s v="Consultancy"/>
    <n v="5833"/>
    <n v="1.6"/>
    <s v="45+"/>
    <s v="Average"/>
  </r>
  <r>
    <x v="289"/>
    <x v="80"/>
    <x v="1"/>
    <n v="21"/>
    <x v="9"/>
    <x v="2"/>
    <s v="Senior"/>
    <s v="Full-Time"/>
    <x v="1"/>
    <x v="273"/>
    <x v="0"/>
    <s v="Hybrid"/>
    <n v="58200"/>
    <n v="0"/>
    <n v="89.8"/>
    <n v="1"/>
    <n v="14"/>
    <n v="2"/>
    <n v="13"/>
    <n v="3"/>
    <s v="Employee Referral"/>
    <n v="4850"/>
    <n v="7.2"/>
    <s v="20-24"/>
    <s v="Good"/>
  </r>
  <r>
    <x v="290"/>
    <x v="34"/>
    <x v="1"/>
    <n v="42"/>
    <x v="11"/>
    <x v="5"/>
    <s v="Junior"/>
    <s v="Full-Time"/>
    <x v="4"/>
    <x v="274"/>
    <x v="0"/>
    <s v="Remote"/>
    <n v="48300"/>
    <n v="19"/>
    <n v="95.3"/>
    <n v="3"/>
    <n v="11"/>
    <n v="2"/>
    <n v="10"/>
    <n v="12"/>
    <s v="Naukri"/>
    <n v="4025"/>
    <n v="7.5"/>
    <s v="40-44"/>
    <s v="Good"/>
  </r>
  <r>
    <x v="291"/>
    <x v="162"/>
    <x v="1"/>
    <n v="46"/>
    <x v="3"/>
    <x v="4"/>
    <s v="Senior"/>
    <s v="Full-Time"/>
    <x v="1"/>
    <x v="275"/>
    <x v="1"/>
    <s v="Remote"/>
    <n v="58300"/>
    <n v="23"/>
    <n v="89"/>
    <n v="3"/>
    <n v="14"/>
    <n v="1"/>
    <n v="16"/>
    <n v="28"/>
    <s v="Company Website"/>
    <n v="4858"/>
    <n v="6.2"/>
    <s v="45+"/>
    <s v="Average"/>
  </r>
  <r>
    <x v="292"/>
    <x v="146"/>
    <x v="0"/>
    <n v="32"/>
    <x v="8"/>
    <x v="2"/>
    <s v="Lead"/>
    <s v="Full-Time"/>
    <x v="7"/>
    <x v="276"/>
    <x v="0"/>
    <s v="Onsite"/>
    <n v="97500"/>
    <n v="11"/>
    <n v="91.4"/>
    <n v="4"/>
    <n v="5"/>
    <n v="0"/>
    <n v="21"/>
    <n v="11"/>
    <s v="Consultancy"/>
    <n v="8125"/>
    <n v="6.3"/>
    <s v="30-34"/>
    <s v="Good"/>
  </r>
  <r>
    <x v="293"/>
    <x v="78"/>
    <x v="0"/>
    <n v="30"/>
    <x v="11"/>
    <x v="5"/>
    <s v="Associate"/>
    <s v="Full-Time"/>
    <x v="6"/>
    <x v="277"/>
    <x v="0"/>
    <s v="Hybrid"/>
    <n v="72000"/>
    <n v="8"/>
    <n v="80"/>
    <n v="1"/>
    <n v="11"/>
    <n v="2"/>
    <n v="14"/>
    <n v="12"/>
    <s v="Employee Referral"/>
    <n v="6000"/>
    <n v="6.9"/>
    <s v="30-34"/>
    <s v="Average"/>
  </r>
  <r>
    <x v="294"/>
    <x v="132"/>
    <x v="1"/>
    <n v="22"/>
    <x v="9"/>
    <x v="5"/>
    <s v="Senior"/>
    <s v="Part-Time"/>
    <x v="7"/>
    <x v="278"/>
    <x v="0"/>
    <s v="Hybrid"/>
    <n v="95700"/>
    <n v="0"/>
    <n v="84.1"/>
    <n v="3"/>
    <n v="0"/>
    <n v="2"/>
    <n v="15"/>
    <n v="10"/>
    <s v="Consultancy"/>
    <n v="7975"/>
    <n v="0.4"/>
    <s v="20-24"/>
    <s v="Excellent"/>
  </r>
  <r>
    <x v="295"/>
    <x v="163"/>
    <x v="1"/>
    <n v="21"/>
    <x v="3"/>
    <x v="1"/>
    <s v="Associate"/>
    <s v="Full-Time"/>
    <x v="1"/>
    <x v="269"/>
    <x v="0"/>
    <s v="Onsite"/>
    <n v="44200"/>
    <n v="1"/>
    <n v="83.2"/>
    <n v="2"/>
    <n v="6"/>
    <n v="3"/>
    <n v="30"/>
    <n v="30"/>
    <s v="Campus Hiring"/>
    <n v="3683"/>
    <n v="8.5"/>
    <s v="20-24"/>
    <s v="Good"/>
  </r>
  <r>
    <x v="296"/>
    <x v="164"/>
    <x v="0"/>
    <n v="35"/>
    <x v="1"/>
    <x v="4"/>
    <s v="Senior"/>
    <s v="Full-Time"/>
    <x v="2"/>
    <x v="279"/>
    <x v="0"/>
    <s v="Onsite"/>
    <n v="69100"/>
    <n v="12"/>
    <n v="98.6"/>
    <n v="5"/>
    <n v="14"/>
    <n v="1"/>
    <n v="13"/>
    <n v="27"/>
    <s v="Indeed"/>
    <n v="5758"/>
    <n v="1.3"/>
    <s v="35-39"/>
    <s v="Good"/>
  </r>
  <r>
    <x v="297"/>
    <x v="165"/>
    <x v="0"/>
    <n v="20"/>
    <x v="12"/>
    <x v="1"/>
    <s v="Senior"/>
    <s v="Full-Time"/>
    <x v="1"/>
    <x v="280"/>
    <x v="0"/>
    <s v="Hybrid"/>
    <n v="62700"/>
    <n v="0"/>
    <n v="95.7"/>
    <n v="3"/>
    <n v="14"/>
    <n v="1"/>
    <n v="27"/>
    <n v="25"/>
    <s v="Employee Referral"/>
    <n v="5225"/>
    <n v="6.4"/>
    <s v="20-24"/>
    <s v="Average"/>
  </r>
  <r>
    <x v="298"/>
    <x v="40"/>
    <x v="0"/>
    <n v="26"/>
    <x v="2"/>
    <x v="0"/>
    <s v="Manager"/>
    <s v="Full-Time"/>
    <x v="7"/>
    <x v="69"/>
    <x v="1"/>
    <s v="Remote"/>
    <n v="111500"/>
    <n v="7"/>
    <n v="92"/>
    <n v="0"/>
    <n v="10"/>
    <n v="3"/>
    <n v="16"/>
    <n v="5"/>
    <s v="Company Website"/>
    <n v="9292"/>
    <n v="2"/>
    <s v="25-29"/>
    <s v="Average"/>
  </r>
  <r>
    <x v="299"/>
    <x v="127"/>
    <x v="1"/>
    <n v="22"/>
    <x v="4"/>
    <x v="5"/>
    <s v="Associate"/>
    <s v="Intern"/>
    <x v="6"/>
    <x v="281"/>
    <x v="0"/>
    <s v="Hybrid"/>
    <n v="68700"/>
    <n v="3"/>
    <n v="96.2"/>
    <n v="2"/>
    <n v="13"/>
    <n v="2"/>
    <n v="3"/>
    <n v="29"/>
    <s v="Indeed"/>
    <n v="5725"/>
    <n v="3.6"/>
    <s v="20-24"/>
    <s v="Good"/>
  </r>
  <r>
    <x v="300"/>
    <x v="98"/>
    <x v="0"/>
    <n v="41"/>
    <x v="9"/>
    <x v="2"/>
    <s v="Associate"/>
    <s v="Contract"/>
    <x v="2"/>
    <x v="282"/>
    <x v="0"/>
    <s v="Onsite"/>
    <n v="55300"/>
    <n v="20"/>
    <n v="85.9"/>
    <n v="7"/>
    <n v="5"/>
    <n v="4"/>
    <n v="13"/>
    <n v="30"/>
    <s v="Naukri"/>
    <n v="4608"/>
    <n v="5"/>
    <s v="40-44"/>
    <s v="Good"/>
  </r>
  <r>
    <x v="301"/>
    <x v="128"/>
    <x v="0"/>
    <n v="35"/>
    <x v="7"/>
    <x v="6"/>
    <s v="Junior"/>
    <s v="Full-Time"/>
    <x v="4"/>
    <x v="283"/>
    <x v="0"/>
    <s v="Onsite"/>
    <n v="40000"/>
    <n v="12"/>
    <n v="98.4"/>
    <n v="2"/>
    <n v="11"/>
    <n v="1"/>
    <n v="3"/>
    <n v="5"/>
    <s v="Indeed"/>
    <n v="3333"/>
    <n v="3.2"/>
    <s v="35-39"/>
    <s v="Good"/>
  </r>
  <r>
    <x v="302"/>
    <x v="60"/>
    <x v="1"/>
    <n v="45"/>
    <x v="11"/>
    <x v="0"/>
    <s v="Junior"/>
    <s v="Full-Time"/>
    <x v="3"/>
    <x v="284"/>
    <x v="0"/>
    <s v="Hybrid"/>
    <n v="38100"/>
    <n v="25"/>
    <n v="91.5"/>
    <n v="6"/>
    <n v="5"/>
    <n v="2"/>
    <n v="26"/>
    <n v="22"/>
    <s v="LinkedIn"/>
    <n v="3175"/>
    <n v="0.2"/>
    <s v="45+"/>
    <s v="Good"/>
  </r>
  <r>
    <x v="303"/>
    <x v="135"/>
    <x v="0"/>
    <n v="43"/>
    <x v="9"/>
    <x v="4"/>
    <s v="Senior"/>
    <s v="Full-Time"/>
    <x v="6"/>
    <x v="34"/>
    <x v="1"/>
    <s v="Onsite"/>
    <n v="67100"/>
    <n v="21"/>
    <n v="89.8"/>
    <n v="1"/>
    <n v="2"/>
    <n v="0"/>
    <n v="2"/>
    <n v="2"/>
    <s v="Indeed"/>
    <n v="5592"/>
    <n v="3.2"/>
    <s v="40-44"/>
    <s v="Average"/>
  </r>
  <r>
    <x v="304"/>
    <x v="4"/>
    <x v="0"/>
    <n v="25"/>
    <x v="12"/>
    <x v="2"/>
    <s v="Lead"/>
    <s v="Intern"/>
    <x v="0"/>
    <x v="285"/>
    <x v="0"/>
    <s v="Hybrid"/>
    <n v="102600"/>
    <n v="2"/>
    <n v="96.1"/>
    <n v="4"/>
    <n v="15"/>
    <n v="1"/>
    <n v="3"/>
    <n v="24"/>
    <s v="Consultancy"/>
    <n v="8550"/>
    <n v="7.9"/>
    <s v="25-29"/>
    <s v="Good"/>
  </r>
  <r>
    <x v="305"/>
    <x v="119"/>
    <x v="1"/>
    <n v="33"/>
    <x v="7"/>
    <x v="5"/>
    <s v="Associate"/>
    <s v="Full-Time"/>
    <x v="0"/>
    <x v="286"/>
    <x v="0"/>
    <s v="Hybrid"/>
    <n v="67000"/>
    <n v="12"/>
    <n v="95.8"/>
    <n v="6"/>
    <n v="0"/>
    <n v="3"/>
    <n v="29"/>
    <n v="29"/>
    <s v="Indeed"/>
    <n v="5583"/>
    <n v="8"/>
    <s v="30-34"/>
    <s v="Good"/>
  </r>
  <r>
    <x v="306"/>
    <x v="74"/>
    <x v="1"/>
    <n v="42"/>
    <x v="5"/>
    <x v="5"/>
    <s v="Junior"/>
    <s v="Full-Time"/>
    <x v="6"/>
    <x v="287"/>
    <x v="0"/>
    <s v="Hybrid"/>
    <n v="45000"/>
    <n v="18"/>
    <n v="83.9"/>
    <n v="0"/>
    <n v="15"/>
    <n v="1"/>
    <n v="21"/>
    <n v="5"/>
    <s v="Indeed"/>
    <n v="3750"/>
    <n v="5.4"/>
    <s v="40-44"/>
    <s v="Good"/>
  </r>
  <r>
    <x v="307"/>
    <x v="166"/>
    <x v="0"/>
    <n v="30"/>
    <x v="2"/>
    <x v="5"/>
    <s v="Associate"/>
    <s v="Full-Time"/>
    <x v="6"/>
    <x v="288"/>
    <x v="0"/>
    <s v="Hybrid"/>
    <n v="74800"/>
    <n v="11"/>
    <n v="95.3"/>
    <n v="0"/>
    <n v="10"/>
    <n v="3"/>
    <n v="5"/>
    <n v="2"/>
    <s v="Campus Hiring"/>
    <n v="6233"/>
    <n v="4.7"/>
    <s v="30-34"/>
    <s v="Good"/>
  </r>
  <r>
    <x v="308"/>
    <x v="57"/>
    <x v="0"/>
    <n v="50"/>
    <x v="8"/>
    <x v="7"/>
    <s v="Associate"/>
    <s v="Part-Time"/>
    <x v="0"/>
    <x v="289"/>
    <x v="0"/>
    <s v="Hybrid"/>
    <n v="33400"/>
    <n v="30"/>
    <n v="90.1"/>
    <n v="7"/>
    <n v="14"/>
    <n v="0"/>
    <n v="29"/>
    <n v="5"/>
    <s v="Company Website"/>
    <n v="2783"/>
    <n v="3.7"/>
    <s v="45+"/>
    <s v="Good"/>
  </r>
  <r>
    <x v="309"/>
    <x v="109"/>
    <x v="0"/>
    <n v="41"/>
    <x v="14"/>
    <x v="7"/>
    <s v="Associate"/>
    <s v="Full-Time"/>
    <x v="3"/>
    <x v="290"/>
    <x v="0"/>
    <s v="Hybrid"/>
    <n v="31800"/>
    <n v="22"/>
    <n v="92.4"/>
    <n v="1"/>
    <n v="0"/>
    <n v="2"/>
    <n v="26"/>
    <n v="5"/>
    <s v="Naukri"/>
    <n v="2650"/>
    <n v="4.9000000000000004"/>
    <s v="40-44"/>
    <s v="Good"/>
  </r>
  <r>
    <x v="310"/>
    <x v="167"/>
    <x v="1"/>
    <n v="42"/>
    <x v="9"/>
    <x v="7"/>
    <s v="Junior"/>
    <s v="Full-Time"/>
    <x v="4"/>
    <x v="291"/>
    <x v="1"/>
    <s v="Onsite"/>
    <n v="26700"/>
    <n v="19"/>
    <n v="88.9"/>
    <n v="3"/>
    <n v="6"/>
    <n v="3"/>
    <n v="21"/>
    <n v="2"/>
    <s v="Indeed"/>
    <n v="2225"/>
    <n v="2"/>
    <s v="40-44"/>
    <s v="Excellent"/>
  </r>
  <r>
    <x v="311"/>
    <x v="168"/>
    <x v="0"/>
    <n v="40"/>
    <x v="11"/>
    <x v="2"/>
    <s v="Senior"/>
    <s v="Full-Time"/>
    <x v="3"/>
    <x v="292"/>
    <x v="0"/>
    <s v="Hybrid"/>
    <n v="60100"/>
    <n v="17"/>
    <n v="85.5"/>
    <n v="2"/>
    <n v="3"/>
    <n v="3"/>
    <n v="21"/>
    <n v="15"/>
    <s v="LinkedIn"/>
    <n v="5008"/>
    <n v="7.1"/>
    <s v="40-44"/>
    <s v="Good"/>
  </r>
  <r>
    <x v="312"/>
    <x v="169"/>
    <x v="0"/>
    <n v="44"/>
    <x v="8"/>
    <x v="2"/>
    <s v="Intern"/>
    <s v="Contract"/>
    <x v="1"/>
    <x v="293"/>
    <x v="1"/>
    <s v="Onsite"/>
    <n v="20600"/>
    <n v="20"/>
    <n v="84.2"/>
    <n v="4"/>
    <n v="13"/>
    <n v="0"/>
    <n v="3"/>
    <n v="17"/>
    <s v="Employee Referral"/>
    <n v="1717"/>
    <n v="2.4"/>
    <s v="40-44"/>
    <s v="Good"/>
  </r>
  <r>
    <x v="313"/>
    <x v="170"/>
    <x v="1"/>
    <n v="38"/>
    <x v="0"/>
    <x v="1"/>
    <s v="Associate"/>
    <s v="Full-Time"/>
    <x v="5"/>
    <x v="294"/>
    <x v="0"/>
    <s v="Hybrid"/>
    <n v="47500"/>
    <n v="16"/>
    <n v="87.9"/>
    <n v="1"/>
    <n v="5"/>
    <n v="4"/>
    <n v="26"/>
    <n v="10"/>
    <s v="Campus Hiring"/>
    <n v="3958"/>
    <n v="2"/>
    <s v="35-39"/>
    <s v="Good"/>
  </r>
  <r>
    <x v="314"/>
    <x v="171"/>
    <x v="1"/>
    <n v="41"/>
    <x v="2"/>
    <x v="2"/>
    <s v="Senior"/>
    <s v="Contract"/>
    <x v="3"/>
    <x v="295"/>
    <x v="1"/>
    <s v="Onsite"/>
    <n v="70200"/>
    <n v="17"/>
    <n v="93.2"/>
    <n v="5"/>
    <n v="3"/>
    <n v="1"/>
    <n v="6"/>
    <n v="25"/>
    <s v="Indeed"/>
    <n v="5850"/>
    <n v="2.7"/>
    <s v="40-44"/>
    <s v="Excellent"/>
  </r>
  <r>
    <x v="315"/>
    <x v="90"/>
    <x v="1"/>
    <n v="44"/>
    <x v="13"/>
    <x v="5"/>
    <s v="Associate"/>
    <s v="Full-Time"/>
    <x v="3"/>
    <x v="296"/>
    <x v="0"/>
    <s v="Onsite"/>
    <n v="76500"/>
    <n v="22"/>
    <n v="92.3"/>
    <n v="7"/>
    <n v="7"/>
    <n v="4"/>
    <n v="6"/>
    <n v="26"/>
    <s v="Employee Referral"/>
    <n v="6375"/>
    <n v="8.5"/>
    <s v="40-44"/>
    <s v="Good"/>
  </r>
  <r>
    <x v="316"/>
    <x v="83"/>
    <x v="1"/>
    <n v="50"/>
    <x v="8"/>
    <x v="2"/>
    <s v="Senior"/>
    <s v="Full-Time"/>
    <x v="7"/>
    <x v="297"/>
    <x v="0"/>
    <s v="Hybrid"/>
    <n v="62900"/>
    <n v="27"/>
    <n v="92"/>
    <n v="4"/>
    <n v="11"/>
    <n v="1"/>
    <n v="17"/>
    <n v="8"/>
    <s v="Employee Referral"/>
    <n v="5242"/>
    <n v="0.4"/>
    <s v="45+"/>
    <s v="Good"/>
  </r>
  <r>
    <x v="317"/>
    <x v="44"/>
    <x v="0"/>
    <n v="20"/>
    <x v="14"/>
    <x v="7"/>
    <s v="Senior"/>
    <s v="Intern"/>
    <x v="3"/>
    <x v="298"/>
    <x v="0"/>
    <s v="Onsite"/>
    <n v="50800"/>
    <n v="0"/>
    <n v="95"/>
    <n v="6"/>
    <n v="8"/>
    <n v="0"/>
    <n v="11"/>
    <n v="15"/>
    <s v="Employee Referral"/>
    <n v="4233"/>
    <n v="5.4"/>
    <s v="20-24"/>
    <s v="Good"/>
  </r>
  <r>
    <x v="318"/>
    <x v="17"/>
    <x v="0"/>
    <n v="40"/>
    <x v="3"/>
    <x v="6"/>
    <s v="Senior"/>
    <s v="Intern"/>
    <x v="7"/>
    <x v="299"/>
    <x v="0"/>
    <s v="Hybrid"/>
    <n v="64800"/>
    <n v="21"/>
    <n v="90.7"/>
    <n v="4"/>
    <n v="1"/>
    <n v="0"/>
    <n v="15"/>
    <n v="29"/>
    <s v="Campus Hiring"/>
    <n v="5400"/>
    <n v="3.7"/>
    <s v="40-44"/>
    <s v="Good"/>
  </r>
  <r>
    <x v="319"/>
    <x v="111"/>
    <x v="0"/>
    <n v="32"/>
    <x v="3"/>
    <x v="4"/>
    <s v="Associate"/>
    <s v="Full-Time"/>
    <x v="1"/>
    <x v="300"/>
    <x v="0"/>
    <s v="Onsite"/>
    <n v="47300"/>
    <n v="13"/>
    <n v="100"/>
    <n v="5"/>
    <n v="0"/>
    <n v="4"/>
    <n v="5"/>
    <n v="6"/>
    <s v="Indeed"/>
    <n v="3942"/>
    <n v="1.3"/>
    <s v="30-34"/>
    <s v="Good"/>
  </r>
  <r>
    <x v="320"/>
    <x v="73"/>
    <x v="0"/>
    <n v="39"/>
    <x v="6"/>
    <x v="0"/>
    <s v="Associate"/>
    <s v="Full-Time"/>
    <x v="0"/>
    <x v="301"/>
    <x v="0"/>
    <s v="Hybrid"/>
    <n v="56700"/>
    <n v="16"/>
    <n v="92.9"/>
    <n v="8"/>
    <n v="0"/>
    <n v="0"/>
    <n v="4"/>
    <n v="15"/>
    <s v="Company Website"/>
    <n v="4725"/>
    <n v="6.2"/>
    <s v="35-39"/>
    <s v="Average"/>
  </r>
  <r>
    <x v="321"/>
    <x v="68"/>
    <x v="1"/>
    <n v="28"/>
    <x v="14"/>
    <x v="2"/>
    <s v="Lead"/>
    <s v="Full-Time"/>
    <x v="5"/>
    <x v="302"/>
    <x v="0"/>
    <s v="Hybrid"/>
    <n v="87700"/>
    <n v="4"/>
    <n v="86.1"/>
    <n v="0"/>
    <n v="14"/>
    <n v="2"/>
    <n v="9"/>
    <n v="14"/>
    <s v="Indeed"/>
    <n v="7308"/>
    <n v="5.8"/>
    <s v="25-29"/>
    <s v="Good"/>
  </r>
  <r>
    <x v="322"/>
    <x v="90"/>
    <x v="1"/>
    <n v="46"/>
    <x v="2"/>
    <x v="2"/>
    <s v="Senior"/>
    <s v="Full-Time"/>
    <x v="6"/>
    <x v="303"/>
    <x v="0"/>
    <s v="Hybrid"/>
    <n v="63500"/>
    <n v="23"/>
    <n v="84.3"/>
    <n v="8"/>
    <n v="13"/>
    <n v="4"/>
    <n v="16"/>
    <n v="24"/>
    <s v="Campus Hiring"/>
    <n v="5292"/>
    <n v="6.1"/>
    <s v="45+"/>
    <s v="Good"/>
  </r>
  <r>
    <x v="323"/>
    <x v="172"/>
    <x v="0"/>
    <n v="48"/>
    <x v="11"/>
    <x v="3"/>
    <s v="Associate"/>
    <s v="Full-Time"/>
    <x v="6"/>
    <x v="304"/>
    <x v="0"/>
    <s v="Hybrid"/>
    <n v="65400"/>
    <n v="29"/>
    <n v="92.7"/>
    <n v="2"/>
    <n v="12"/>
    <n v="3"/>
    <n v="29"/>
    <n v="3"/>
    <s v="Indeed"/>
    <n v="5450"/>
    <n v="6.5"/>
    <s v="45+"/>
    <s v="Good"/>
  </r>
  <r>
    <x v="324"/>
    <x v="64"/>
    <x v="1"/>
    <n v="30"/>
    <x v="6"/>
    <x v="4"/>
    <s v="Junior"/>
    <s v="Full-Time"/>
    <x v="2"/>
    <x v="305"/>
    <x v="0"/>
    <s v="Hybrid"/>
    <n v="32400"/>
    <n v="11"/>
    <n v="89.9"/>
    <n v="2"/>
    <n v="11"/>
    <n v="3"/>
    <n v="2"/>
    <n v="27"/>
    <s v="Company Website"/>
    <n v="2700"/>
    <n v="1.8"/>
    <s v="30-34"/>
    <s v="Average"/>
  </r>
  <r>
    <x v="325"/>
    <x v="143"/>
    <x v="0"/>
    <n v="20"/>
    <x v="10"/>
    <x v="7"/>
    <s v="Junior"/>
    <s v="Full-Time"/>
    <x v="0"/>
    <x v="306"/>
    <x v="0"/>
    <s v="Remote"/>
    <n v="22800"/>
    <n v="0"/>
    <n v="85.2"/>
    <n v="3"/>
    <n v="11"/>
    <n v="0"/>
    <n v="8"/>
    <n v="24"/>
    <s v="Naukri"/>
    <n v="1900"/>
    <n v="8.5"/>
    <s v="20-24"/>
    <s v="Good"/>
  </r>
  <r>
    <x v="326"/>
    <x v="145"/>
    <x v="0"/>
    <n v="32"/>
    <x v="14"/>
    <x v="6"/>
    <s v="Junior"/>
    <s v="Full-Time"/>
    <x v="4"/>
    <x v="307"/>
    <x v="1"/>
    <s v="Onsite"/>
    <n v="34400"/>
    <n v="9"/>
    <n v="90.2"/>
    <n v="7"/>
    <n v="15"/>
    <n v="0"/>
    <n v="28"/>
    <n v="21"/>
    <s v="Campus Hiring"/>
    <n v="2867"/>
    <n v="5.2"/>
    <s v="30-34"/>
    <s v="Average"/>
  </r>
  <r>
    <x v="327"/>
    <x v="143"/>
    <x v="0"/>
    <n v="39"/>
    <x v="0"/>
    <x v="3"/>
    <s v="Senior"/>
    <s v="Full-Time"/>
    <x v="1"/>
    <x v="308"/>
    <x v="0"/>
    <s v="Onsite"/>
    <n v="89300"/>
    <n v="18"/>
    <n v="88.2"/>
    <n v="0"/>
    <n v="6"/>
    <n v="1"/>
    <n v="26"/>
    <n v="13"/>
    <s v="Campus Hiring"/>
    <n v="7442"/>
    <n v="6.4"/>
    <s v="35-39"/>
    <s v="Good"/>
  </r>
  <r>
    <x v="328"/>
    <x v="160"/>
    <x v="1"/>
    <n v="20"/>
    <x v="5"/>
    <x v="6"/>
    <s v="Junior"/>
    <s v="Full-Time"/>
    <x v="2"/>
    <x v="309"/>
    <x v="0"/>
    <s v="Remote"/>
    <n v="41100"/>
    <n v="0"/>
    <n v="88.8"/>
    <n v="3"/>
    <n v="12"/>
    <n v="4"/>
    <n v="24"/>
    <n v="22"/>
    <s v="Campus Hiring"/>
    <n v="3425"/>
    <n v="4.8"/>
    <s v="20-24"/>
    <s v="Good"/>
  </r>
  <r>
    <x v="329"/>
    <x v="148"/>
    <x v="0"/>
    <n v="22"/>
    <x v="0"/>
    <x v="6"/>
    <s v="Associate"/>
    <s v="Full-Time"/>
    <x v="0"/>
    <x v="310"/>
    <x v="0"/>
    <s v="Hybrid"/>
    <n v="56500"/>
    <n v="1"/>
    <n v="97.8"/>
    <n v="6"/>
    <n v="13"/>
    <n v="4"/>
    <n v="9"/>
    <n v="28"/>
    <s v="Campus Hiring"/>
    <n v="4708"/>
    <n v="2.6"/>
    <s v="20-24"/>
    <s v="Good"/>
  </r>
  <r>
    <x v="330"/>
    <x v="173"/>
    <x v="1"/>
    <n v="39"/>
    <x v="0"/>
    <x v="6"/>
    <s v="Senior"/>
    <s v="Full-Time"/>
    <x v="1"/>
    <x v="311"/>
    <x v="0"/>
    <s v="Hybrid"/>
    <n v="79200"/>
    <n v="16"/>
    <n v="94.6"/>
    <n v="2"/>
    <n v="1"/>
    <n v="2"/>
    <n v="24"/>
    <n v="8"/>
    <s v="Company Website"/>
    <n v="6600"/>
    <n v="2"/>
    <s v="35-39"/>
    <s v="Good"/>
  </r>
  <r>
    <x v="331"/>
    <x v="167"/>
    <x v="0"/>
    <n v="36"/>
    <x v="9"/>
    <x v="7"/>
    <s v="Associate"/>
    <s v="Full-Time"/>
    <x v="1"/>
    <x v="312"/>
    <x v="0"/>
    <s v="Hybrid"/>
    <n v="41200"/>
    <n v="16"/>
    <n v="96.2"/>
    <n v="6"/>
    <n v="2"/>
    <n v="3"/>
    <n v="26"/>
    <n v="3"/>
    <s v="Campus Hiring"/>
    <n v="3433"/>
    <n v="6.2"/>
    <s v="35-39"/>
    <s v="Average"/>
  </r>
  <r>
    <x v="332"/>
    <x v="55"/>
    <x v="0"/>
    <n v="24"/>
    <x v="11"/>
    <x v="3"/>
    <s v="Senior"/>
    <s v="Full-Time"/>
    <x v="7"/>
    <x v="313"/>
    <x v="0"/>
    <s v="Onsite"/>
    <n v="98200"/>
    <n v="5"/>
    <n v="99.6"/>
    <n v="4"/>
    <n v="11"/>
    <n v="3"/>
    <n v="9"/>
    <n v="22"/>
    <s v="Indeed"/>
    <n v="8183"/>
    <n v="0.1"/>
    <s v="20-24"/>
    <s v="Good"/>
  </r>
  <r>
    <x v="333"/>
    <x v="74"/>
    <x v="0"/>
    <n v="25"/>
    <x v="10"/>
    <x v="5"/>
    <s v="Senior"/>
    <s v="Full-Time"/>
    <x v="3"/>
    <x v="107"/>
    <x v="0"/>
    <s v="Remote"/>
    <n v="108200"/>
    <n v="3"/>
    <n v="91.6"/>
    <n v="8"/>
    <n v="3"/>
    <n v="2"/>
    <n v="20"/>
    <n v="29"/>
    <s v="Campus Hiring"/>
    <n v="9017"/>
    <n v="4.9000000000000004"/>
    <s v="25-29"/>
    <s v="Good"/>
  </r>
  <r>
    <x v="334"/>
    <x v="15"/>
    <x v="1"/>
    <n v="36"/>
    <x v="1"/>
    <x v="5"/>
    <s v="Junior"/>
    <s v="Full-Time"/>
    <x v="7"/>
    <x v="314"/>
    <x v="0"/>
    <s v="Onsite"/>
    <n v="39500"/>
    <n v="12"/>
    <n v="92.3"/>
    <n v="7"/>
    <n v="8"/>
    <n v="1"/>
    <n v="5"/>
    <n v="19"/>
    <s v="Campus Hiring"/>
    <n v="3292"/>
    <n v="4"/>
    <s v="35-39"/>
    <s v="Average"/>
  </r>
  <r>
    <x v="335"/>
    <x v="174"/>
    <x v="0"/>
    <n v="29"/>
    <x v="0"/>
    <x v="3"/>
    <s v="Senior"/>
    <s v="Full-Time"/>
    <x v="7"/>
    <x v="315"/>
    <x v="0"/>
    <s v="Onsite"/>
    <n v="89900"/>
    <n v="5"/>
    <n v="92.6"/>
    <n v="2"/>
    <n v="9"/>
    <n v="2"/>
    <n v="24"/>
    <n v="11"/>
    <s v="Indeed"/>
    <n v="7492"/>
    <n v="0.5"/>
    <s v="25-29"/>
    <s v="Good"/>
  </r>
  <r>
    <x v="336"/>
    <x v="175"/>
    <x v="1"/>
    <n v="30"/>
    <x v="2"/>
    <x v="6"/>
    <s v="Senior"/>
    <s v="Full-Time"/>
    <x v="0"/>
    <x v="83"/>
    <x v="0"/>
    <s v="Onsite"/>
    <n v="79500"/>
    <n v="11"/>
    <n v="96.5"/>
    <n v="3"/>
    <n v="1"/>
    <n v="1"/>
    <n v="3"/>
    <n v="7"/>
    <s v="Company Website"/>
    <n v="6625"/>
    <n v="4.2"/>
    <s v="30-34"/>
    <s v="Average"/>
  </r>
  <r>
    <x v="337"/>
    <x v="176"/>
    <x v="0"/>
    <n v="32"/>
    <x v="11"/>
    <x v="2"/>
    <s v="Associate"/>
    <s v="Full-Time"/>
    <x v="5"/>
    <x v="316"/>
    <x v="0"/>
    <s v="Onsite"/>
    <n v="49000"/>
    <n v="10"/>
    <n v="96.3"/>
    <n v="6"/>
    <n v="15"/>
    <n v="1"/>
    <n v="10"/>
    <n v="27"/>
    <s v="Campus Hiring"/>
    <n v="4083"/>
    <n v="5.5"/>
    <s v="30-34"/>
    <s v="Good"/>
  </r>
  <r>
    <x v="338"/>
    <x v="63"/>
    <x v="1"/>
    <n v="48"/>
    <x v="9"/>
    <x v="1"/>
    <s v="Junior"/>
    <s v="Full-Time"/>
    <x v="1"/>
    <x v="317"/>
    <x v="0"/>
    <s v="Hybrid"/>
    <n v="30500"/>
    <n v="27"/>
    <n v="88.1"/>
    <n v="1"/>
    <n v="15"/>
    <n v="1"/>
    <n v="19"/>
    <n v="25"/>
    <s v="LinkedIn"/>
    <n v="2542"/>
    <n v="1.6"/>
    <s v="45+"/>
    <s v="Excellent"/>
  </r>
  <r>
    <x v="339"/>
    <x v="146"/>
    <x v="0"/>
    <n v="29"/>
    <x v="2"/>
    <x v="5"/>
    <s v="Associate"/>
    <s v="Full-Time"/>
    <x v="6"/>
    <x v="318"/>
    <x v="0"/>
    <s v="Onsite"/>
    <n v="62600"/>
    <n v="7"/>
    <n v="85.3"/>
    <n v="5"/>
    <n v="13"/>
    <n v="0"/>
    <n v="27"/>
    <n v="8"/>
    <s v="Consultancy"/>
    <n v="5217"/>
    <n v="7.4"/>
    <s v="25-29"/>
    <s v="Average"/>
  </r>
  <r>
    <x v="340"/>
    <x v="177"/>
    <x v="1"/>
    <n v="33"/>
    <x v="7"/>
    <x v="7"/>
    <s v="Lead"/>
    <s v="Intern"/>
    <x v="3"/>
    <x v="319"/>
    <x v="0"/>
    <s v="Hybrid"/>
    <n v="63600"/>
    <n v="13"/>
    <n v="85.6"/>
    <n v="8"/>
    <n v="9"/>
    <n v="0"/>
    <n v="8"/>
    <n v="13"/>
    <s v="Company Website"/>
    <n v="5300"/>
    <n v="3"/>
    <s v="30-34"/>
    <s v="Average"/>
  </r>
  <r>
    <x v="341"/>
    <x v="168"/>
    <x v="0"/>
    <n v="47"/>
    <x v="9"/>
    <x v="7"/>
    <s v="Senior"/>
    <s v="Full-Time"/>
    <x v="1"/>
    <x v="320"/>
    <x v="0"/>
    <s v="Onsite"/>
    <n v="48900"/>
    <n v="24"/>
    <n v="91.3"/>
    <n v="8"/>
    <n v="1"/>
    <n v="1"/>
    <n v="11"/>
    <n v="22"/>
    <s v="Consultancy"/>
    <n v="4075"/>
    <n v="5.2"/>
    <s v="45+"/>
    <s v="Good"/>
  </r>
  <r>
    <x v="342"/>
    <x v="130"/>
    <x v="0"/>
    <n v="32"/>
    <x v="5"/>
    <x v="4"/>
    <s v="Junior"/>
    <s v="Contract"/>
    <x v="2"/>
    <x v="321"/>
    <x v="1"/>
    <s v="Onsite"/>
    <n v="30300"/>
    <n v="10"/>
    <n v="84.8"/>
    <n v="5"/>
    <n v="12"/>
    <n v="2"/>
    <n v="22"/>
    <n v="17"/>
    <s v="Employee Referral"/>
    <n v="2525"/>
    <n v="4.4000000000000004"/>
    <s v="30-34"/>
    <s v="Good"/>
  </r>
  <r>
    <x v="343"/>
    <x v="39"/>
    <x v="0"/>
    <n v="50"/>
    <x v="3"/>
    <x v="4"/>
    <s v="Senior"/>
    <s v="Full-Time"/>
    <x v="0"/>
    <x v="322"/>
    <x v="0"/>
    <s v="Onsite"/>
    <n v="66500"/>
    <n v="28"/>
    <n v="92.8"/>
    <n v="5"/>
    <n v="0"/>
    <n v="2"/>
    <n v="21"/>
    <n v="20"/>
    <s v="Company Website"/>
    <n v="5542"/>
    <n v="6.5"/>
    <s v="45+"/>
    <s v="Good"/>
  </r>
  <r>
    <x v="344"/>
    <x v="178"/>
    <x v="0"/>
    <n v="47"/>
    <x v="7"/>
    <x v="7"/>
    <s v="Associate"/>
    <s v="Full-Time"/>
    <x v="7"/>
    <x v="323"/>
    <x v="0"/>
    <s v="Onsite"/>
    <n v="40800"/>
    <n v="24"/>
    <n v="80.400000000000006"/>
    <n v="5"/>
    <n v="15"/>
    <n v="2"/>
    <n v="9"/>
    <n v="21"/>
    <s v="LinkedIn"/>
    <n v="3400"/>
    <n v="2.2999999999999998"/>
    <s v="45+"/>
    <s v="Good"/>
  </r>
  <r>
    <x v="345"/>
    <x v="73"/>
    <x v="0"/>
    <n v="23"/>
    <x v="12"/>
    <x v="5"/>
    <s v="Senior"/>
    <s v="Full-Time"/>
    <x v="3"/>
    <x v="324"/>
    <x v="0"/>
    <s v="Hybrid"/>
    <n v="103200"/>
    <n v="4"/>
    <n v="100"/>
    <n v="5"/>
    <n v="14"/>
    <n v="0"/>
    <n v="5"/>
    <n v="19"/>
    <s v="Campus Hiring"/>
    <n v="8600"/>
    <n v="3.8"/>
    <s v="20-24"/>
    <s v="Good"/>
  </r>
  <r>
    <x v="346"/>
    <x v="179"/>
    <x v="1"/>
    <n v="39"/>
    <x v="3"/>
    <x v="3"/>
    <s v="Senior"/>
    <s v="Full-Time"/>
    <x v="5"/>
    <x v="225"/>
    <x v="0"/>
    <s v="Onsite"/>
    <n v="101200"/>
    <n v="15"/>
    <n v="84.1"/>
    <n v="2"/>
    <n v="7"/>
    <n v="1"/>
    <n v="12"/>
    <n v="23"/>
    <s v="Employee Referral"/>
    <n v="8433"/>
    <n v="3.4"/>
    <s v="35-39"/>
    <s v="Good"/>
  </r>
  <r>
    <x v="347"/>
    <x v="53"/>
    <x v="0"/>
    <n v="49"/>
    <x v="14"/>
    <x v="0"/>
    <s v="Associate"/>
    <s v="Contract"/>
    <x v="6"/>
    <x v="325"/>
    <x v="0"/>
    <s v="Onsite"/>
    <n v="59400"/>
    <n v="30"/>
    <n v="87.7"/>
    <n v="3"/>
    <n v="13"/>
    <n v="3"/>
    <n v="30"/>
    <n v="15"/>
    <s v="Consultancy"/>
    <n v="4950"/>
    <n v="5.7"/>
    <s v="45+"/>
    <s v="Average"/>
  </r>
  <r>
    <x v="348"/>
    <x v="50"/>
    <x v="1"/>
    <n v="36"/>
    <x v="9"/>
    <x v="2"/>
    <s v="Lead"/>
    <s v="Full-Time"/>
    <x v="4"/>
    <x v="326"/>
    <x v="0"/>
    <s v="Hybrid"/>
    <n v="85800"/>
    <n v="16"/>
    <n v="88.1"/>
    <n v="5"/>
    <n v="14"/>
    <n v="2"/>
    <n v="4"/>
    <n v="16"/>
    <s v="Indeed"/>
    <n v="7150"/>
    <n v="7.4"/>
    <s v="35-39"/>
    <s v="Excellent"/>
  </r>
  <r>
    <x v="349"/>
    <x v="64"/>
    <x v="0"/>
    <n v="37"/>
    <x v="4"/>
    <x v="3"/>
    <s v="Senior"/>
    <s v="Full-Time"/>
    <x v="3"/>
    <x v="327"/>
    <x v="0"/>
    <s v="Onsite"/>
    <n v="86700"/>
    <n v="18"/>
    <n v="98.3"/>
    <n v="0"/>
    <n v="12"/>
    <n v="0"/>
    <n v="27"/>
    <n v="9"/>
    <s v="Naukri"/>
    <n v="7225"/>
    <n v="3.5"/>
    <s v="35-39"/>
    <s v="Good"/>
  </r>
  <r>
    <x v="350"/>
    <x v="108"/>
    <x v="0"/>
    <n v="30"/>
    <x v="5"/>
    <x v="2"/>
    <s v="Senior"/>
    <s v="Full-Time"/>
    <x v="3"/>
    <x v="328"/>
    <x v="0"/>
    <s v="Remote"/>
    <n v="59200"/>
    <n v="8"/>
    <n v="91"/>
    <n v="0"/>
    <n v="7"/>
    <n v="4"/>
    <n v="26"/>
    <n v="25"/>
    <s v="Company Website"/>
    <n v="4933"/>
    <n v="2.8"/>
    <s v="30-34"/>
    <s v="Average"/>
  </r>
  <r>
    <x v="351"/>
    <x v="132"/>
    <x v="1"/>
    <n v="29"/>
    <x v="4"/>
    <x v="1"/>
    <s v="Junior"/>
    <s v="Full-Time"/>
    <x v="2"/>
    <x v="329"/>
    <x v="0"/>
    <s v="Hybrid"/>
    <n v="38900"/>
    <n v="7"/>
    <n v="85.7"/>
    <n v="6"/>
    <n v="4"/>
    <n v="1"/>
    <n v="3"/>
    <n v="16"/>
    <s v="Company Website"/>
    <n v="3242"/>
    <n v="7"/>
    <s v="25-29"/>
    <s v="Good"/>
  </r>
  <r>
    <x v="352"/>
    <x v="18"/>
    <x v="1"/>
    <n v="40"/>
    <x v="9"/>
    <x v="2"/>
    <s v="Lead"/>
    <s v="Part-Time"/>
    <x v="7"/>
    <x v="330"/>
    <x v="0"/>
    <s v="Onsite"/>
    <n v="75800"/>
    <n v="16"/>
    <n v="90.6"/>
    <n v="0"/>
    <n v="2"/>
    <n v="2"/>
    <n v="2"/>
    <n v="26"/>
    <s v="Company Website"/>
    <n v="6317"/>
    <n v="5.2"/>
    <s v="40-44"/>
    <s v="Good"/>
  </r>
  <r>
    <x v="353"/>
    <x v="95"/>
    <x v="0"/>
    <n v="37"/>
    <x v="9"/>
    <x v="4"/>
    <s v="Manager"/>
    <s v="Full-Time"/>
    <x v="5"/>
    <x v="331"/>
    <x v="0"/>
    <s v="Onsite"/>
    <n v="115800"/>
    <n v="17"/>
    <n v="91.2"/>
    <n v="4"/>
    <n v="0"/>
    <n v="0"/>
    <n v="29"/>
    <n v="22"/>
    <s v="Company Website"/>
    <n v="9650"/>
    <n v="3.1"/>
    <s v="35-39"/>
    <s v="Average"/>
  </r>
  <r>
    <x v="354"/>
    <x v="46"/>
    <x v="1"/>
    <n v="38"/>
    <x v="9"/>
    <x v="0"/>
    <s v="Junior"/>
    <s v="Contract"/>
    <x v="3"/>
    <x v="332"/>
    <x v="0"/>
    <s v="Onsite"/>
    <n v="35500"/>
    <n v="15"/>
    <n v="92.9"/>
    <n v="7"/>
    <n v="1"/>
    <n v="4"/>
    <n v="22"/>
    <n v="13"/>
    <s v="LinkedIn"/>
    <n v="2958"/>
    <n v="4.9000000000000004"/>
    <s v="35-39"/>
    <s v="Excellent"/>
  </r>
  <r>
    <x v="355"/>
    <x v="92"/>
    <x v="1"/>
    <n v="28"/>
    <x v="10"/>
    <x v="3"/>
    <s v="Associate"/>
    <s v="Part-Time"/>
    <x v="1"/>
    <x v="333"/>
    <x v="0"/>
    <s v="Hybrid"/>
    <n v="72100"/>
    <n v="5"/>
    <n v="85.5"/>
    <n v="5"/>
    <n v="13"/>
    <n v="1"/>
    <n v="4"/>
    <n v="27"/>
    <s v="Consultancy"/>
    <n v="6008"/>
    <n v="1.4"/>
    <s v="25-29"/>
    <s v="Average"/>
  </r>
  <r>
    <x v="356"/>
    <x v="108"/>
    <x v="0"/>
    <n v="24"/>
    <x v="3"/>
    <x v="7"/>
    <s v="Associate"/>
    <s v="Full-Time"/>
    <x v="5"/>
    <x v="334"/>
    <x v="0"/>
    <s v="Hybrid"/>
    <n v="35600"/>
    <n v="3"/>
    <n v="95.4"/>
    <n v="2"/>
    <n v="8"/>
    <n v="3"/>
    <n v="17"/>
    <n v="28"/>
    <s v="Employee Referral"/>
    <n v="2967"/>
    <n v="1.2"/>
    <s v="20-24"/>
    <s v="Good"/>
  </r>
  <r>
    <x v="357"/>
    <x v="180"/>
    <x v="1"/>
    <n v="20"/>
    <x v="12"/>
    <x v="2"/>
    <s v="Senior"/>
    <s v="Full-Time"/>
    <x v="4"/>
    <x v="335"/>
    <x v="0"/>
    <s v="Hybrid"/>
    <n v="76300"/>
    <n v="0"/>
    <n v="91.7"/>
    <n v="1"/>
    <n v="7"/>
    <n v="1"/>
    <n v="2"/>
    <n v="23"/>
    <s v="LinkedIn"/>
    <n v="6358"/>
    <n v="8.3000000000000007"/>
    <s v="20-24"/>
    <s v="Poor"/>
  </r>
  <r>
    <x v="358"/>
    <x v="27"/>
    <x v="0"/>
    <n v="24"/>
    <x v="5"/>
    <x v="4"/>
    <s v="Senior"/>
    <s v="Full-Time"/>
    <x v="4"/>
    <x v="336"/>
    <x v="0"/>
    <s v="Hybrid"/>
    <n v="61500"/>
    <n v="4"/>
    <n v="98.3"/>
    <n v="1"/>
    <n v="9"/>
    <n v="1"/>
    <n v="4"/>
    <n v="19"/>
    <s v="Naukri"/>
    <n v="5125"/>
    <n v="7.2"/>
    <s v="20-24"/>
    <s v="Excellent"/>
  </r>
  <r>
    <x v="359"/>
    <x v="181"/>
    <x v="0"/>
    <n v="22"/>
    <x v="8"/>
    <x v="5"/>
    <s v="Junior"/>
    <s v="Full-Time"/>
    <x v="3"/>
    <x v="30"/>
    <x v="0"/>
    <s v="Hybrid"/>
    <n v="43200"/>
    <n v="0"/>
    <n v="90.1"/>
    <n v="3"/>
    <n v="10"/>
    <n v="2"/>
    <n v="8"/>
    <n v="11"/>
    <s v="Campus Hiring"/>
    <n v="3600"/>
    <n v="5"/>
    <s v="20-24"/>
    <s v="Average"/>
  </r>
  <r>
    <x v="360"/>
    <x v="138"/>
    <x v="1"/>
    <n v="20"/>
    <x v="12"/>
    <x v="5"/>
    <s v="Lead"/>
    <s v="Intern"/>
    <x v="4"/>
    <x v="254"/>
    <x v="0"/>
    <s v="Remote"/>
    <n v="125800"/>
    <n v="0"/>
    <n v="90.6"/>
    <n v="8"/>
    <n v="3"/>
    <n v="1"/>
    <n v="27"/>
    <n v="21"/>
    <s v="LinkedIn"/>
    <n v="10483"/>
    <n v="3.6"/>
    <s v="20-24"/>
    <s v="Excellent"/>
  </r>
  <r>
    <x v="361"/>
    <x v="182"/>
    <x v="0"/>
    <n v="38"/>
    <x v="6"/>
    <x v="6"/>
    <s v="Junior"/>
    <s v="Full-Time"/>
    <x v="3"/>
    <x v="337"/>
    <x v="0"/>
    <s v="Onsite"/>
    <n v="41300"/>
    <n v="15"/>
    <n v="90.2"/>
    <n v="8"/>
    <n v="12"/>
    <n v="4"/>
    <n v="5"/>
    <n v="15"/>
    <s v="Company Website"/>
    <n v="3442"/>
    <n v="2.9"/>
    <s v="35-39"/>
    <s v="Average"/>
  </r>
  <r>
    <x v="362"/>
    <x v="104"/>
    <x v="0"/>
    <n v="46"/>
    <x v="0"/>
    <x v="7"/>
    <s v="Senior"/>
    <s v="Full-Time"/>
    <x v="3"/>
    <x v="338"/>
    <x v="1"/>
    <s v="Hybrid"/>
    <n v="53300"/>
    <n v="26"/>
    <n v="97.3"/>
    <n v="0"/>
    <n v="2"/>
    <n v="4"/>
    <n v="14"/>
    <n v="20"/>
    <s v="Naukri"/>
    <n v="4442"/>
    <n v="2.4"/>
    <s v="45+"/>
    <s v="Excellent"/>
  </r>
  <r>
    <x v="363"/>
    <x v="30"/>
    <x v="1"/>
    <n v="25"/>
    <x v="7"/>
    <x v="6"/>
    <s v="Associate"/>
    <s v="Contract"/>
    <x v="2"/>
    <x v="339"/>
    <x v="0"/>
    <s v="Onsite"/>
    <n v="57900"/>
    <n v="5"/>
    <n v="94.4"/>
    <n v="4"/>
    <n v="4"/>
    <n v="1"/>
    <n v="26"/>
    <n v="26"/>
    <s v="Consultancy"/>
    <n v="4825"/>
    <n v="4.8"/>
    <s v="25-29"/>
    <s v="Good"/>
  </r>
  <r>
    <x v="364"/>
    <x v="183"/>
    <x v="0"/>
    <n v="29"/>
    <x v="9"/>
    <x v="7"/>
    <s v="Associate"/>
    <s v="Full-Time"/>
    <x v="7"/>
    <x v="340"/>
    <x v="0"/>
    <s v="Onsite"/>
    <n v="39900"/>
    <n v="5"/>
    <n v="87.3"/>
    <n v="8"/>
    <n v="7"/>
    <n v="1"/>
    <n v="17"/>
    <n v="17"/>
    <s v="Naukri"/>
    <n v="3325"/>
    <n v="2.6"/>
    <s v="25-29"/>
    <s v="Excellent"/>
  </r>
  <r>
    <x v="365"/>
    <x v="160"/>
    <x v="0"/>
    <n v="24"/>
    <x v="8"/>
    <x v="5"/>
    <s v="Junior"/>
    <s v="Full-Time"/>
    <x v="1"/>
    <x v="341"/>
    <x v="0"/>
    <s v="Onsite"/>
    <n v="50600"/>
    <n v="1"/>
    <n v="100"/>
    <n v="3"/>
    <n v="13"/>
    <n v="4"/>
    <n v="7"/>
    <n v="23"/>
    <s v="Naukri"/>
    <n v="4217"/>
    <n v="3.8"/>
    <s v="20-24"/>
    <s v="Good"/>
  </r>
  <r>
    <x v="366"/>
    <x v="168"/>
    <x v="0"/>
    <n v="31"/>
    <x v="14"/>
    <x v="4"/>
    <s v="Junior"/>
    <s v="Full-Time"/>
    <x v="4"/>
    <x v="27"/>
    <x v="0"/>
    <s v="Onsite"/>
    <n v="31300"/>
    <n v="7"/>
    <n v="87.8"/>
    <n v="6"/>
    <n v="9"/>
    <n v="4"/>
    <n v="11"/>
    <n v="23"/>
    <s v="Indeed"/>
    <n v="2608"/>
    <n v="6.1"/>
    <s v="30-34"/>
    <s v="Average"/>
  </r>
  <r>
    <x v="367"/>
    <x v="170"/>
    <x v="0"/>
    <n v="31"/>
    <x v="4"/>
    <x v="0"/>
    <s v="Senior"/>
    <s v="Contract"/>
    <x v="5"/>
    <x v="342"/>
    <x v="0"/>
    <s v="Hybrid"/>
    <n v="73700"/>
    <n v="10"/>
    <n v="88.4"/>
    <n v="5"/>
    <n v="5"/>
    <n v="2"/>
    <n v="29"/>
    <n v="21"/>
    <s v="LinkedIn"/>
    <n v="6142"/>
    <n v="2.1"/>
    <s v="30-34"/>
    <s v="Average"/>
  </r>
  <r>
    <x v="368"/>
    <x v="152"/>
    <x v="1"/>
    <n v="36"/>
    <x v="10"/>
    <x v="1"/>
    <s v="Senior"/>
    <s v="Full-Time"/>
    <x v="0"/>
    <x v="343"/>
    <x v="0"/>
    <s v="Onsite"/>
    <n v="63600"/>
    <n v="16"/>
    <n v="95.8"/>
    <n v="3"/>
    <n v="9"/>
    <n v="3"/>
    <n v="21"/>
    <n v="7"/>
    <s v="Naukri"/>
    <n v="5300"/>
    <n v="3.4"/>
    <s v="35-39"/>
    <s v="Good"/>
  </r>
  <r>
    <x v="369"/>
    <x v="37"/>
    <x v="1"/>
    <n v="46"/>
    <x v="14"/>
    <x v="5"/>
    <s v="Junior"/>
    <s v="Full-Time"/>
    <x v="3"/>
    <x v="344"/>
    <x v="1"/>
    <s v="Hybrid"/>
    <n v="53100"/>
    <n v="25"/>
    <n v="90.2"/>
    <n v="6"/>
    <n v="14"/>
    <n v="4"/>
    <n v="5"/>
    <n v="14"/>
    <s v="Consultancy"/>
    <n v="4425"/>
    <n v="3.2"/>
    <s v="45+"/>
    <s v="Excellent"/>
  </r>
  <r>
    <x v="370"/>
    <x v="21"/>
    <x v="0"/>
    <n v="21"/>
    <x v="4"/>
    <x v="3"/>
    <s v="Junior"/>
    <s v="Full-Time"/>
    <x v="7"/>
    <x v="345"/>
    <x v="0"/>
    <s v="Onsite"/>
    <n v="50600"/>
    <n v="2"/>
    <n v="85.6"/>
    <n v="6"/>
    <n v="10"/>
    <n v="3"/>
    <n v="28"/>
    <n v="12"/>
    <s v="Employee Referral"/>
    <n v="4217"/>
    <n v="4.2"/>
    <s v="20-24"/>
    <s v="Excellent"/>
  </r>
  <r>
    <x v="371"/>
    <x v="42"/>
    <x v="0"/>
    <n v="40"/>
    <x v="7"/>
    <x v="0"/>
    <s v="Junior"/>
    <s v="Full-Time"/>
    <x v="2"/>
    <x v="209"/>
    <x v="0"/>
    <s v="Hybrid"/>
    <n v="39900"/>
    <n v="16"/>
    <n v="97.2"/>
    <n v="1"/>
    <n v="3"/>
    <n v="3"/>
    <n v="29"/>
    <n v="2"/>
    <s v="Campus Hiring"/>
    <n v="3325"/>
    <n v="7.5"/>
    <s v="40-44"/>
    <s v="Good"/>
  </r>
  <r>
    <x v="372"/>
    <x v="184"/>
    <x v="1"/>
    <n v="44"/>
    <x v="5"/>
    <x v="3"/>
    <s v="Senior"/>
    <s v="Full-Time"/>
    <x v="1"/>
    <x v="346"/>
    <x v="0"/>
    <s v="Onsite"/>
    <n v="85200"/>
    <n v="21"/>
    <n v="100"/>
    <n v="6"/>
    <n v="7"/>
    <n v="4"/>
    <n v="7"/>
    <n v="10"/>
    <s v="Consultancy"/>
    <n v="7100"/>
    <n v="4.7"/>
    <s v="40-44"/>
    <s v="Excellent"/>
  </r>
  <r>
    <x v="373"/>
    <x v="30"/>
    <x v="0"/>
    <n v="46"/>
    <x v="8"/>
    <x v="1"/>
    <s v="Senior"/>
    <s v="Full-Time"/>
    <x v="7"/>
    <x v="297"/>
    <x v="0"/>
    <s v="Hybrid"/>
    <n v="64800"/>
    <n v="26"/>
    <n v="85.9"/>
    <n v="8"/>
    <n v="3"/>
    <n v="2"/>
    <n v="30"/>
    <n v="20"/>
    <s v="Naukri"/>
    <n v="5400"/>
    <n v="0.4"/>
    <s v="45+"/>
    <s v="Good"/>
  </r>
  <r>
    <x v="374"/>
    <x v="100"/>
    <x v="0"/>
    <n v="33"/>
    <x v="5"/>
    <x v="3"/>
    <s v="Junior"/>
    <s v="Full-Time"/>
    <x v="3"/>
    <x v="347"/>
    <x v="0"/>
    <s v="Remote"/>
    <n v="51000"/>
    <n v="14"/>
    <n v="97.1"/>
    <n v="5"/>
    <n v="4"/>
    <n v="1"/>
    <n v="22"/>
    <n v="6"/>
    <s v="Employee Referral"/>
    <n v="4250"/>
    <n v="4"/>
    <s v="30-34"/>
    <s v="Good"/>
  </r>
  <r>
    <x v="375"/>
    <x v="146"/>
    <x v="1"/>
    <n v="31"/>
    <x v="8"/>
    <x v="6"/>
    <s v="Senior"/>
    <s v="Contract"/>
    <x v="5"/>
    <x v="348"/>
    <x v="0"/>
    <s v="Hybrid"/>
    <n v="63200"/>
    <n v="12"/>
    <n v="88.5"/>
    <n v="5"/>
    <n v="1"/>
    <n v="0"/>
    <n v="14"/>
    <n v="8"/>
    <s v="Campus Hiring"/>
    <n v="5267"/>
    <n v="5.3"/>
    <s v="30-34"/>
    <s v="Good"/>
  </r>
  <r>
    <x v="376"/>
    <x v="141"/>
    <x v="0"/>
    <n v="47"/>
    <x v="14"/>
    <x v="3"/>
    <s v="Junior"/>
    <s v="Full-Time"/>
    <x v="7"/>
    <x v="349"/>
    <x v="0"/>
    <s v="Hybrid"/>
    <n v="49000"/>
    <n v="24"/>
    <n v="80.599999999999994"/>
    <n v="5"/>
    <n v="9"/>
    <n v="1"/>
    <n v="15"/>
    <n v="3"/>
    <s v="LinkedIn"/>
    <n v="4083"/>
    <n v="4.0999999999999996"/>
    <s v="45+"/>
    <s v="Good"/>
  </r>
  <r>
    <x v="377"/>
    <x v="17"/>
    <x v="1"/>
    <n v="32"/>
    <x v="11"/>
    <x v="5"/>
    <s v="Lead"/>
    <s v="Full-Time"/>
    <x v="2"/>
    <x v="350"/>
    <x v="0"/>
    <s v="Remote"/>
    <n v="116300"/>
    <n v="11"/>
    <n v="94.3"/>
    <n v="1"/>
    <n v="15"/>
    <n v="0"/>
    <n v="28"/>
    <n v="21"/>
    <s v="Employee Referral"/>
    <n v="9692"/>
    <n v="1.2"/>
    <s v="30-34"/>
    <s v="Good"/>
  </r>
  <r>
    <x v="378"/>
    <x v="185"/>
    <x v="0"/>
    <n v="24"/>
    <x v="12"/>
    <x v="7"/>
    <s v="Lead"/>
    <s v="Part-Time"/>
    <x v="0"/>
    <x v="351"/>
    <x v="2"/>
    <s v="Onsite"/>
    <n v="65800"/>
    <n v="5"/>
    <n v="81.599999999999994"/>
    <n v="5"/>
    <n v="3"/>
    <n v="4"/>
    <n v="30"/>
    <n v="16"/>
    <s v="Campus Hiring"/>
    <n v="5483"/>
    <n v="5.6"/>
    <s v="20-24"/>
    <s v="Good"/>
  </r>
  <r>
    <x v="379"/>
    <x v="24"/>
    <x v="0"/>
    <n v="24"/>
    <x v="7"/>
    <x v="3"/>
    <s v="Senior"/>
    <s v="Full-Time"/>
    <x v="2"/>
    <x v="352"/>
    <x v="0"/>
    <s v="Onsite"/>
    <n v="101100"/>
    <n v="2"/>
    <n v="87.3"/>
    <n v="5"/>
    <n v="14"/>
    <n v="1"/>
    <n v="4"/>
    <n v="30"/>
    <s v="LinkedIn"/>
    <n v="8425"/>
    <n v="5.2"/>
    <s v="20-24"/>
    <s v="Good"/>
  </r>
  <r>
    <x v="380"/>
    <x v="92"/>
    <x v="0"/>
    <n v="36"/>
    <x v="3"/>
    <x v="5"/>
    <s v="Lead"/>
    <s v="Contract"/>
    <x v="4"/>
    <x v="353"/>
    <x v="0"/>
    <s v="Hybrid"/>
    <n v="105800"/>
    <n v="13"/>
    <n v="89.6"/>
    <n v="8"/>
    <n v="9"/>
    <n v="1"/>
    <n v="10"/>
    <n v="7"/>
    <s v="Campus Hiring"/>
    <n v="8817"/>
    <n v="6.9"/>
    <s v="35-39"/>
    <s v="Good"/>
  </r>
  <r>
    <x v="381"/>
    <x v="108"/>
    <x v="0"/>
    <n v="24"/>
    <x v="5"/>
    <x v="5"/>
    <s v="Lead"/>
    <s v="Full-Time"/>
    <x v="4"/>
    <x v="218"/>
    <x v="1"/>
    <s v="Hybrid"/>
    <n v="116300"/>
    <n v="5"/>
    <n v="90.8"/>
    <n v="1"/>
    <n v="13"/>
    <n v="0"/>
    <n v="29"/>
    <n v="2"/>
    <s v="Consultancy"/>
    <n v="9692"/>
    <n v="3.3"/>
    <s v="20-24"/>
    <s v="Good"/>
  </r>
  <r>
    <x v="382"/>
    <x v="145"/>
    <x v="1"/>
    <n v="43"/>
    <x v="11"/>
    <x v="1"/>
    <s v="Lead"/>
    <s v="Full-Time"/>
    <x v="0"/>
    <x v="354"/>
    <x v="0"/>
    <s v="Hybrid"/>
    <n v="103400"/>
    <n v="20"/>
    <n v="96.5"/>
    <n v="8"/>
    <n v="9"/>
    <n v="2"/>
    <n v="24"/>
    <n v="23"/>
    <s v="LinkedIn"/>
    <n v="8617"/>
    <n v="8.5"/>
    <s v="40-44"/>
    <s v="Good"/>
  </r>
  <r>
    <x v="383"/>
    <x v="142"/>
    <x v="1"/>
    <n v="44"/>
    <x v="6"/>
    <x v="3"/>
    <s v="Senior"/>
    <s v="Full-Time"/>
    <x v="3"/>
    <x v="355"/>
    <x v="0"/>
    <s v="Onsite"/>
    <n v="97200"/>
    <n v="21"/>
    <n v="87.9"/>
    <n v="4"/>
    <n v="2"/>
    <n v="4"/>
    <n v="16"/>
    <n v="6"/>
    <s v="Company Website"/>
    <n v="8100"/>
    <n v="1.1000000000000001"/>
    <s v="40-44"/>
    <s v="Good"/>
  </r>
  <r>
    <x v="384"/>
    <x v="186"/>
    <x v="0"/>
    <n v="45"/>
    <x v="0"/>
    <x v="6"/>
    <s v="Associate"/>
    <s v="Full-Time"/>
    <x v="5"/>
    <x v="203"/>
    <x v="0"/>
    <s v="Hybrid"/>
    <n v="55000"/>
    <n v="25"/>
    <n v="98"/>
    <n v="8"/>
    <n v="11"/>
    <n v="4"/>
    <n v="12"/>
    <n v="3"/>
    <s v="Consultancy"/>
    <n v="4583"/>
    <n v="7"/>
    <s v="45+"/>
    <s v="Good"/>
  </r>
  <r>
    <x v="385"/>
    <x v="97"/>
    <x v="0"/>
    <n v="38"/>
    <x v="9"/>
    <x v="6"/>
    <s v="Junior"/>
    <s v="Full-Time"/>
    <x v="1"/>
    <x v="356"/>
    <x v="0"/>
    <s v="Hybrid"/>
    <n v="38500"/>
    <n v="17"/>
    <n v="90.5"/>
    <n v="1"/>
    <n v="14"/>
    <n v="4"/>
    <n v="19"/>
    <n v="23"/>
    <s v="Company Website"/>
    <n v="3208"/>
    <n v="5.7"/>
    <s v="35-39"/>
    <s v="Good"/>
  </r>
  <r>
    <x v="386"/>
    <x v="187"/>
    <x v="0"/>
    <n v="23"/>
    <x v="14"/>
    <x v="5"/>
    <s v="Associate"/>
    <s v="Full-Time"/>
    <x v="4"/>
    <x v="357"/>
    <x v="0"/>
    <s v="Hybrid"/>
    <n v="56500"/>
    <n v="2"/>
    <n v="85.6"/>
    <n v="4"/>
    <n v="11"/>
    <n v="1"/>
    <n v="30"/>
    <n v="22"/>
    <s v="Indeed"/>
    <n v="4708"/>
    <n v="5.5"/>
    <s v="20-24"/>
    <s v="Average"/>
  </r>
  <r>
    <x v="387"/>
    <x v="188"/>
    <x v="1"/>
    <n v="26"/>
    <x v="14"/>
    <x v="5"/>
    <s v="Senior"/>
    <s v="Full-Time"/>
    <x v="2"/>
    <x v="358"/>
    <x v="0"/>
    <s v="Onsite"/>
    <n v="86400"/>
    <n v="6"/>
    <n v="94"/>
    <n v="1"/>
    <n v="15"/>
    <n v="3"/>
    <n v="25"/>
    <n v="30"/>
    <s v="Campus Hiring"/>
    <n v="7200"/>
    <n v="5.4"/>
    <s v="25-29"/>
    <s v="Good"/>
  </r>
  <r>
    <x v="388"/>
    <x v="115"/>
    <x v="1"/>
    <n v="42"/>
    <x v="12"/>
    <x v="7"/>
    <s v="Junior"/>
    <s v="Full-Time"/>
    <x v="1"/>
    <x v="359"/>
    <x v="0"/>
    <s v="Hybrid"/>
    <n v="25500"/>
    <n v="19"/>
    <n v="100"/>
    <n v="4"/>
    <n v="7"/>
    <n v="0"/>
    <n v="27"/>
    <n v="15"/>
    <s v="Company Website"/>
    <n v="2125"/>
    <n v="5.3"/>
    <s v="40-44"/>
    <s v="Excellent"/>
  </r>
  <r>
    <x v="389"/>
    <x v="5"/>
    <x v="1"/>
    <n v="36"/>
    <x v="12"/>
    <x v="5"/>
    <s v="Associate"/>
    <s v="Full-Time"/>
    <x v="2"/>
    <x v="360"/>
    <x v="2"/>
    <s v="Remote"/>
    <n v="63100"/>
    <n v="13"/>
    <n v="88.7"/>
    <n v="6"/>
    <n v="7"/>
    <n v="1"/>
    <n v="26"/>
    <n v="18"/>
    <s v="Employee Referral"/>
    <n v="5258"/>
    <n v="3.7"/>
    <s v="35-39"/>
    <s v="Excellent"/>
  </r>
  <r>
    <x v="390"/>
    <x v="124"/>
    <x v="0"/>
    <n v="30"/>
    <x v="4"/>
    <x v="2"/>
    <s v="Associate"/>
    <s v="Full-Time"/>
    <x v="1"/>
    <x v="361"/>
    <x v="0"/>
    <s v="Onsite"/>
    <n v="46300"/>
    <n v="8"/>
    <n v="85.8"/>
    <n v="6"/>
    <n v="13"/>
    <n v="2"/>
    <n v="24"/>
    <n v="30"/>
    <s v="Consultancy"/>
    <n v="3858"/>
    <n v="7.5"/>
    <s v="30-34"/>
    <s v="Good"/>
  </r>
  <r>
    <x v="391"/>
    <x v="189"/>
    <x v="1"/>
    <n v="25"/>
    <x v="6"/>
    <x v="3"/>
    <s v="Junior"/>
    <s v="Full-Time"/>
    <x v="5"/>
    <x v="362"/>
    <x v="0"/>
    <s v="Hybrid"/>
    <n v="48100"/>
    <n v="6"/>
    <n v="88.1"/>
    <n v="6"/>
    <n v="6"/>
    <n v="2"/>
    <n v="15"/>
    <n v="13"/>
    <s v="Naukri"/>
    <n v="4008"/>
    <n v="5.0999999999999996"/>
    <s v="25-29"/>
    <s v="Good"/>
  </r>
  <r>
    <x v="392"/>
    <x v="137"/>
    <x v="0"/>
    <n v="32"/>
    <x v="5"/>
    <x v="0"/>
    <s v="Senior"/>
    <s v="Full-Time"/>
    <x v="0"/>
    <x v="288"/>
    <x v="1"/>
    <s v="Hybrid"/>
    <n v="64500"/>
    <n v="9"/>
    <n v="82.3"/>
    <n v="4"/>
    <n v="5"/>
    <n v="1"/>
    <n v="17"/>
    <n v="28"/>
    <s v="Campus Hiring"/>
    <n v="5375"/>
    <n v="4.7"/>
    <s v="30-34"/>
    <s v="Good"/>
  </r>
  <r>
    <x v="393"/>
    <x v="6"/>
    <x v="1"/>
    <n v="31"/>
    <x v="6"/>
    <x v="2"/>
    <s v="Lead"/>
    <s v="Full-Time"/>
    <x v="6"/>
    <x v="363"/>
    <x v="2"/>
    <s v="Hybrid"/>
    <n v="92900"/>
    <n v="12"/>
    <n v="92.5"/>
    <n v="6"/>
    <n v="8"/>
    <n v="0"/>
    <n v="12"/>
    <n v="7"/>
    <s v="LinkedIn"/>
    <n v="7742"/>
    <n v="7.6"/>
    <s v="30-34"/>
    <s v="Excellent"/>
  </r>
  <r>
    <x v="394"/>
    <x v="6"/>
    <x v="0"/>
    <n v="49"/>
    <x v="7"/>
    <x v="5"/>
    <s v="Senior"/>
    <s v="Full-Time"/>
    <x v="7"/>
    <x v="364"/>
    <x v="0"/>
    <s v="Onsite"/>
    <n v="80100"/>
    <n v="25"/>
    <n v="83.2"/>
    <n v="5"/>
    <n v="13"/>
    <n v="4"/>
    <n v="28"/>
    <n v="8"/>
    <s v="Campus Hiring"/>
    <n v="6675"/>
    <n v="5.6"/>
    <s v="45+"/>
    <s v="Good"/>
  </r>
  <r>
    <x v="395"/>
    <x v="44"/>
    <x v="0"/>
    <n v="44"/>
    <x v="6"/>
    <x v="2"/>
    <s v="Senior"/>
    <s v="Full-Time"/>
    <x v="7"/>
    <x v="241"/>
    <x v="0"/>
    <s v="Onsite"/>
    <n v="59300"/>
    <n v="25"/>
    <n v="94.2"/>
    <n v="6"/>
    <n v="3"/>
    <n v="4"/>
    <n v="2"/>
    <n v="17"/>
    <s v="Consultancy"/>
    <n v="4942"/>
    <n v="2.4"/>
    <s v="40-44"/>
    <s v="Good"/>
  </r>
  <r>
    <x v="396"/>
    <x v="32"/>
    <x v="1"/>
    <n v="24"/>
    <x v="9"/>
    <x v="5"/>
    <s v="Senior"/>
    <s v="Full-Time"/>
    <x v="0"/>
    <x v="365"/>
    <x v="0"/>
    <s v="Hybrid"/>
    <n v="92800"/>
    <n v="1"/>
    <n v="89.7"/>
    <n v="4"/>
    <n v="3"/>
    <n v="3"/>
    <n v="2"/>
    <n v="26"/>
    <s v="Company Website"/>
    <n v="7733"/>
    <n v="5.7"/>
    <s v="20-24"/>
    <s v="Average"/>
  </r>
  <r>
    <x v="397"/>
    <x v="190"/>
    <x v="1"/>
    <n v="43"/>
    <x v="14"/>
    <x v="7"/>
    <s v="Associate"/>
    <s v="Full-Time"/>
    <x v="0"/>
    <x v="28"/>
    <x v="0"/>
    <s v="Onsite"/>
    <n v="40600"/>
    <n v="21"/>
    <n v="94.5"/>
    <n v="1"/>
    <n v="15"/>
    <n v="1"/>
    <n v="5"/>
    <n v="28"/>
    <s v="LinkedIn"/>
    <n v="3383"/>
    <n v="3.3"/>
    <s v="40-44"/>
    <s v="Excellent"/>
  </r>
  <r>
    <x v="398"/>
    <x v="187"/>
    <x v="0"/>
    <n v="46"/>
    <x v="13"/>
    <x v="4"/>
    <s v="Junior"/>
    <s v="Part-Time"/>
    <x v="3"/>
    <x v="345"/>
    <x v="0"/>
    <s v="Onsite"/>
    <n v="28300"/>
    <n v="22"/>
    <n v="89.7"/>
    <n v="8"/>
    <n v="5"/>
    <n v="3"/>
    <n v="14"/>
    <n v="14"/>
    <s v="Employee Referral"/>
    <n v="2358"/>
    <n v="4.2"/>
    <s v="45+"/>
    <s v="Good"/>
  </r>
  <r>
    <x v="399"/>
    <x v="112"/>
    <x v="0"/>
    <n v="29"/>
    <x v="12"/>
    <x v="1"/>
    <s v="Lead"/>
    <s v="Full-Time"/>
    <x v="4"/>
    <x v="366"/>
    <x v="1"/>
    <s v="Onsite"/>
    <n v="91700"/>
    <n v="7"/>
    <n v="93.4"/>
    <n v="1"/>
    <n v="15"/>
    <n v="2"/>
    <n v="18"/>
    <n v="3"/>
    <s v="Company Website"/>
    <n v="7642"/>
    <n v="3.3"/>
    <s v="25-29"/>
    <s v="Average"/>
  </r>
  <r>
    <x v="400"/>
    <x v="185"/>
    <x v="0"/>
    <n v="30"/>
    <x v="12"/>
    <x v="2"/>
    <s v="Junior"/>
    <s v="Full-Time"/>
    <x v="4"/>
    <x v="296"/>
    <x v="0"/>
    <s v="Hybrid"/>
    <n v="35300"/>
    <n v="11"/>
    <n v="86.1"/>
    <n v="2"/>
    <n v="0"/>
    <n v="4"/>
    <n v="2"/>
    <n v="23"/>
    <s v="Consultancy"/>
    <n v="2942"/>
    <n v="8.5"/>
    <s v="30-34"/>
    <s v="Good"/>
  </r>
  <r>
    <x v="401"/>
    <x v="148"/>
    <x v="1"/>
    <n v="28"/>
    <x v="13"/>
    <x v="5"/>
    <s v="Junior"/>
    <s v="Intern"/>
    <x v="2"/>
    <x v="367"/>
    <x v="0"/>
    <s v="Remote"/>
    <n v="42100"/>
    <n v="6"/>
    <n v="92.4"/>
    <n v="8"/>
    <n v="1"/>
    <n v="4"/>
    <n v="20"/>
    <n v="23"/>
    <s v="Company Website"/>
    <n v="3508"/>
    <n v="7.1"/>
    <s v="25-29"/>
    <s v="Excellent"/>
  </r>
  <r>
    <x v="402"/>
    <x v="79"/>
    <x v="0"/>
    <n v="45"/>
    <x v="12"/>
    <x v="7"/>
    <s v="Senior"/>
    <s v="Full-Time"/>
    <x v="1"/>
    <x v="368"/>
    <x v="0"/>
    <s v="Onsite"/>
    <n v="53200"/>
    <n v="26"/>
    <n v="87.7"/>
    <n v="1"/>
    <n v="1"/>
    <n v="3"/>
    <n v="28"/>
    <n v="18"/>
    <s v="Campus Hiring"/>
    <n v="4433"/>
    <n v="5.4"/>
    <s v="45+"/>
    <s v="Average"/>
  </r>
  <r>
    <x v="403"/>
    <x v="21"/>
    <x v="0"/>
    <n v="45"/>
    <x v="2"/>
    <x v="4"/>
    <s v="Junior"/>
    <s v="Full-Time"/>
    <x v="0"/>
    <x v="369"/>
    <x v="0"/>
    <s v="Hybrid"/>
    <n v="36200"/>
    <n v="24"/>
    <n v="94"/>
    <n v="7"/>
    <n v="12"/>
    <n v="1"/>
    <n v="2"/>
    <n v="30"/>
    <s v="Naukri"/>
    <n v="3017"/>
    <n v="7.8"/>
    <s v="45+"/>
    <s v="Average"/>
  </r>
  <r>
    <x v="404"/>
    <x v="142"/>
    <x v="0"/>
    <n v="32"/>
    <x v="4"/>
    <x v="2"/>
    <s v="Associate"/>
    <s v="Full-Time"/>
    <x v="1"/>
    <x v="370"/>
    <x v="0"/>
    <s v="Hybrid"/>
    <n v="47900"/>
    <n v="13"/>
    <n v="90.3"/>
    <n v="2"/>
    <n v="9"/>
    <n v="3"/>
    <n v="20"/>
    <n v="25"/>
    <s v="Naukri"/>
    <n v="3992"/>
    <n v="0.6"/>
    <s v="30-34"/>
    <s v="Average"/>
  </r>
  <r>
    <x v="405"/>
    <x v="154"/>
    <x v="1"/>
    <n v="22"/>
    <x v="7"/>
    <x v="5"/>
    <s v="Intern"/>
    <s v="Full-Time"/>
    <x v="2"/>
    <x v="371"/>
    <x v="0"/>
    <s v="Hybrid"/>
    <n v="26400"/>
    <n v="2"/>
    <n v="96.5"/>
    <n v="5"/>
    <n v="3"/>
    <n v="2"/>
    <n v="2"/>
    <n v="6"/>
    <s v="Campus Hiring"/>
    <n v="2200"/>
    <n v="2.4"/>
    <s v="20-24"/>
    <s v="Average"/>
  </r>
  <r>
    <x v="406"/>
    <x v="22"/>
    <x v="1"/>
    <n v="36"/>
    <x v="1"/>
    <x v="2"/>
    <s v="Junior"/>
    <s v="Full-Time"/>
    <x v="1"/>
    <x v="313"/>
    <x v="0"/>
    <s v="Onsite"/>
    <n v="34800"/>
    <n v="14"/>
    <n v="89.7"/>
    <n v="8"/>
    <n v="15"/>
    <n v="1"/>
    <n v="17"/>
    <n v="3"/>
    <s v="Consultancy"/>
    <n v="2900"/>
    <n v="0.1"/>
    <s v="35-39"/>
    <s v="Average"/>
  </r>
  <r>
    <x v="407"/>
    <x v="176"/>
    <x v="1"/>
    <n v="49"/>
    <x v="5"/>
    <x v="5"/>
    <s v="Junior"/>
    <s v="Full-Time"/>
    <x v="4"/>
    <x v="372"/>
    <x v="0"/>
    <s v="Hybrid"/>
    <n v="47600"/>
    <n v="26"/>
    <n v="87.3"/>
    <n v="2"/>
    <n v="4"/>
    <n v="2"/>
    <n v="7"/>
    <n v="22"/>
    <s v="Consultancy"/>
    <n v="3967"/>
    <n v="0.6"/>
    <s v="45+"/>
    <s v="Good"/>
  </r>
  <r>
    <x v="408"/>
    <x v="191"/>
    <x v="0"/>
    <n v="49"/>
    <x v="10"/>
    <x v="1"/>
    <s v="Junior"/>
    <s v="Full-Time"/>
    <x v="6"/>
    <x v="373"/>
    <x v="0"/>
    <s v="Onsite"/>
    <n v="28900"/>
    <n v="28"/>
    <n v="91.7"/>
    <n v="8"/>
    <n v="12"/>
    <n v="1"/>
    <n v="15"/>
    <n v="21"/>
    <s v="Consultancy"/>
    <n v="2408"/>
    <n v="5.4"/>
    <s v="45+"/>
    <s v="Good"/>
  </r>
  <r>
    <x v="409"/>
    <x v="84"/>
    <x v="1"/>
    <n v="37"/>
    <x v="8"/>
    <x v="0"/>
    <s v="Senior"/>
    <s v="Full-Time"/>
    <x v="7"/>
    <x v="374"/>
    <x v="0"/>
    <s v="Hybrid"/>
    <n v="66300"/>
    <n v="13"/>
    <n v="100"/>
    <n v="6"/>
    <n v="13"/>
    <n v="3"/>
    <n v="2"/>
    <n v="24"/>
    <s v="Consultancy"/>
    <n v="5525"/>
    <n v="4.9000000000000004"/>
    <s v="35-39"/>
    <s v="Average"/>
  </r>
  <r>
    <x v="410"/>
    <x v="101"/>
    <x v="0"/>
    <n v="24"/>
    <x v="7"/>
    <x v="7"/>
    <s v="Lead"/>
    <s v="Full-Time"/>
    <x v="3"/>
    <x v="375"/>
    <x v="0"/>
    <s v="Onsite"/>
    <n v="60100"/>
    <n v="5"/>
    <n v="96.4"/>
    <n v="4"/>
    <n v="13"/>
    <n v="0"/>
    <n v="21"/>
    <n v="27"/>
    <s v="Company Website"/>
    <n v="5008"/>
    <n v="4.5999999999999996"/>
    <s v="20-24"/>
    <s v="Good"/>
  </r>
  <r>
    <x v="411"/>
    <x v="89"/>
    <x v="0"/>
    <n v="35"/>
    <x v="3"/>
    <x v="0"/>
    <s v="Associate"/>
    <s v="Full-Time"/>
    <x v="2"/>
    <x v="376"/>
    <x v="2"/>
    <s v="Remote"/>
    <n v="46500"/>
    <n v="15"/>
    <n v="87"/>
    <n v="7"/>
    <n v="1"/>
    <n v="3"/>
    <n v="10"/>
    <n v="25"/>
    <s v="LinkedIn"/>
    <n v="3875"/>
    <n v="2.4"/>
    <s v="35-39"/>
    <s v="Good"/>
  </r>
  <r>
    <x v="412"/>
    <x v="149"/>
    <x v="0"/>
    <n v="49"/>
    <x v="6"/>
    <x v="3"/>
    <s v="Lead"/>
    <s v="Full-Time"/>
    <x v="2"/>
    <x v="377"/>
    <x v="1"/>
    <s v="Onsite"/>
    <n v="107300"/>
    <n v="28"/>
    <n v="91"/>
    <n v="5"/>
    <n v="7"/>
    <n v="1"/>
    <n v="15"/>
    <n v="2"/>
    <s v="Employee Referral"/>
    <n v="8942"/>
    <n v="3.5"/>
    <s v="45+"/>
    <s v="Good"/>
  </r>
  <r>
    <x v="413"/>
    <x v="191"/>
    <x v="1"/>
    <n v="45"/>
    <x v="4"/>
    <x v="3"/>
    <s v="Junior"/>
    <s v="Full-Time"/>
    <x v="3"/>
    <x v="378"/>
    <x v="0"/>
    <s v="Hybrid"/>
    <n v="43400"/>
    <n v="23"/>
    <n v="87.7"/>
    <n v="6"/>
    <n v="4"/>
    <n v="2"/>
    <n v="1"/>
    <n v="2"/>
    <s v="Employee Referral"/>
    <n v="3617"/>
    <n v="5.0999999999999996"/>
    <s v="45+"/>
    <s v="Average"/>
  </r>
  <r>
    <x v="414"/>
    <x v="192"/>
    <x v="0"/>
    <n v="42"/>
    <x v="10"/>
    <x v="5"/>
    <s v="Associate"/>
    <s v="Full-Time"/>
    <x v="4"/>
    <x v="335"/>
    <x v="2"/>
    <s v="Hybrid"/>
    <n v="63200"/>
    <n v="21"/>
    <n v="86.6"/>
    <n v="2"/>
    <n v="7"/>
    <n v="3"/>
    <n v="0"/>
    <n v="9"/>
    <s v="Naukri"/>
    <n v="5267"/>
    <n v="8.3000000000000007"/>
    <s v="40-44"/>
    <s v="Excellent"/>
  </r>
  <r>
    <x v="415"/>
    <x v="34"/>
    <x v="1"/>
    <n v="35"/>
    <x v="5"/>
    <x v="2"/>
    <s v="Junior"/>
    <s v="Full-Time"/>
    <x v="4"/>
    <x v="379"/>
    <x v="0"/>
    <s v="Remote"/>
    <n v="37600"/>
    <n v="12"/>
    <n v="91.1"/>
    <n v="5"/>
    <n v="8"/>
    <n v="1"/>
    <n v="7"/>
    <n v="12"/>
    <s v="LinkedIn"/>
    <n v="3133"/>
    <n v="0.7"/>
    <s v="35-39"/>
    <s v="Good"/>
  </r>
  <r>
    <x v="416"/>
    <x v="63"/>
    <x v="0"/>
    <n v="30"/>
    <x v="6"/>
    <x v="5"/>
    <s v="Senior"/>
    <s v="Part-Time"/>
    <x v="2"/>
    <x v="148"/>
    <x v="0"/>
    <s v="Onsite"/>
    <n v="99200"/>
    <n v="7"/>
    <n v="89.7"/>
    <n v="2"/>
    <n v="14"/>
    <n v="2"/>
    <n v="11"/>
    <n v="13"/>
    <s v="Consultancy"/>
    <n v="8267"/>
    <n v="3.8"/>
    <s v="30-34"/>
    <s v="Average"/>
  </r>
  <r>
    <x v="417"/>
    <x v="193"/>
    <x v="0"/>
    <n v="41"/>
    <x v="7"/>
    <x v="1"/>
    <s v="Associate"/>
    <s v="Full-Time"/>
    <x v="3"/>
    <x v="380"/>
    <x v="0"/>
    <s v="Remote"/>
    <n v="54700"/>
    <n v="18"/>
    <n v="85.8"/>
    <n v="6"/>
    <n v="12"/>
    <n v="2"/>
    <n v="18"/>
    <n v="5"/>
    <s v="LinkedIn"/>
    <n v="4558"/>
    <n v="6.6"/>
    <s v="40-44"/>
    <s v="Average"/>
  </r>
  <r>
    <x v="418"/>
    <x v="4"/>
    <x v="1"/>
    <n v="23"/>
    <x v="10"/>
    <x v="2"/>
    <s v="Senior"/>
    <s v="Full-Time"/>
    <x v="4"/>
    <x v="381"/>
    <x v="1"/>
    <s v="Hybrid"/>
    <n v="69800"/>
    <n v="3"/>
    <n v="87.7"/>
    <n v="5"/>
    <n v="10"/>
    <n v="2"/>
    <n v="17"/>
    <n v="25"/>
    <s v="Indeed"/>
    <n v="5817"/>
    <n v="2.6"/>
    <s v="20-24"/>
    <s v="Average"/>
  </r>
  <r>
    <x v="419"/>
    <x v="68"/>
    <x v="1"/>
    <n v="50"/>
    <x v="5"/>
    <x v="2"/>
    <s v="Senior"/>
    <s v="Full-Time"/>
    <x v="4"/>
    <x v="382"/>
    <x v="0"/>
    <s v="Hybrid"/>
    <n v="59900"/>
    <n v="29"/>
    <n v="91.3"/>
    <n v="7"/>
    <n v="8"/>
    <n v="1"/>
    <n v="17"/>
    <n v="8"/>
    <s v="Indeed"/>
    <n v="4992"/>
    <n v="4.8"/>
    <s v="45+"/>
    <s v="Good"/>
  </r>
  <r>
    <x v="420"/>
    <x v="193"/>
    <x v="1"/>
    <n v="28"/>
    <x v="8"/>
    <x v="2"/>
    <s v="Associate"/>
    <s v="Full-Time"/>
    <x v="0"/>
    <x v="383"/>
    <x v="0"/>
    <s v="Hybrid"/>
    <n v="47100"/>
    <n v="7"/>
    <n v="88.1"/>
    <n v="7"/>
    <n v="3"/>
    <n v="2"/>
    <n v="20"/>
    <n v="26"/>
    <s v="Indeed"/>
    <n v="3925"/>
    <n v="4.4000000000000004"/>
    <s v="25-29"/>
    <s v="Excellent"/>
  </r>
  <r>
    <x v="421"/>
    <x v="24"/>
    <x v="0"/>
    <n v="34"/>
    <x v="11"/>
    <x v="0"/>
    <s v="Senior"/>
    <s v="Full-Time"/>
    <x v="6"/>
    <x v="176"/>
    <x v="0"/>
    <s v="Hybrid"/>
    <n v="84500"/>
    <n v="12"/>
    <n v="90.9"/>
    <n v="5"/>
    <n v="9"/>
    <n v="2"/>
    <n v="21"/>
    <n v="14"/>
    <s v="Campus Hiring"/>
    <n v="7042"/>
    <n v="7.1"/>
    <s v="30-34"/>
    <s v="Good"/>
  </r>
  <r>
    <x v="422"/>
    <x v="194"/>
    <x v="0"/>
    <n v="31"/>
    <x v="2"/>
    <x v="4"/>
    <s v="Manager"/>
    <s v="Full-Time"/>
    <x v="5"/>
    <x v="384"/>
    <x v="0"/>
    <s v="Onsite"/>
    <n v="96700"/>
    <n v="7"/>
    <n v="87.5"/>
    <n v="1"/>
    <n v="1"/>
    <n v="3"/>
    <n v="10"/>
    <n v="8"/>
    <s v="Employee Referral"/>
    <n v="8058"/>
    <n v="8.1999999999999993"/>
    <s v="30-34"/>
    <s v="Average"/>
  </r>
  <r>
    <x v="423"/>
    <x v="85"/>
    <x v="1"/>
    <n v="46"/>
    <x v="6"/>
    <x v="5"/>
    <s v="Associate"/>
    <s v="Full-Time"/>
    <x v="5"/>
    <x v="159"/>
    <x v="0"/>
    <s v="Hybrid"/>
    <n v="57200"/>
    <n v="23"/>
    <n v="93.3"/>
    <n v="5"/>
    <n v="13"/>
    <n v="2"/>
    <n v="29"/>
    <n v="5"/>
    <s v="Employee Referral"/>
    <n v="4767"/>
    <n v="1.7"/>
    <s v="45+"/>
    <s v="Good"/>
  </r>
  <r>
    <x v="424"/>
    <x v="124"/>
    <x v="0"/>
    <n v="35"/>
    <x v="0"/>
    <x v="2"/>
    <s v="Associate"/>
    <s v="Part-Time"/>
    <x v="0"/>
    <x v="385"/>
    <x v="0"/>
    <s v="Onsite"/>
    <n v="45100"/>
    <n v="11"/>
    <n v="87.6"/>
    <n v="0"/>
    <n v="10"/>
    <n v="0"/>
    <n v="17"/>
    <n v="13"/>
    <s v="Company Website"/>
    <n v="3758"/>
    <n v="0.6"/>
    <s v="35-39"/>
    <s v="Good"/>
  </r>
  <r>
    <x v="425"/>
    <x v="107"/>
    <x v="1"/>
    <n v="23"/>
    <x v="7"/>
    <x v="6"/>
    <s v="Senior"/>
    <s v="Full-Time"/>
    <x v="4"/>
    <x v="386"/>
    <x v="0"/>
    <s v="Hybrid"/>
    <n v="70900"/>
    <n v="0"/>
    <n v="94.2"/>
    <n v="5"/>
    <n v="1"/>
    <n v="1"/>
    <n v="5"/>
    <n v="22"/>
    <s v="Consultancy"/>
    <n v="5908"/>
    <n v="3.1"/>
    <s v="20-24"/>
    <s v="Good"/>
  </r>
  <r>
    <x v="426"/>
    <x v="118"/>
    <x v="1"/>
    <n v="22"/>
    <x v="14"/>
    <x v="2"/>
    <s v="Senior"/>
    <s v="Part-Time"/>
    <x v="1"/>
    <x v="348"/>
    <x v="0"/>
    <s v="Onsite"/>
    <n v="64800"/>
    <n v="0"/>
    <n v="89.5"/>
    <n v="5"/>
    <n v="15"/>
    <n v="2"/>
    <n v="0"/>
    <n v="24"/>
    <s v="Campus Hiring"/>
    <n v="5400"/>
    <n v="5.3"/>
    <s v="20-24"/>
    <s v="Good"/>
  </r>
  <r>
    <x v="427"/>
    <x v="152"/>
    <x v="0"/>
    <n v="46"/>
    <x v="13"/>
    <x v="0"/>
    <s v="Junior"/>
    <s v="Full-Time"/>
    <x v="7"/>
    <x v="387"/>
    <x v="0"/>
    <s v="Onsite"/>
    <n v="32600"/>
    <n v="23"/>
    <n v="80.3"/>
    <n v="5"/>
    <n v="11"/>
    <n v="2"/>
    <n v="8"/>
    <n v="19"/>
    <s v="Campus Hiring"/>
    <n v="2717"/>
    <n v="1.7"/>
    <s v="45+"/>
    <s v="Good"/>
  </r>
  <r>
    <x v="428"/>
    <x v="12"/>
    <x v="0"/>
    <n v="40"/>
    <x v="0"/>
    <x v="4"/>
    <s v="Associate"/>
    <s v="Full-Time"/>
    <x v="7"/>
    <x v="388"/>
    <x v="0"/>
    <s v="Hybrid"/>
    <n v="42000"/>
    <n v="18"/>
    <n v="89.7"/>
    <n v="8"/>
    <n v="4"/>
    <n v="4"/>
    <n v="19"/>
    <n v="14"/>
    <s v="Company Website"/>
    <n v="3500"/>
    <n v="5.6"/>
    <s v="40-44"/>
    <s v="Excellent"/>
  </r>
  <r>
    <x v="429"/>
    <x v="125"/>
    <x v="1"/>
    <n v="50"/>
    <x v="0"/>
    <x v="4"/>
    <s v="Associate"/>
    <s v="Intern"/>
    <x v="6"/>
    <x v="263"/>
    <x v="0"/>
    <s v="Onsite"/>
    <n v="48400"/>
    <n v="30"/>
    <n v="93.5"/>
    <n v="3"/>
    <n v="9"/>
    <n v="3"/>
    <n v="15"/>
    <n v="20"/>
    <s v="Employee Referral"/>
    <n v="4033"/>
    <n v="5.8"/>
    <s v="45+"/>
    <s v="Good"/>
  </r>
  <r>
    <x v="430"/>
    <x v="145"/>
    <x v="0"/>
    <n v="23"/>
    <x v="1"/>
    <x v="5"/>
    <s v="Associate"/>
    <s v="Full-Time"/>
    <x v="2"/>
    <x v="230"/>
    <x v="0"/>
    <s v="Onsite"/>
    <n v="63500"/>
    <n v="0"/>
    <n v="88.2"/>
    <n v="6"/>
    <n v="3"/>
    <n v="2"/>
    <n v="28"/>
    <n v="4"/>
    <s v="LinkedIn"/>
    <n v="5292"/>
    <n v="5.7"/>
    <s v="20-24"/>
    <s v="Good"/>
  </r>
  <r>
    <x v="431"/>
    <x v="99"/>
    <x v="0"/>
    <n v="21"/>
    <x v="1"/>
    <x v="4"/>
    <s v="Junior"/>
    <s v="Part-Time"/>
    <x v="4"/>
    <x v="389"/>
    <x v="1"/>
    <s v="Hybrid"/>
    <n v="33400"/>
    <n v="0"/>
    <n v="90"/>
    <n v="2"/>
    <n v="5"/>
    <n v="3"/>
    <n v="29"/>
    <n v="15"/>
    <s v="Campus Hiring"/>
    <n v="2783"/>
    <n v="1.7"/>
    <s v="20-24"/>
    <s v="Average"/>
  </r>
  <r>
    <x v="432"/>
    <x v="194"/>
    <x v="0"/>
    <n v="38"/>
    <x v="10"/>
    <x v="7"/>
    <s v="Lead"/>
    <s v="Full-Time"/>
    <x v="2"/>
    <x v="74"/>
    <x v="0"/>
    <s v="Onsite"/>
    <n v="68400"/>
    <n v="16"/>
    <n v="94.1"/>
    <n v="7"/>
    <n v="8"/>
    <n v="3"/>
    <n v="28"/>
    <n v="17"/>
    <s v="LinkedIn"/>
    <n v="5700"/>
    <n v="3.8"/>
    <s v="35-39"/>
    <s v="Good"/>
  </r>
  <r>
    <x v="433"/>
    <x v="195"/>
    <x v="0"/>
    <n v="26"/>
    <x v="13"/>
    <x v="3"/>
    <s v="Senior"/>
    <s v="Full-Time"/>
    <x v="1"/>
    <x v="390"/>
    <x v="0"/>
    <s v="Hybrid"/>
    <n v="92700"/>
    <n v="5"/>
    <n v="98.6"/>
    <n v="1"/>
    <n v="6"/>
    <n v="0"/>
    <n v="4"/>
    <n v="26"/>
    <s v="Consultancy"/>
    <n v="7725"/>
    <n v="3"/>
    <s v="25-29"/>
    <s v="Excellent"/>
  </r>
  <r>
    <x v="434"/>
    <x v="126"/>
    <x v="0"/>
    <n v="47"/>
    <x v="1"/>
    <x v="6"/>
    <s v="Associate"/>
    <s v="Full-Time"/>
    <x v="7"/>
    <x v="391"/>
    <x v="0"/>
    <s v="Onsite"/>
    <n v="46600"/>
    <n v="25"/>
    <n v="96.8"/>
    <n v="1"/>
    <n v="15"/>
    <n v="1"/>
    <n v="18"/>
    <n v="3"/>
    <s v="Consultancy"/>
    <n v="3883"/>
    <n v="3.8"/>
    <s v="45+"/>
    <s v="Average"/>
  </r>
  <r>
    <x v="435"/>
    <x v="8"/>
    <x v="1"/>
    <n v="21"/>
    <x v="13"/>
    <x v="1"/>
    <s v="Senior"/>
    <s v="Full-Time"/>
    <x v="0"/>
    <x v="392"/>
    <x v="0"/>
    <s v="Hybrid"/>
    <n v="71100"/>
    <n v="0"/>
    <n v="91.5"/>
    <n v="4"/>
    <n v="11"/>
    <n v="0"/>
    <n v="21"/>
    <n v="21"/>
    <s v="Naukri"/>
    <n v="5925"/>
    <n v="2.6"/>
    <s v="20-24"/>
    <s v="Good"/>
  </r>
  <r>
    <x v="436"/>
    <x v="89"/>
    <x v="0"/>
    <n v="20"/>
    <x v="8"/>
    <x v="5"/>
    <s v="Lead"/>
    <s v="Full-Time"/>
    <x v="0"/>
    <x v="393"/>
    <x v="0"/>
    <s v="Onsite"/>
    <n v="103100"/>
    <n v="1"/>
    <n v="93.8"/>
    <n v="0"/>
    <n v="13"/>
    <n v="1"/>
    <n v="16"/>
    <n v="25"/>
    <s v="Consultancy"/>
    <n v="8592"/>
    <n v="1.3"/>
    <s v="20-24"/>
    <s v="Good"/>
  </r>
  <r>
    <x v="437"/>
    <x v="196"/>
    <x v="1"/>
    <n v="37"/>
    <x v="0"/>
    <x v="3"/>
    <s v="Junior"/>
    <s v="Full-Time"/>
    <x v="5"/>
    <x v="136"/>
    <x v="0"/>
    <s v="Onsite"/>
    <n v="43100"/>
    <n v="14"/>
    <n v="91.5"/>
    <n v="0"/>
    <n v="10"/>
    <n v="4"/>
    <n v="22"/>
    <n v="2"/>
    <s v="Indeed"/>
    <n v="3592"/>
    <n v="1.1000000000000001"/>
    <s v="35-39"/>
    <s v="Good"/>
  </r>
  <r>
    <x v="438"/>
    <x v="162"/>
    <x v="1"/>
    <n v="47"/>
    <x v="8"/>
    <x v="5"/>
    <s v="Associate"/>
    <s v="Full-Time"/>
    <x v="6"/>
    <x v="394"/>
    <x v="2"/>
    <s v="Hybrid"/>
    <n v="67500"/>
    <n v="27"/>
    <n v="83.5"/>
    <n v="2"/>
    <n v="3"/>
    <n v="0"/>
    <n v="7"/>
    <n v="26"/>
    <s v="Consultancy"/>
    <n v="5625"/>
    <n v="0.3"/>
    <s v="45+"/>
    <s v="Good"/>
  </r>
  <r>
    <x v="439"/>
    <x v="132"/>
    <x v="0"/>
    <n v="27"/>
    <x v="3"/>
    <x v="3"/>
    <s v="Associate"/>
    <s v="Full-Time"/>
    <x v="3"/>
    <x v="395"/>
    <x v="0"/>
    <s v="Hybrid"/>
    <n v="56400"/>
    <n v="5"/>
    <n v="97.3"/>
    <n v="5"/>
    <n v="6"/>
    <n v="3"/>
    <n v="18"/>
    <n v="15"/>
    <s v="Naukri"/>
    <n v="4700"/>
    <n v="1.3"/>
    <s v="25-29"/>
    <s v="Good"/>
  </r>
  <r>
    <x v="440"/>
    <x v="197"/>
    <x v="0"/>
    <n v="27"/>
    <x v="7"/>
    <x v="1"/>
    <s v="Senior"/>
    <s v="Full-Time"/>
    <x v="0"/>
    <x v="93"/>
    <x v="0"/>
    <s v="Onsite"/>
    <n v="65100"/>
    <n v="4"/>
    <n v="97.6"/>
    <n v="5"/>
    <n v="1"/>
    <n v="2"/>
    <n v="17"/>
    <n v="23"/>
    <s v="Campus Hiring"/>
    <n v="5425"/>
    <n v="7"/>
    <s v="25-29"/>
    <s v="Good"/>
  </r>
  <r>
    <x v="441"/>
    <x v="115"/>
    <x v="1"/>
    <n v="47"/>
    <x v="13"/>
    <x v="4"/>
    <s v="Intern"/>
    <s v="Full-Time"/>
    <x v="7"/>
    <x v="396"/>
    <x v="0"/>
    <s v="Hybrid"/>
    <n v="18700"/>
    <n v="23"/>
    <n v="82.6"/>
    <n v="7"/>
    <n v="4"/>
    <n v="4"/>
    <n v="11"/>
    <n v="29"/>
    <s v="Campus Hiring"/>
    <n v="1558"/>
    <n v="8.6"/>
    <s v="45+"/>
    <s v="Average"/>
  </r>
  <r>
    <x v="442"/>
    <x v="198"/>
    <x v="0"/>
    <n v="29"/>
    <x v="7"/>
    <x v="3"/>
    <s v="Manager"/>
    <s v="Full-Time"/>
    <x v="5"/>
    <x v="397"/>
    <x v="0"/>
    <s v="Hybrid"/>
    <n v="127200"/>
    <n v="5"/>
    <n v="89.1"/>
    <n v="6"/>
    <n v="11"/>
    <n v="1"/>
    <n v="15"/>
    <n v="5"/>
    <s v="Employee Referral"/>
    <n v="10600"/>
    <n v="2.1"/>
    <s v="25-29"/>
    <s v="Average"/>
  </r>
  <r>
    <x v="443"/>
    <x v="148"/>
    <x v="1"/>
    <n v="37"/>
    <x v="12"/>
    <x v="5"/>
    <s v="Associate"/>
    <s v="Full-Time"/>
    <x v="3"/>
    <x v="398"/>
    <x v="0"/>
    <s v="Onsite"/>
    <n v="62700"/>
    <n v="15"/>
    <n v="98.7"/>
    <n v="0"/>
    <n v="10"/>
    <n v="0"/>
    <n v="13"/>
    <n v="6"/>
    <s v="LinkedIn"/>
    <n v="5225"/>
    <n v="3.9"/>
    <s v="35-39"/>
    <s v="Good"/>
  </r>
  <r>
    <x v="444"/>
    <x v="55"/>
    <x v="0"/>
    <n v="41"/>
    <x v="4"/>
    <x v="2"/>
    <s v="Associate"/>
    <s v="Full-Time"/>
    <x v="2"/>
    <x v="399"/>
    <x v="0"/>
    <s v="Onsite"/>
    <n v="55100"/>
    <n v="21"/>
    <n v="92.1"/>
    <n v="0"/>
    <n v="8"/>
    <n v="4"/>
    <n v="3"/>
    <n v="8"/>
    <s v="Consultancy"/>
    <n v="4592"/>
    <n v="1.9"/>
    <s v="40-44"/>
    <s v="Excellent"/>
  </r>
  <r>
    <x v="445"/>
    <x v="199"/>
    <x v="0"/>
    <n v="46"/>
    <x v="3"/>
    <x v="6"/>
    <s v="Associate"/>
    <s v="Contract"/>
    <x v="1"/>
    <x v="400"/>
    <x v="0"/>
    <s v="Hybrid"/>
    <n v="48300"/>
    <n v="27"/>
    <n v="86"/>
    <n v="3"/>
    <n v="10"/>
    <n v="0"/>
    <n v="7"/>
    <n v="12"/>
    <s v="LinkedIn"/>
    <n v="4025"/>
    <n v="2.2999999999999998"/>
    <s v="45+"/>
    <s v="Excellent"/>
  </r>
  <r>
    <x v="446"/>
    <x v="103"/>
    <x v="0"/>
    <n v="47"/>
    <x v="9"/>
    <x v="0"/>
    <s v="Junior"/>
    <s v="Full-Time"/>
    <x v="7"/>
    <x v="401"/>
    <x v="0"/>
    <s v="Remote"/>
    <n v="36500"/>
    <n v="25"/>
    <n v="97.1"/>
    <n v="0"/>
    <n v="13"/>
    <n v="3"/>
    <n v="26"/>
    <n v="13"/>
    <s v="Company Website"/>
    <n v="3042"/>
    <n v="5.4"/>
    <s v="45+"/>
    <s v="Good"/>
  </r>
  <r>
    <x v="447"/>
    <x v="81"/>
    <x v="0"/>
    <n v="30"/>
    <x v="3"/>
    <x v="1"/>
    <s v="Senior"/>
    <s v="Full-Time"/>
    <x v="0"/>
    <x v="402"/>
    <x v="0"/>
    <s v="Hybrid"/>
    <n v="74200"/>
    <n v="10"/>
    <n v="91.6"/>
    <n v="0"/>
    <n v="8"/>
    <n v="0"/>
    <n v="23"/>
    <n v="9"/>
    <s v="LinkedIn"/>
    <n v="6183"/>
    <n v="6.9"/>
    <s v="30-34"/>
    <s v="Average"/>
  </r>
  <r>
    <x v="448"/>
    <x v="19"/>
    <x v="0"/>
    <n v="46"/>
    <x v="14"/>
    <x v="2"/>
    <s v="Manager"/>
    <s v="Full-Time"/>
    <x v="6"/>
    <x v="403"/>
    <x v="0"/>
    <s v="Hybrid"/>
    <n v="117500"/>
    <n v="22"/>
    <n v="97.5"/>
    <n v="0"/>
    <n v="3"/>
    <n v="1"/>
    <n v="29"/>
    <n v="22"/>
    <s v="Consultancy"/>
    <n v="9792"/>
    <n v="6.5"/>
    <s v="45+"/>
    <s v="Good"/>
  </r>
  <r>
    <x v="449"/>
    <x v="44"/>
    <x v="1"/>
    <n v="42"/>
    <x v="14"/>
    <x v="2"/>
    <s v="Associate"/>
    <s v="Contract"/>
    <x v="6"/>
    <x v="404"/>
    <x v="0"/>
    <s v="Onsite"/>
    <n v="54700"/>
    <n v="19"/>
    <n v="91.4"/>
    <n v="2"/>
    <n v="7"/>
    <n v="1"/>
    <n v="11"/>
    <n v="8"/>
    <s v="Employee Referral"/>
    <n v="4558"/>
    <n v="8.4"/>
    <s v="40-44"/>
    <s v="Excellent"/>
  </r>
  <r>
    <x v="450"/>
    <x v="2"/>
    <x v="1"/>
    <n v="20"/>
    <x v="13"/>
    <x v="5"/>
    <s v="Manager"/>
    <s v="Full-Time"/>
    <x v="4"/>
    <x v="193"/>
    <x v="0"/>
    <s v="Remote"/>
    <n v="173100"/>
    <n v="0"/>
    <n v="80.2"/>
    <n v="1"/>
    <n v="4"/>
    <n v="2"/>
    <n v="10"/>
    <n v="4"/>
    <s v="Indeed"/>
    <n v="14425"/>
    <n v="7.3"/>
    <s v="20-24"/>
    <s v="Good"/>
  </r>
  <r>
    <x v="451"/>
    <x v="6"/>
    <x v="1"/>
    <n v="26"/>
    <x v="5"/>
    <x v="3"/>
    <s v="Lead"/>
    <s v="Full-Time"/>
    <x v="3"/>
    <x v="405"/>
    <x v="1"/>
    <s v="Hybrid"/>
    <n v="127500"/>
    <n v="3"/>
    <n v="100"/>
    <n v="7"/>
    <n v="2"/>
    <n v="2"/>
    <n v="12"/>
    <n v="3"/>
    <s v="Naukri"/>
    <n v="10625"/>
    <n v="3.7"/>
    <s v="25-29"/>
    <s v="Good"/>
  </r>
  <r>
    <x v="452"/>
    <x v="174"/>
    <x v="0"/>
    <n v="47"/>
    <x v="3"/>
    <x v="5"/>
    <s v="Associate"/>
    <s v="Full-Time"/>
    <x v="4"/>
    <x v="336"/>
    <x v="1"/>
    <s v="Hybrid"/>
    <n v="75700"/>
    <n v="23"/>
    <n v="85.5"/>
    <n v="6"/>
    <n v="12"/>
    <n v="1"/>
    <n v="7"/>
    <n v="19"/>
    <s v="Campus Hiring"/>
    <n v="6308"/>
    <n v="7.2"/>
    <s v="45+"/>
    <s v="Average"/>
  </r>
  <r>
    <x v="453"/>
    <x v="74"/>
    <x v="0"/>
    <n v="46"/>
    <x v="0"/>
    <x v="0"/>
    <s v="Senior"/>
    <s v="Full-Time"/>
    <x v="0"/>
    <x v="406"/>
    <x v="0"/>
    <s v="Onsite"/>
    <n v="69800"/>
    <n v="27"/>
    <n v="88.8"/>
    <n v="7"/>
    <n v="5"/>
    <n v="1"/>
    <n v="17"/>
    <n v="11"/>
    <s v="LinkedIn"/>
    <n v="5817"/>
    <n v="3.4"/>
    <s v="45+"/>
    <s v="Good"/>
  </r>
  <r>
    <x v="454"/>
    <x v="200"/>
    <x v="1"/>
    <n v="27"/>
    <x v="7"/>
    <x v="0"/>
    <s v="Associate"/>
    <s v="Full-Time"/>
    <x v="4"/>
    <x v="407"/>
    <x v="0"/>
    <s v="Onsite"/>
    <n v="54800"/>
    <n v="3"/>
    <n v="97"/>
    <n v="3"/>
    <n v="3"/>
    <n v="1"/>
    <n v="12"/>
    <n v="29"/>
    <s v="LinkedIn"/>
    <n v="4567"/>
    <n v="4.7"/>
    <s v="25-29"/>
    <s v="Average"/>
  </r>
  <r>
    <x v="455"/>
    <x v="126"/>
    <x v="0"/>
    <n v="44"/>
    <x v="2"/>
    <x v="5"/>
    <s v="Senior"/>
    <s v="Intern"/>
    <x v="2"/>
    <x v="408"/>
    <x v="0"/>
    <s v="Onsite"/>
    <n v="107700"/>
    <n v="21"/>
    <n v="100"/>
    <n v="8"/>
    <n v="12"/>
    <n v="4"/>
    <n v="3"/>
    <n v="20"/>
    <s v="Consultancy"/>
    <n v="8975"/>
    <n v="1.9"/>
    <s v="40-44"/>
    <s v="Average"/>
  </r>
  <r>
    <x v="456"/>
    <x v="43"/>
    <x v="0"/>
    <n v="33"/>
    <x v="1"/>
    <x v="5"/>
    <s v="Junior"/>
    <s v="Contract"/>
    <x v="0"/>
    <x v="409"/>
    <x v="0"/>
    <s v="Onsite"/>
    <n v="48000"/>
    <n v="10"/>
    <n v="90.7"/>
    <n v="4"/>
    <n v="15"/>
    <n v="0"/>
    <n v="25"/>
    <n v="23"/>
    <s v="Employee Referral"/>
    <n v="4000"/>
    <n v="5.6"/>
    <s v="30-34"/>
    <s v="Good"/>
  </r>
  <r>
    <x v="457"/>
    <x v="85"/>
    <x v="0"/>
    <n v="43"/>
    <x v="4"/>
    <x v="3"/>
    <s v="Senior"/>
    <s v="Full-Time"/>
    <x v="4"/>
    <x v="410"/>
    <x v="0"/>
    <s v="Onsite"/>
    <n v="105400"/>
    <n v="24"/>
    <n v="92.8"/>
    <n v="6"/>
    <n v="12"/>
    <n v="4"/>
    <n v="30"/>
    <n v="16"/>
    <s v="Employee Referral"/>
    <n v="8783"/>
    <n v="2.5"/>
    <s v="40-44"/>
    <s v="Good"/>
  </r>
  <r>
    <x v="458"/>
    <x v="115"/>
    <x v="1"/>
    <n v="38"/>
    <x v="14"/>
    <x v="4"/>
    <s v="Junior"/>
    <s v="Full-Time"/>
    <x v="0"/>
    <x v="362"/>
    <x v="0"/>
    <s v="Onsite"/>
    <n v="27800"/>
    <n v="19"/>
    <n v="85.1"/>
    <n v="3"/>
    <n v="2"/>
    <n v="3"/>
    <n v="0"/>
    <n v="28"/>
    <s v="Employee Referral"/>
    <n v="2317"/>
    <n v="5.0999999999999996"/>
    <s v="35-39"/>
    <s v="Good"/>
  </r>
  <r>
    <x v="459"/>
    <x v="143"/>
    <x v="1"/>
    <n v="27"/>
    <x v="3"/>
    <x v="5"/>
    <s v="Lead"/>
    <s v="Intern"/>
    <x v="1"/>
    <x v="411"/>
    <x v="0"/>
    <s v="Onsite"/>
    <n v="119600"/>
    <n v="3"/>
    <n v="89.6"/>
    <n v="0"/>
    <n v="3"/>
    <n v="2"/>
    <n v="26"/>
    <n v="27"/>
    <s v="Company Website"/>
    <n v="9967"/>
    <n v="1.7"/>
    <s v="25-29"/>
    <s v="Good"/>
  </r>
  <r>
    <x v="460"/>
    <x v="128"/>
    <x v="1"/>
    <n v="38"/>
    <x v="6"/>
    <x v="5"/>
    <s v="Lead"/>
    <s v="Full-Time"/>
    <x v="4"/>
    <x v="412"/>
    <x v="0"/>
    <s v="Remote"/>
    <n v="141000"/>
    <n v="15"/>
    <n v="96.5"/>
    <n v="7"/>
    <n v="12"/>
    <n v="0"/>
    <n v="22"/>
    <n v="18"/>
    <s v="LinkedIn"/>
    <n v="11750"/>
    <n v="3.8"/>
    <s v="35-39"/>
    <s v="Average"/>
  </r>
  <r>
    <x v="461"/>
    <x v="132"/>
    <x v="1"/>
    <n v="41"/>
    <x v="5"/>
    <x v="2"/>
    <s v="Junior"/>
    <s v="Full-Time"/>
    <x v="0"/>
    <x v="32"/>
    <x v="0"/>
    <s v="Hybrid"/>
    <n v="32100"/>
    <n v="20"/>
    <n v="92.5"/>
    <n v="8"/>
    <n v="0"/>
    <n v="2"/>
    <n v="30"/>
    <n v="20"/>
    <s v="Naukri"/>
    <n v="2675"/>
    <n v="8"/>
    <s v="40-44"/>
    <s v="Good"/>
  </r>
  <r>
    <x v="462"/>
    <x v="86"/>
    <x v="1"/>
    <n v="23"/>
    <x v="2"/>
    <x v="3"/>
    <s v="Associate"/>
    <s v="Full-Time"/>
    <x v="4"/>
    <x v="413"/>
    <x v="0"/>
    <s v="Hybrid"/>
    <n v="67800"/>
    <n v="2"/>
    <n v="99.7"/>
    <n v="8"/>
    <n v="9"/>
    <n v="3"/>
    <n v="9"/>
    <n v="4"/>
    <s v="Naukri"/>
    <n v="5650"/>
    <n v="7.8"/>
    <s v="20-24"/>
    <s v="Good"/>
  </r>
  <r>
    <x v="463"/>
    <x v="165"/>
    <x v="0"/>
    <n v="42"/>
    <x v="14"/>
    <x v="0"/>
    <s v="Associate"/>
    <s v="Full-Time"/>
    <x v="6"/>
    <x v="414"/>
    <x v="0"/>
    <s v="Hybrid"/>
    <n v="44700"/>
    <n v="20"/>
    <n v="84"/>
    <n v="7"/>
    <n v="7"/>
    <n v="1"/>
    <n v="5"/>
    <n v="14"/>
    <s v="Naukri"/>
    <n v="3725"/>
    <n v="0.8"/>
    <s v="40-44"/>
    <s v="Good"/>
  </r>
  <r>
    <x v="464"/>
    <x v="165"/>
    <x v="0"/>
    <n v="43"/>
    <x v="9"/>
    <x v="5"/>
    <s v="Senior"/>
    <s v="Full-Time"/>
    <x v="1"/>
    <x v="415"/>
    <x v="0"/>
    <s v="Hybrid"/>
    <n v="101700"/>
    <n v="22"/>
    <n v="83.8"/>
    <n v="0"/>
    <n v="8"/>
    <n v="2"/>
    <n v="10"/>
    <n v="3"/>
    <s v="Consultancy"/>
    <n v="8475"/>
    <n v="0.5"/>
    <s v="40-44"/>
    <s v="Good"/>
  </r>
  <r>
    <x v="465"/>
    <x v="161"/>
    <x v="0"/>
    <n v="29"/>
    <x v="13"/>
    <x v="0"/>
    <s v="Associate"/>
    <s v="Contract"/>
    <x v="3"/>
    <x v="416"/>
    <x v="0"/>
    <s v="Onsite"/>
    <n v="60200"/>
    <n v="5"/>
    <n v="87.6"/>
    <n v="2"/>
    <n v="5"/>
    <n v="1"/>
    <n v="6"/>
    <n v="16"/>
    <s v="Company Website"/>
    <n v="5017"/>
    <n v="6.1"/>
    <s v="25-29"/>
    <s v="Excellent"/>
  </r>
  <r>
    <x v="466"/>
    <x v="105"/>
    <x v="1"/>
    <n v="41"/>
    <x v="4"/>
    <x v="5"/>
    <s v="Senior"/>
    <s v="Full-Time"/>
    <x v="2"/>
    <x v="417"/>
    <x v="0"/>
    <s v="Onsite"/>
    <n v="92000"/>
    <n v="17"/>
    <n v="87.8"/>
    <n v="4"/>
    <n v="4"/>
    <n v="2"/>
    <n v="9"/>
    <n v="18"/>
    <s v="Indeed"/>
    <n v="7667"/>
    <n v="6.1"/>
    <s v="40-44"/>
    <s v="Average"/>
  </r>
  <r>
    <x v="467"/>
    <x v="201"/>
    <x v="1"/>
    <n v="29"/>
    <x v="14"/>
    <x v="5"/>
    <s v="Associate"/>
    <s v="Full-Time"/>
    <x v="4"/>
    <x v="418"/>
    <x v="0"/>
    <s v="Onsite"/>
    <n v="55700"/>
    <n v="7"/>
    <n v="95.8"/>
    <n v="6"/>
    <n v="11"/>
    <n v="3"/>
    <n v="11"/>
    <n v="30"/>
    <s v="Campus Hiring"/>
    <n v="4642"/>
    <n v="2.1"/>
    <s v="25-29"/>
    <s v="Good"/>
  </r>
  <r>
    <x v="468"/>
    <x v="173"/>
    <x v="1"/>
    <n v="23"/>
    <x v="5"/>
    <x v="1"/>
    <s v="Junior"/>
    <s v="Full-Time"/>
    <x v="6"/>
    <x v="419"/>
    <x v="0"/>
    <s v="Onsite"/>
    <n v="28900"/>
    <n v="3"/>
    <n v="88.9"/>
    <n v="7"/>
    <n v="8"/>
    <n v="2"/>
    <n v="20"/>
    <n v="2"/>
    <s v="Company Website"/>
    <n v="2408"/>
    <n v="7.5"/>
    <s v="20-24"/>
    <s v="Excellent"/>
  </r>
  <r>
    <x v="469"/>
    <x v="53"/>
    <x v="0"/>
    <n v="27"/>
    <x v="0"/>
    <x v="0"/>
    <s v="Intern"/>
    <s v="Full-Time"/>
    <x v="4"/>
    <x v="420"/>
    <x v="1"/>
    <s v="Onsite"/>
    <n v="26800"/>
    <n v="5"/>
    <n v="85.1"/>
    <n v="0"/>
    <n v="3"/>
    <n v="3"/>
    <n v="21"/>
    <n v="15"/>
    <s v="Campus Hiring"/>
    <n v="2233"/>
    <n v="4.2"/>
    <s v="25-29"/>
    <s v="Good"/>
  </r>
  <r>
    <x v="470"/>
    <x v="174"/>
    <x v="0"/>
    <n v="26"/>
    <x v="6"/>
    <x v="6"/>
    <s v="Junior"/>
    <s v="Full-Time"/>
    <x v="1"/>
    <x v="421"/>
    <x v="0"/>
    <s v="Remote"/>
    <n v="38100"/>
    <n v="6"/>
    <n v="93"/>
    <n v="4"/>
    <n v="15"/>
    <n v="0"/>
    <n v="27"/>
    <n v="2"/>
    <s v="LinkedIn"/>
    <n v="3175"/>
    <n v="6.9"/>
    <s v="25-29"/>
    <s v="Good"/>
  </r>
  <r>
    <x v="471"/>
    <x v="202"/>
    <x v="0"/>
    <n v="45"/>
    <x v="10"/>
    <x v="0"/>
    <s v="Senior"/>
    <s v="Full-Time"/>
    <x v="0"/>
    <x v="422"/>
    <x v="0"/>
    <s v="Onsite"/>
    <n v="66700"/>
    <n v="25"/>
    <n v="87.2"/>
    <n v="2"/>
    <n v="13"/>
    <n v="4"/>
    <n v="5"/>
    <n v="25"/>
    <s v="Campus Hiring"/>
    <n v="5558"/>
    <n v="0"/>
    <s v="45+"/>
    <s v="Good"/>
  </r>
  <r>
    <x v="472"/>
    <x v="14"/>
    <x v="0"/>
    <n v="34"/>
    <x v="11"/>
    <x v="3"/>
    <s v="Manager"/>
    <s v="Full-Time"/>
    <x v="6"/>
    <x v="423"/>
    <x v="0"/>
    <s v="Onsite"/>
    <n v="126500"/>
    <n v="11"/>
    <n v="85.5"/>
    <n v="6"/>
    <n v="0"/>
    <n v="3"/>
    <n v="5"/>
    <n v="23"/>
    <s v="Consultancy"/>
    <n v="10542"/>
    <n v="5.2"/>
    <s v="30-34"/>
    <s v="Good"/>
  </r>
  <r>
    <x v="473"/>
    <x v="8"/>
    <x v="1"/>
    <n v="27"/>
    <x v="11"/>
    <x v="3"/>
    <s v="Associate"/>
    <s v="Part-Time"/>
    <x v="3"/>
    <x v="424"/>
    <x v="0"/>
    <s v="Onsite"/>
    <n v="69200"/>
    <n v="8"/>
    <n v="96.3"/>
    <n v="5"/>
    <n v="11"/>
    <n v="2"/>
    <n v="24"/>
    <n v="26"/>
    <s v="Consultancy"/>
    <n v="5767"/>
    <n v="3.4"/>
    <s v="25-29"/>
    <s v="Average"/>
  </r>
  <r>
    <x v="474"/>
    <x v="23"/>
    <x v="1"/>
    <n v="48"/>
    <x v="6"/>
    <x v="6"/>
    <s v="Associate"/>
    <s v="Full-Time"/>
    <x v="1"/>
    <x v="425"/>
    <x v="1"/>
    <s v="Hybrid"/>
    <n v="55900"/>
    <n v="27"/>
    <n v="97.5"/>
    <n v="0"/>
    <n v="12"/>
    <n v="0"/>
    <n v="29"/>
    <n v="29"/>
    <s v="Company Website"/>
    <n v="4658"/>
    <n v="1.2"/>
    <s v="45+"/>
    <s v="Average"/>
  </r>
  <r>
    <x v="475"/>
    <x v="55"/>
    <x v="1"/>
    <n v="29"/>
    <x v="5"/>
    <x v="4"/>
    <s v="Junior"/>
    <s v="Part-Time"/>
    <x v="1"/>
    <x v="194"/>
    <x v="0"/>
    <s v="Hybrid"/>
    <n v="28000"/>
    <n v="9"/>
    <n v="95.9"/>
    <n v="1"/>
    <n v="10"/>
    <n v="3"/>
    <n v="3"/>
    <n v="12"/>
    <s v="Campus Hiring"/>
    <n v="2333"/>
    <n v="4.9000000000000004"/>
    <s v="25-29"/>
    <s v="Good"/>
  </r>
  <r>
    <x v="476"/>
    <x v="203"/>
    <x v="0"/>
    <n v="26"/>
    <x v="11"/>
    <x v="4"/>
    <s v="Senior"/>
    <s v="Full-Time"/>
    <x v="3"/>
    <x v="426"/>
    <x v="0"/>
    <s v="Onsite"/>
    <n v="62000"/>
    <n v="3"/>
    <n v="86.8"/>
    <n v="4"/>
    <n v="6"/>
    <n v="2"/>
    <n v="1"/>
    <n v="4"/>
    <s v="Campus Hiring"/>
    <n v="5167"/>
    <n v="1"/>
    <s v="25-29"/>
    <s v="Good"/>
  </r>
  <r>
    <x v="477"/>
    <x v="204"/>
    <x v="1"/>
    <n v="49"/>
    <x v="0"/>
    <x v="1"/>
    <s v="Junior"/>
    <s v="Full-Time"/>
    <x v="2"/>
    <x v="427"/>
    <x v="0"/>
    <s v="Onsite"/>
    <n v="37200"/>
    <n v="27"/>
    <n v="88.1"/>
    <n v="4"/>
    <n v="0"/>
    <n v="3"/>
    <n v="24"/>
    <n v="14"/>
    <s v="Employee Referral"/>
    <n v="3100"/>
    <n v="3.9"/>
    <s v="45+"/>
    <s v="Excellent"/>
  </r>
  <r>
    <x v="478"/>
    <x v="191"/>
    <x v="0"/>
    <n v="38"/>
    <x v="8"/>
    <x v="2"/>
    <s v="Senior"/>
    <s v="Full-Time"/>
    <x v="3"/>
    <x v="428"/>
    <x v="0"/>
    <s v="Onsite"/>
    <n v="69700"/>
    <n v="16"/>
    <n v="93.7"/>
    <n v="0"/>
    <n v="13"/>
    <n v="3"/>
    <n v="25"/>
    <n v="24"/>
    <s v="Naukri"/>
    <n v="5808"/>
    <n v="2.1"/>
    <s v="35-39"/>
    <s v="Excellent"/>
  </r>
  <r>
    <x v="479"/>
    <x v="80"/>
    <x v="0"/>
    <n v="22"/>
    <x v="4"/>
    <x v="1"/>
    <s v="Manager"/>
    <s v="Full-Time"/>
    <x v="4"/>
    <x v="429"/>
    <x v="0"/>
    <s v="Onsite"/>
    <n v="131500"/>
    <n v="2"/>
    <n v="94.7"/>
    <n v="3"/>
    <n v="14"/>
    <n v="1"/>
    <n v="6"/>
    <n v="23"/>
    <s v="Consultancy"/>
    <n v="10958"/>
    <n v="3.7"/>
    <s v="20-24"/>
    <s v="Excellent"/>
  </r>
  <r>
    <x v="480"/>
    <x v="53"/>
    <x v="0"/>
    <n v="28"/>
    <x v="5"/>
    <x v="3"/>
    <s v="Junior"/>
    <s v="Full-Time"/>
    <x v="2"/>
    <x v="39"/>
    <x v="0"/>
    <s v="Hybrid"/>
    <n v="43800"/>
    <n v="5"/>
    <n v="89.9"/>
    <n v="8"/>
    <n v="11"/>
    <n v="2"/>
    <n v="20"/>
    <n v="10"/>
    <s v="LinkedIn"/>
    <n v="3650"/>
    <n v="5.0999999999999996"/>
    <s v="25-29"/>
    <s v="Poor"/>
  </r>
  <r>
    <x v="481"/>
    <x v="107"/>
    <x v="0"/>
    <n v="35"/>
    <x v="0"/>
    <x v="3"/>
    <s v="Senior"/>
    <s v="Full-Time"/>
    <x v="5"/>
    <x v="430"/>
    <x v="0"/>
    <s v="Remote"/>
    <n v="96500"/>
    <n v="11"/>
    <n v="97"/>
    <n v="8"/>
    <n v="8"/>
    <n v="4"/>
    <n v="21"/>
    <n v="16"/>
    <s v="LinkedIn"/>
    <n v="8042"/>
    <n v="6.3"/>
    <s v="35-39"/>
    <s v="Good"/>
  </r>
  <r>
    <x v="482"/>
    <x v="33"/>
    <x v="1"/>
    <n v="33"/>
    <x v="3"/>
    <x v="4"/>
    <s v="Intern"/>
    <s v="Full-Time"/>
    <x v="6"/>
    <x v="431"/>
    <x v="0"/>
    <s v="Hybrid"/>
    <n v="20600"/>
    <n v="14"/>
    <n v="80.8"/>
    <n v="4"/>
    <n v="3"/>
    <n v="3"/>
    <n v="26"/>
    <n v="10"/>
    <s v="Campus Hiring"/>
    <n v="1717"/>
    <n v="4.0999999999999996"/>
    <s v="30-34"/>
    <s v="Good"/>
  </r>
  <r>
    <x v="483"/>
    <x v="102"/>
    <x v="0"/>
    <n v="26"/>
    <x v="6"/>
    <x v="6"/>
    <s v="Associate"/>
    <s v="Full-Time"/>
    <x v="5"/>
    <x v="432"/>
    <x v="0"/>
    <s v="Onsite"/>
    <n v="58100"/>
    <n v="7"/>
    <n v="88.1"/>
    <n v="6"/>
    <n v="11"/>
    <n v="0"/>
    <n v="6"/>
    <n v="28"/>
    <s v="Campus Hiring"/>
    <n v="4842"/>
    <n v="5.2"/>
    <s v="25-29"/>
    <s v="Average"/>
  </r>
  <r>
    <x v="484"/>
    <x v="205"/>
    <x v="0"/>
    <n v="31"/>
    <x v="10"/>
    <x v="5"/>
    <s v="Junior"/>
    <s v="Full-Time"/>
    <x v="2"/>
    <x v="433"/>
    <x v="0"/>
    <s v="Onsite"/>
    <n v="44700"/>
    <n v="10"/>
    <n v="100"/>
    <n v="1"/>
    <n v="2"/>
    <n v="2"/>
    <n v="20"/>
    <n v="26"/>
    <s v="Campus Hiring"/>
    <n v="3725"/>
    <n v="3.8"/>
    <s v="30-34"/>
    <s v="Good"/>
  </r>
  <r>
    <x v="485"/>
    <x v="10"/>
    <x v="1"/>
    <n v="20"/>
    <x v="5"/>
    <x v="0"/>
    <s v="Associate"/>
    <s v="Full-Time"/>
    <x v="6"/>
    <x v="434"/>
    <x v="0"/>
    <s v="Hybrid"/>
    <n v="48100"/>
    <n v="0"/>
    <n v="90.9"/>
    <n v="0"/>
    <n v="3"/>
    <n v="4"/>
    <n v="20"/>
    <n v="8"/>
    <s v="LinkedIn"/>
    <n v="4008"/>
    <n v="1.6"/>
    <s v="20-24"/>
    <s v="Good"/>
  </r>
  <r>
    <x v="486"/>
    <x v="44"/>
    <x v="0"/>
    <n v="35"/>
    <x v="3"/>
    <x v="1"/>
    <s v="Junior"/>
    <s v="Full-Time"/>
    <x v="0"/>
    <x v="435"/>
    <x v="2"/>
    <s v="Onsite"/>
    <n v="32200"/>
    <n v="11"/>
    <n v="88.6"/>
    <n v="1"/>
    <n v="0"/>
    <n v="2"/>
    <n v="21"/>
    <n v="26"/>
    <s v="LinkedIn"/>
    <n v="2683"/>
    <n v="5.0999999999999996"/>
    <s v="35-39"/>
    <s v="Good"/>
  </r>
  <r>
    <x v="487"/>
    <x v="88"/>
    <x v="0"/>
    <n v="22"/>
    <x v="14"/>
    <x v="0"/>
    <s v="Associate"/>
    <s v="Full-Time"/>
    <x v="1"/>
    <x v="436"/>
    <x v="0"/>
    <s v="Onsite"/>
    <n v="58800"/>
    <n v="1"/>
    <n v="93.4"/>
    <n v="3"/>
    <n v="5"/>
    <n v="4"/>
    <n v="23"/>
    <n v="8"/>
    <s v="Indeed"/>
    <n v="4900"/>
    <n v="2.5"/>
    <s v="20-24"/>
    <s v="Excellent"/>
  </r>
  <r>
    <x v="488"/>
    <x v="106"/>
    <x v="1"/>
    <n v="46"/>
    <x v="3"/>
    <x v="3"/>
    <s v="Associate"/>
    <s v="Full-Time"/>
    <x v="3"/>
    <x v="437"/>
    <x v="0"/>
    <s v="Hybrid"/>
    <n v="62900"/>
    <n v="22"/>
    <n v="86.2"/>
    <n v="5"/>
    <n v="6"/>
    <n v="4"/>
    <n v="28"/>
    <n v="26"/>
    <s v="Company Website"/>
    <n v="5242"/>
    <n v="6.6"/>
    <s v="45+"/>
    <s v="Good"/>
  </r>
  <r>
    <x v="489"/>
    <x v="70"/>
    <x v="0"/>
    <n v="20"/>
    <x v="8"/>
    <x v="5"/>
    <s v="Associate"/>
    <s v="Full-Time"/>
    <x v="6"/>
    <x v="438"/>
    <x v="0"/>
    <s v="Onsite"/>
    <n v="62800"/>
    <n v="1"/>
    <n v="79.3"/>
    <n v="2"/>
    <n v="6"/>
    <n v="3"/>
    <n v="1"/>
    <n v="3"/>
    <s v="LinkedIn"/>
    <n v="5233"/>
    <n v="7.6"/>
    <s v="20-24"/>
    <s v="Good"/>
  </r>
  <r>
    <x v="490"/>
    <x v="122"/>
    <x v="1"/>
    <n v="25"/>
    <x v="5"/>
    <x v="1"/>
    <s v="Senior"/>
    <s v="Full-Time"/>
    <x v="2"/>
    <x v="439"/>
    <x v="0"/>
    <s v="Onsite"/>
    <n v="71700"/>
    <n v="2"/>
    <n v="100"/>
    <n v="1"/>
    <n v="4"/>
    <n v="1"/>
    <n v="30"/>
    <n v="3"/>
    <s v="Indeed"/>
    <n v="5975"/>
    <n v="0.4"/>
    <s v="25-29"/>
    <s v="Excellent"/>
  </r>
  <r>
    <x v="491"/>
    <x v="18"/>
    <x v="0"/>
    <n v="48"/>
    <x v="12"/>
    <x v="2"/>
    <s v="Lead"/>
    <s v="Full-Time"/>
    <x v="6"/>
    <x v="440"/>
    <x v="0"/>
    <s v="Hybrid"/>
    <n v="77700"/>
    <n v="28"/>
    <n v="86.7"/>
    <n v="6"/>
    <n v="13"/>
    <n v="2"/>
    <n v="26"/>
    <n v="24"/>
    <s v="Company Website"/>
    <n v="6475"/>
    <n v="3.2"/>
    <s v="45+"/>
    <s v="Average"/>
  </r>
  <r>
    <x v="492"/>
    <x v="95"/>
    <x v="1"/>
    <n v="21"/>
    <x v="11"/>
    <x v="2"/>
    <s v="Associate"/>
    <s v="Full-Time"/>
    <x v="3"/>
    <x v="441"/>
    <x v="2"/>
    <s v="Hybrid"/>
    <n v="40000"/>
    <n v="0"/>
    <n v="92.1"/>
    <n v="7"/>
    <n v="9"/>
    <n v="0"/>
    <n v="9"/>
    <n v="27"/>
    <s v="Company Website"/>
    <n v="3333"/>
    <n v="3.7"/>
    <s v="20-24"/>
    <s v="Excellent"/>
  </r>
  <r>
    <x v="493"/>
    <x v="139"/>
    <x v="0"/>
    <n v="26"/>
    <x v="7"/>
    <x v="4"/>
    <s v="Junior"/>
    <s v="Part-Time"/>
    <x v="1"/>
    <x v="442"/>
    <x v="0"/>
    <s v="Hybrid"/>
    <n v="29700"/>
    <n v="2"/>
    <n v="91.9"/>
    <n v="8"/>
    <n v="11"/>
    <n v="0"/>
    <n v="24"/>
    <n v="23"/>
    <s v="Campus Hiring"/>
    <n v="2475"/>
    <n v="7.1"/>
    <s v="25-29"/>
    <s v="Good"/>
  </r>
  <r>
    <x v="494"/>
    <x v="192"/>
    <x v="0"/>
    <n v="27"/>
    <x v="4"/>
    <x v="3"/>
    <s v="Associate"/>
    <s v="Full-Time"/>
    <x v="3"/>
    <x v="443"/>
    <x v="0"/>
    <s v="Remote"/>
    <n v="65100"/>
    <n v="3"/>
    <n v="93.5"/>
    <n v="7"/>
    <n v="9"/>
    <n v="1"/>
    <n v="13"/>
    <n v="23"/>
    <s v="Indeed"/>
    <n v="5425"/>
    <n v="8.5"/>
    <s v="25-29"/>
    <s v="Poor"/>
  </r>
  <r>
    <x v="495"/>
    <x v="147"/>
    <x v="1"/>
    <n v="50"/>
    <x v="0"/>
    <x v="6"/>
    <s v="Lead"/>
    <s v="Contract"/>
    <x v="7"/>
    <x v="444"/>
    <x v="0"/>
    <s v="Onsite"/>
    <n v="100300"/>
    <n v="31"/>
    <n v="87"/>
    <n v="1"/>
    <n v="4"/>
    <n v="0"/>
    <n v="25"/>
    <n v="22"/>
    <s v="Employee Referral"/>
    <n v="8358"/>
    <n v="0.2"/>
    <s v="45+"/>
    <s v="Excellent"/>
  </r>
  <r>
    <x v="496"/>
    <x v="206"/>
    <x v="1"/>
    <n v="32"/>
    <x v="14"/>
    <x v="1"/>
    <s v="Senior"/>
    <s v="Full-Time"/>
    <x v="6"/>
    <x v="445"/>
    <x v="0"/>
    <s v="Remote"/>
    <n v="78100"/>
    <n v="12"/>
    <n v="78.099999999999994"/>
    <n v="2"/>
    <n v="5"/>
    <n v="2"/>
    <n v="4"/>
    <n v="2"/>
    <s v="Campus Hiring"/>
    <n v="6508"/>
    <n v="7.7"/>
    <s v="30-34"/>
    <s v="Average"/>
  </r>
  <r>
    <x v="497"/>
    <x v="207"/>
    <x v="1"/>
    <n v="48"/>
    <x v="13"/>
    <x v="5"/>
    <s v="Associate"/>
    <s v="Intern"/>
    <x v="3"/>
    <x v="446"/>
    <x v="0"/>
    <s v="Onsite"/>
    <n v="75100"/>
    <n v="25"/>
    <n v="87.7"/>
    <n v="0"/>
    <n v="9"/>
    <n v="0"/>
    <n v="19"/>
    <n v="24"/>
    <s v="Consultancy"/>
    <n v="6258"/>
    <n v="5.3"/>
    <s v="45+"/>
    <s v="Excellent"/>
  </r>
  <r>
    <x v="498"/>
    <x v="104"/>
    <x v="1"/>
    <n v="35"/>
    <x v="13"/>
    <x v="1"/>
    <s v="Junior"/>
    <s v="Full-Time"/>
    <x v="2"/>
    <x v="331"/>
    <x v="0"/>
    <s v="Onsite"/>
    <n v="33100"/>
    <n v="12"/>
    <n v="91.2"/>
    <n v="0"/>
    <n v="11"/>
    <n v="2"/>
    <n v="7"/>
    <n v="19"/>
    <s v="Consultancy"/>
    <n v="2758"/>
    <n v="3.1"/>
    <s v="35-39"/>
    <s v="Excellent"/>
  </r>
  <r>
    <x v="499"/>
    <x v="26"/>
    <x v="1"/>
    <n v="48"/>
    <x v="4"/>
    <x v="7"/>
    <s v="Associate"/>
    <s v="Intern"/>
    <x v="0"/>
    <x v="447"/>
    <x v="0"/>
    <s v="Remote"/>
    <n v="39400"/>
    <n v="24"/>
    <n v="91.5"/>
    <n v="5"/>
    <n v="7"/>
    <n v="4"/>
    <n v="19"/>
    <n v="17"/>
    <s v="Employee Referral"/>
    <n v="3283"/>
    <n v="7.6"/>
    <s v="45+"/>
    <s v="Average"/>
  </r>
  <r>
    <x v="500"/>
    <x v="185"/>
    <x v="0"/>
    <n v="50"/>
    <x v="12"/>
    <x v="2"/>
    <s v="Associate"/>
    <s v="Full-Time"/>
    <x v="7"/>
    <x v="448"/>
    <x v="0"/>
    <s v="Onsite"/>
    <n v="41100"/>
    <n v="27"/>
    <n v="98.8"/>
    <n v="2"/>
    <n v="8"/>
    <n v="3"/>
    <n v="17"/>
    <n v="25"/>
    <s v="LinkedIn"/>
    <n v="3425"/>
    <n v="3.8"/>
    <s v="45+"/>
    <s v="Good"/>
  </r>
  <r>
    <x v="501"/>
    <x v="39"/>
    <x v="0"/>
    <n v="41"/>
    <x v="0"/>
    <x v="7"/>
    <s v="Manager"/>
    <s v="Full-Time"/>
    <x v="4"/>
    <x v="449"/>
    <x v="0"/>
    <s v="Onsite"/>
    <n v="73500"/>
    <n v="20"/>
    <n v="89.6"/>
    <n v="3"/>
    <n v="13"/>
    <n v="1"/>
    <n v="20"/>
    <n v="11"/>
    <s v="Campus Hiring"/>
    <n v="6125"/>
    <n v="5.3"/>
    <s v="40-44"/>
    <s v="Good"/>
  </r>
  <r>
    <x v="502"/>
    <x v="73"/>
    <x v="0"/>
    <n v="40"/>
    <x v="8"/>
    <x v="6"/>
    <s v="Lead"/>
    <s v="Full-Time"/>
    <x v="0"/>
    <x v="450"/>
    <x v="0"/>
    <s v="Onsite"/>
    <n v="82400"/>
    <n v="17"/>
    <n v="92"/>
    <n v="7"/>
    <n v="5"/>
    <n v="1"/>
    <n v="4"/>
    <n v="24"/>
    <s v="Indeed"/>
    <n v="6867"/>
    <n v="4.2"/>
    <s v="40-44"/>
    <s v="Good"/>
  </r>
  <r>
    <x v="503"/>
    <x v="208"/>
    <x v="0"/>
    <n v="29"/>
    <x v="14"/>
    <x v="5"/>
    <s v="Junior"/>
    <s v="Full-Time"/>
    <x v="0"/>
    <x v="451"/>
    <x v="0"/>
    <s v="Onsite"/>
    <n v="45400"/>
    <n v="5"/>
    <n v="87"/>
    <n v="4"/>
    <n v="2"/>
    <n v="0"/>
    <n v="3"/>
    <n v="17"/>
    <s v="Indeed"/>
    <n v="3783"/>
    <n v="1"/>
    <s v="25-29"/>
    <s v="Excellent"/>
  </r>
  <r>
    <x v="504"/>
    <x v="78"/>
    <x v="1"/>
    <n v="23"/>
    <x v="6"/>
    <x v="5"/>
    <s v="Associate"/>
    <s v="Part-Time"/>
    <x v="1"/>
    <x v="452"/>
    <x v="0"/>
    <s v="Hybrid"/>
    <n v="59800"/>
    <n v="2"/>
    <n v="88"/>
    <n v="5"/>
    <n v="5"/>
    <n v="2"/>
    <n v="18"/>
    <n v="29"/>
    <s v="Employee Referral"/>
    <n v="4983"/>
    <n v="3.9"/>
    <s v="20-24"/>
    <s v="Excellent"/>
  </r>
  <r>
    <x v="505"/>
    <x v="41"/>
    <x v="1"/>
    <n v="44"/>
    <x v="7"/>
    <x v="4"/>
    <s v="Junior"/>
    <s v="Full-Time"/>
    <x v="0"/>
    <x v="200"/>
    <x v="2"/>
    <s v="Hybrid"/>
    <n v="29800"/>
    <n v="24"/>
    <n v="100"/>
    <n v="8"/>
    <n v="14"/>
    <n v="3"/>
    <n v="10"/>
    <n v="14"/>
    <s v="Indeed"/>
    <n v="2483"/>
    <n v="7.9"/>
    <s v="40-44"/>
    <s v="Average"/>
  </r>
  <r>
    <x v="506"/>
    <x v="4"/>
    <x v="0"/>
    <n v="43"/>
    <x v="0"/>
    <x v="2"/>
    <s v="Associate"/>
    <s v="Intern"/>
    <x v="0"/>
    <x v="453"/>
    <x v="0"/>
    <s v="Hybrid"/>
    <n v="50000"/>
    <n v="21"/>
    <n v="87.4"/>
    <n v="1"/>
    <n v="3"/>
    <n v="0"/>
    <n v="4"/>
    <n v="3"/>
    <s v="Indeed"/>
    <n v="4167"/>
    <n v="1.1000000000000001"/>
    <s v="40-44"/>
    <s v="Good"/>
  </r>
  <r>
    <x v="507"/>
    <x v="62"/>
    <x v="1"/>
    <n v="40"/>
    <x v="6"/>
    <x v="7"/>
    <s v="Lead"/>
    <s v="Full-Time"/>
    <x v="3"/>
    <x v="454"/>
    <x v="0"/>
    <s v="Onsite"/>
    <n v="64500"/>
    <n v="21"/>
    <n v="89.1"/>
    <n v="2"/>
    <n v="15"/>
    <n v="3"/>
    <n v="15"/>
    <n v="3"/>
    <s v="LinkedIn"/>
    <n v="5375"/>
    <n v="3.6"/>
    <s v="40-44"/>
    <s v="Good"/>
  </r>
  <r>
    <x v="508"/>
    <x v="85"/>
    <x v="0"/>
    <n v="32"/>
    <x v="10"/>
    <x v="0"/>
    <s v="Associate"/>
    <s v="Full-Time"/>
    <x v="5"/>
    <x v="455"/>
    <x v="0"/>
    <s v="Hybrid"/>
    <n v="53800"/>
    <n v="9"/>
    <n v="96.4"/>
    <n v="4"/>
    <n v="3"/>
    <n v="2"/>
    <n v="8"/>
    <n v="11"/>
    <s v="LinkedIn"/>
    <n v="4483"/>
    <n v="0.5"/>
    <s v="30-34"/>
    <s v="Average"/>
  </r>
  <r>
    <x v="509"/>
    <x v="209"/>
    <x v="0"/>
    <n v="36"/>
    <x v="0"/>
    <x v="6"/>
    <s v="Associate"/>
    <s v="Full-Time"/>
    <x v="7"/>
    <x v="109"/>
    <x v="0"/>
    <s v="Onsite"/>
    <n v="49300"/>
    <n v="15"/>
    <n v="100"/>
    <n v="1"/>
    <n v="10"/>
    <n v="0"/>
    <n v="24"/>
    <n v="25"/>
    <s v="Indeed"/>
    <n v="4108"/>
    <n v="1"/>
    <s v="35-39"/>
    <s v="Excellent"/>
  </r>
  <r>
    <x v="510"/>
    <x v="143"/>
    <x v="1"/>
    <n v="27"/>
    <x v="6"/>
    <x v="1"/>
    <s v="Junior"/>
    <s v="Intern"/>
    <x v="7"/>
    <x v="456"/>
    <x v="0"/>
    <s v="Onsite"/>
    <n v="30400"/>
    <n v="5"/>
    <n v="95.1"/>
    <n v="7"/>
    <n v="10"/>
    <n v="0"/>
    <n v="24"/>
    <n v="29"/>
    <s v="Naukri"/>
    <n v="2533"/>
    <n v="0.2"/>
    <s v="25-29"/>
    <s v="Good"/>
  </r>
  <r>
    <x v="511"/>
    <x v="165"/>
    <x v="0"/>
    <n v="27"/>
    <x v="8"/>
    <x v="1"/>
    <s v="Lead"/>
    <s v="Full-Time"/>
    <x v="3"/>
    <x v="457"/>
    <x v="0"/>
    <s v="Onsite"/>
    <n v="77600"/>
    <n v="7"/>
    <n v="95.1"/>
    <n v="1"/>
    <n v="6"/>
    <n v="3"/>
    <n v="5"/>
    <n v="13"/>
    <s v="Naukri"/>
    <n v="6467"/>
    <n v="8.1999999999999993"/>
    <s v="25-29"/>
    <s v="Good"/>
  </r>
  <r>
    <x v="512"/>
    <x v="87"/>
    <x v="1"/>
    <n v="42"/>
    <x v="2"/>
    <x v="0"/>
    <s v="Senior"/>
    <s v="Full-Time"/>
    <x v="2"/>
    <x v="458"/>
    <x v="0"/>
    <s v="Remote"/>
    <n v="70000"/>
    <n v="20"/>
    <n v="84.7"/>
    <n v="3"/>
    <n v="5"/>
    <n v="0"/>
    <n v="7"/>
    <n v="6"/>
    <s v="Consultancy"/>
    <n v="5833"/>
    <n v="0.5"/>
    <s v="40-44"/>
    <s v="Good"/>
  </r>
  <r>
    <x v="513"/>
    <x v="98"/>
    <x v="1"/>
    <n v="26"/>
    <x v="3"/>
    <x v="5"/>
    <s v="Associate"/>
    <s v="Full-Time"/>
    <x v="7"/>
    <x v="459"/>
    <x v="0"/>
    <s v="Hybrid"/>
    <n v="56500"/>
    <n v="6"/>
    <n v="93.6"/>
    <n v="2"/>
    <n v="7"/>
    <n v="3"/>
    <n v="0"/>
    <n v="9"/>
    <s v="Indeed"/>
    <n v="4708"/>
    <n v="4.8"/>
    <s v="25-29"/>
    <s v="Average"/>
  </r>
  <r>
    <x v="514"/>
    <x v="55"/>
    <x v="1"/>
    <n v="43"/>
    <x v="11"/>
    <x v="5"/>
    <s v="Junior"/>
    <s v="Full-Time"/>
    <x v="7"/>
    <x v="460"/>
    <x v="0"/>
    <s v="Onsite"/>
    <n v="48000"/>
    <n v="19"/>
    <n v="89.5"/>
    <n v="3"/>
    <n v="10"/>
    <n v="2"/>
    <n v="30"/>
    <n v="18"/>
    <s v="Employee Referral"/>
    <n v="4000"/>
    <n v="2.8"/>
    <s v="40-44"/>
    <s v="Excellent"/>
  </r>
  <r>
    <x v="515"/>
    <x v="110"/>
    <x v="1"/>
    <n v="20"/>
    <x v="10"/>
    <x v="5"/>
    <s v="Associate"/>
    <s v="Contract"/>
    <x v="5"/>
    <x v="461"/>
    <x v="0"/>
    <s v="Onsite"/>
    <n v="72300"/>
    <n v="0"/>
    <n v="93.4"/>
    <n v="3"/>
    <n v="7"/>
    <n v="3"/>
    <n v="0"/>
    <n v="10"/>
    <s v="LinkedIn"/>
    <n v="6025"/>
    <n v="5.6"/>
    <s v="20-24"/>
    <s v="Excellent"/>
  </r>
  <r>
    <x v="516"/>
    <x v="63"/>
    <x v="0"/>
    <n v="34"/>
    <x v="7"/>
    <x v="5"/>
    <s v="Manager"/>
    <s v="Full-Time"/>
    <x v="7"/>
    <x v="462"/>
    <x v="0"/>
    <s v="Hybrid"/>
    <n v="147000"/>
    <n v="15"/>
    <n v="89.6"/>
    <n v="5"/>
    <n v="2"/>
    <n v="2"/>
    <n v="22"/>
    <n v="25"/>
    <s v="Campus Hiring"/>
    <n v="12250"/>
    <n v="4.0999999999999996"/>
    <s v="30-34"/>
    <s v="Excellent"/>
  </r>
  <r>
    <x v="517"/>
    <x v="201"/>
    <x v="0"/>
    <n v="34"/>
    <x v="2"/>
    <x v="5"/>
    <s v="Associate"/>
    <s v="Full-Time"/>
    <x v="5"/>
    <x v="463"/>
    <x v="0"/>
    <s v="Onsite"/>
    <n v="63600"/>
    <n v="15"/>
    <n v="88.1"/>
    <n v="8"/>
    <n v="10"/>
    <n v="2"/>
    <n v="27"/>
    <n v="23"/>
    <s v="Naukri"/>
    <n v="5300"/>
    <n v="3.4"/>
    <s v="30-34"/>
    <s v="Excellent"/>
  </r>
  <r>
    <x v="518"/>
    <x v="210"/>
    <x v="1"/>
    <n v="47"/>
    <x v="3"/>
    <x v="2"/>
    <s v="Associate"/>
    <s v="Full-Time"/>
    <x v="1"/>
    <x v="150"/>
    <x v="0"/>
    <s v="Remote"/>
    <n v="52600"/>
    <n v="27"/>
    <n v="83.7"/>
    <n v="2"/>
    <n v="3"/>
    <n v="4"/>
    <n v="4"/>
    <n v="16"/>
    <s v="Campus Hiring"/>
    <n v="4383"/>
    <n v="3.9"/>
    <s v="45+"/>
    <s v="Good"/>
  </r>
  <r>
    <x v="519"/>
    <x v="211"/>
    <x v="0"/>
    <n v="38"/>
    <x v="0"/>
    <x v="4"/>
    <s v="Associate"/>
    <s v="Part-Time"/>
    <x v="5"/>
    <x v="464"/>
    <x v="0"/>
    <s v="Onsite"/>
    <n v="41600"/>
    <n v="16"/>
    <n v="90.6"/>
    <n v="0"/>
    <n v="1"/>
    <n v="3"/>
    <n v="17"/>
    <n v="14"/>
    <s v="LinkedIn"/>
    <n v="3467"/>
    <n v="5.5"/>
    <s v="35-39"/>
    <s v="Average"/>
  </r>
  <r>
    <x v="520"/>
    <x v="212"/>
    <x v="1"/>
    <n v="23"/>
    <x v="2"/>
    <x v="3"/>
    <s v="Senior"/>
    <s v="Full-Time"/>
    <x v="7"/>
    <x v="465"/>
    <x v="0"/>
    <s v="Hybrid"/>
    <n v="80000"/>
    <n v="4"/>
    <n v="91.9"/>
    <n v="7"/>
    <n v="0"/>
    <n v="1"/>
    <n v="3"/>
    <n v="15"/>
    <s v="Indeed"/>
    <n v="6667"/>
    <n v="2.4"/>
    <s v="20-24"/>
    <s v="Good"/>
  </r>
  <r>
    <x v="521"/>
    <x v="97"/>
    <x v="0"/>
    <n v="46"/>
    <x v="3"/>
    <x v="5"/>
    <s v="Associate"/>
    <s v="Full-Time"/>
    <x v="2"/>
    <x v="466"/>
    <x v="0"/>
    <s v="Hybrid"/>
    <n v="66000"/>
    <n v="23"/>
    <n v="80.599999999999994"/>
    <n v="6"/>
    <n v="6"/>
    <n v="4"/>
    <n v="15"/>
    <n v="9"/>
    <s v="LinkedIn"/>
    <n v="5500"/>
    <n v="4.4000000000000004"/>
    <s v="45+"/>
    <s v="Good"/>
  </r>
  <r>
    <x v="522"/>
    <x v="191"/>
    <x v="1"/>
    <n v="25"/>
    <x v="13"/>
    <x v="4"/>
    <s v="Junior"/>
    <s v="Full-Time"/>
    <x v="7"/>
    <x v="467"/>
    <x v="2"/>
    <s v="Hybrid"/>
    <n v="33500"/>
    <n v="3"/>
    <n v="87.9"/>
    <n v="1"/>
    <n v="7"/>
    <n v="4"/>
    <n v="19"/>
    <n v="18"/>
    <s v="Consultancy"/>
    <n v="2792"/>
    <n v="8.3000000000000007"/>
    <s v="25-29"/>
    <s v="Excellent"/>
  </r>
  <r>
    <x v="523"/>
    <x v="83"/>
    <x v="1"/>
    <n v="29"/>
    <x v="2"/>
    <x v="4"/>
    <s v="Senior"/>
    <s v="Full-Time"/>
    <x v="4"/>
    <x v="468"/>
    <x v="0"/>
    <s v="Hybrid"/>
    <n v="68400"/>
    <n v="10"/>
    <n v="89.7"/>
    <n v="4"/>
    <n v="11"/>
    <n v="3"/>
    <n v="21"/>
    <n v="12"/>
    <s v="Campus Hiring"/>
    <n v="5700"/>
    <n v="0.6"/>
    <s v="25-29"/>
    <s v="Good"/>
  </r>
  <r>
    <x v="524"/>
    <x v="33"/>
    <x v="1"/>
    <n v="50"/>
    <x v="1"/>
    <x v="5"/>
    <s v="Senior"/>
    <s v="Full-Time"/>
    <x v="2"/>
    <x v="469"/>
    <x v="0"/>
    <s v="Onsite"/>
    <n v="102300"/>
    <n v="28"/>
    <n v="93.9"/>
    <n v="3"/>
    <n v="14"/>
    <n v="4"/>
    <n v="23"/>
    <n v="9"/>
    <s v="Consultancy"/>
    <n v="8525"/>
    <n v="0.9"/>
    <s v="45+"/>
    <s v="Average"/>
  </r>
  <r>
    <x v="525"/>
    <x v="190"/>
    <x v="1"/>
    <n v="31"/>
    <x v="6"/>
    <x v="7"/>
    <s v="Senior"/>
    <s v="Full-Time"/>
    <x v="7"/>
    <x v="470"/>
    <x v="0"/>
    <s v="Onsite"/>
    <n v="45300"/>
    <n v="8"/>
    <n v="88.1"/>
    <n v="8"/>
    <n v="7"/>
    <n v="4"/>
    <n v="28"/>
    <n v="15"/>
    <s v="Naukri"/>
    <n v="3775"/>
    <n v="1.1000000000000001"/>
    <s v="30-34"/>
    <s v="Good"/>
  </r>
  <r>
    <x v="526"/>
    <x v="121"/>
    <x v="0"/>
    <n v="45"/>
    <x v="7"/>
    <x v="5"/>
    <s v="Lead"/>
    <s v="Intern"/>
    <x v="6"/>
    <x v="471"/>
    <x v="0"/>
    <s v="Hybrid"/>
    <n v="119200"/>
    <n v="23"/>
    <n v="94.1"/>
    <n v="3"/>
    <n v="12"/>
    <n v="0"/>
    <n v="18"/>
    <n v="2"/>
    <s v="Indeed"/>
    <n v="9933"/>
    <n v="6.1"/>
    <s v="45+"/>
    <s v="Average"/>
  </r>
  <r>
    <x v="527"/>
    <x v="5"/>
    <x v="0"/>
    <n v="44"/>
    <x v="11"/>
    <x v="3"/>
    <s v="Associate"/>
    <s v="Intern"/>
    <x v="4"/>
    <x v="472"/>
    <x v="0"/>
    <s v="Remote"/>
    <n v="57600"/>
    <n v="22"/>
    <n v="92.4"/>
    <n v="4"/>
    <n v="5"/>
    <n v="2"/>
    <n v="27"/>
    <n v="13"/>
    <s v="Indeed"/>
    <n v="4800"/>
    <n v="5.0999999999999996"/>
    <s v="40-44"/>
    <s v="Average"/>
  </r>
  <r>
    <x v="528"/>
    <x v="83"/>
    <x v="1"/>
    <n v="23"/>
    <x v="10"/>
    <x v="3"/>
    <s v="Junior"/>
    <s v="Full-Time"/>
    <x v="2"/>
    <x v="473"/>
    <x v="0"/>
    <s v="Onsite"/>
    <n v="47800"/>
    <n v="2"/>
    <n v="95.3"/>
    <n v="7"/>
    <n v="6"/>
    <n v="1"/>
    <n v="27"/>
    <n v="21"/>
    <s v="Indeed"/>
    <n v="3983"/>
    <n v="2.2000000000000002"/>
    <s v="20-24"/>
    <s v="Average"/>
  </r>
  <r>
    <x v="529"/>
    <x v="213"/>
    <x v="1"/>
    <n v="25"/>
    <x v="3"/>
    <x v="6"/>
    <s v="Manager"/>
    <s v="Full-Time"/>
    <x v="6"/>
    <x v="14"/>
    <x v="0"/>
    <s v="Remote"/>
    <n v="133700"/>
    <n v="5"/>
    <n v="88.4"/>
    <n v="2"/>
    <n v="7"/>
    <n v="3"/>
    <n v="29"/>
    <n v="11"/>
    <s v="LinkedIn"/>
    <n v="11142"/>
    <n v="1.8"/>
    <s v="25-29"/>
    <s v="Average"/>
  </r>
  <r>
    <x v="530"/>
    <x v="214"/>
    <x v="1"/>
    <n v="44"/>
    <x v="0"/>
    <x v="6"/>
    <s v="Associate"/>
    <s v="Full-Time"/>
    <x v="6"/>
    <x v="474"/>
    <x v="0"/>
    <s v="Hybrid"/>
    <n v="47100"/>
    <n v="20"/>
    <n v="89.6"/>
    <n v="5"/>
    <n v="3"/>
    <n v="0"/>
    <n v="6"/>
    <n v="13"/>
    <s v="Employee Referral"/>
    <n v="3925"/>
    <n v="7.6"/>
    <s v="40-44"/>
    <s v="Average"/>
  </r>
  <r>
    <x v="531"/>
    <x v="69"/>
    <x v="0"/>
    <n v="33"/>
    <x v="1"/>
    <x v="2"/>
    <s v="Senior"/>
    <s v="Full-Time"/>
    <x v="3"/>
    <x v="475"/>
    <x v="0"/>
    <s v="Hybrid"/>
    <n v="60100"/>
    <n v="14"/>
    <n v="93.9"/>
    <n v="5"/>
    <n v="7"/>
    <n v="1"/>
    <n v="14"/>
    <n v="20"/>
    <s v="Naukri"/>
    <n v="5008"/>
    <n v="0.2"/>
    <s v="30-34"/>
    <s v="Excellent"/>
  </r>
  <r>
    <x v="532"/>
    <x v="215"/>
    <x v="1"/>
    <n v="49"/>
    <x v="2"/>
    <x v="4"/>
    <s v="Senior"/>
    <s v="Full-Time"/>
    <x v="6"/>
    <x v="476"/>
    <x v="0"/>
    <s v="Hybrid"/>
    <n v="60900"/>
    <n v="30"/>
    <n v="85.9"/>
    <n v="6"/>
    <n v="5"/>
    <n v="1"/>
    <n v="17"/>
    <n v="28"/>
    <s v="Company Website"/>
    <n v="5075"/>
    <n v="3.7"/>
    <s v="45+"/>
    <s v="Good"/>
  </r>
  <r>
    <x v="533"/>
    <x v="193"/>
    <x v="1"/>
    <n v="32"/>
    <x v="14"/>
    <x v="2"/>
    <s v="Associate"/>
    <s v="Full-Time"/>
    <x v="7"/>
    <x v="477"/>
    <x v="0"/>
    <s v="Onsite"/>
    <n v="41600"/>
    <n v="13"/>
    <n v="90.7"/>
    <n v="8"/>
    <n v="11"/>
    <n v="0"/>
    <n v="8"/>
    <n v="16"/>
    <s v="Consultancy"/>
    <n v="3467"/>
    <n v="3.8"/>
    <s v="30-34"/>
    <s v="Excellent"/>
  </r>
  <r>
    <x v="534"/>
    <x v="79"/>
    <x v="1"/>
    <n v="44"/>
    <x v="0"/>
    <x v="5"/>
    <s v="Junior"/>
    <s v="Full-Time"/>
    <x v="5"/>
    <x v="478"/>
    <x v="0"/>
    <s v="Onsite"/>
    <n v="43500"/>
    <n v="24"/>
    <n v="96"/>
    <n v="2"/>
    <n v="6"/>
    <n v="3"/>
    <n v="27"/>
    <n v="4"/>
    <s v="Naukri"/>
    <n v="3625"/>
    <n v="7.7"/>
    <s v="40-44"/>
    <s v="Good"/>
  </r>
  <r>
    <x v="535"/>
    <x v="212"/>
    <x v="0"/>
    <n v="50"/>
    <x v="7"/>
    <x v="5"/>
    <s v="Senior"/>
    <s v="Full-Time"/>
    <x v="6"/>
    <x v="479"/>
    <x v="0"/>
    <s v="Hybrid"/>
    <n v="96900"/>
    <n v="28"/>
    <n v="87.7"/>
    <n v="4"/>
    <n v="9"/>
    <n v="2"/>
    <n v="6"/>
    <n v="27"/>
    <s v="Naukri"/>
    <n v="8075"/>
    <n v="4.4000000000000004"/>
    <s v="45+"/>
    <s v="Average"/>
  </r>
  <r>
    <x v="536"/>
    <x v="111"/>
    <x v="1"/>
    <n v="41"/>
    <x v="14"/>
    <x v="1"/>
    <s v="Lead"/>
    <s v="Part-Time"/>
    <x v="6"/>
    <x v="480"/>
    <x v="0"/>
    <s v="Onsite"/>
    <n v="104000"/>
    <n v="18"/>
    <n v="92.6"/>
    <n v="4"/>
    <n v="13"/>
    <n v="0"/>
    <n v="30"/>
    <n v="10"/>
    <s v="Company Website"/>
    <n v="8667"/>
    <n v="3.9"/>
    <s v="40-44"/>
    <s v="Good"/>
  </r>
  <r>
    <x v="537"/>
    <x v="88"/>
    <x v="1"/>
    <n v="40"/>
    <x v="9"/>
    <x v="6"/>
    <s v="Senior"/>
    <s v="Full-Time"/>
    <x v="5"/>
    <x v="481"/>
    <x v="0"/>
    <s v="Hybrid"/>
    <n v="71200"/>
    <n v="17"/>
    <n v="91"/>
    <n v="4"/>
    <n v="6"/>
    <n v="4"/>
    <n v="0"/>
    <n v="9"/>
    <s v="Campus Hiring"/>
    <n v="5933"/>
    <n v="0.9"/>
    <s v="40-44"/>
    <s v="Good"/>
  </r>
  <r>
    <x v="538"/>
    <x v="90"/>
    <x v="1"/>
    <n v="22"/>
    <x v="7"/>
    <x v="3"/>
    <s v="Associate"/>
    <s v="Full-Time"/>
    <x v="2"/>
    <x v="482"/>
    <x v="0"/>
    <s v="Hybrid"/>
    <n v="57200"/>
    <n v="0"/>
    <n v="98.3"/>
    <n v="5"/>
    <n v="7"/>
    <n v="1"/>
    <n v="12"/>
    <n v="11"/>
    <s v="Naukri"/>
    <n v="4767"/>
    <n v="5.6"/>
    <s v="20-24"/>
    <s v="Good"/>
  </r>
  <r>
    <x v="539"/>
    <x v="216"/>
    <x v="0"/>
    <n v="40"/>
    <x v="14"/>
    <x v="5"/>
    <s v="Junior"/>
    <s v="Full-Time"/>
    <x v="1"/>
    <x v="483"/>
    <x v="0"/>
    <s v="Remote"/>
    <n v="41200"/>
    <n v="16"/>
    <n v="91.4"/>
    <n v="0"/>
    <n v="10"/>
    <n v="4"/>
    <n v="3"/>
    <n v="29"/>
    <s v="Consultancy"/>
    <n v="3433"/>
    <n v="7.8"/>
    <s v="40-44"/>
    <s v="Average"/>
  </r>
  <r>
    <x v="540"/>
    <x v="103"/>
    <x v="0"/>
    <n v="34"/>
    <x v="5"/>
    <x v="7"/>
    <s v="Junior"/>
    <s v="Full-Time"/>
    <x v="6"/>
    <x v="230"/>
    <x v="0"/>
    <s v="Onsite"/>
    <n v="22900"/>
    <n v="10"/>
    <n v="93.7"/>
    <n v="8"/>
    <n v="13"/>
    <n v="3"/>
    <n v="1"/>
    <n v="9"/>
    <s v="Indeed"/>
    <n v="1908"/>
    <n v="5.7"/>
    <s v="30-34"/>
    <s v="Good"/>
  </r>
  <r>
    <x v="541"/>
    <x v="217"/>
    <x v="1"/>
    <n v="22"/>
    <x v="10"/>
    <x v="0"/>
    <s v="Associate"/>
    <s v="Full-Time"/>
    <x v="1"/>
    <x v="484"/>
    <x v="0"/>
    <s v="Hybrid"/>
    <n v="47500"/>
    <n v="0"/>
    <n v="90.2"/>
    <n v="2"/>
    <n v="15"/>
    <n v="2"/>
    <n v="9"/>
    <n v="17"/>
    <s v="Indeed"/>
    <n v="3958"/>
    <n v="0.1"/>
    <s v="20-24"/>
    <s v="Excellent"/>
  </r>
  <r>
    <x v="542"/>
    <x v="217"/>
    <x v="1"/>
    <n v="24"/>
    <x v="8"/>
    <x v="1"/>
    <s v="Associate"/>
    <s v="Full-Time"/>
    <x v="3"/>
    <x v="485"/>
    <x v="0"/>
    <s v="Remote"/>
    <n v="52900"/>
    <n v="2"/>
    <n v="88.4"/>
    <n v="5"/>
    <n v="14"/>
    <n v="2"/>
    <n v="4"/>
    <n v="12"/>
    <s v="LinkedIn"/>
    <n v="4408"/>
    <n v="3.7"/>
    <s v="20-24"/>
    <s v="Excellent"/>
  </r>
  <r>
    <x v="543"/>
    <x v="210"/>
    <x v="0"/>
    <n v="32"/>
    <x v="9"/>
    <x v="4"/>
    <s v="Manager"/>
    <s v="Part-Time"/>
    <x v="0"/>
    <x v="486"/>
    <x v="0"/>
    <s v="Onsite"/>
    <n v="92000"/>
    <n v="8"/>
    <n v="92.1"/>
    <n v="3"/>
    <n v="4"/>
    <n v="2"/>
    <n v="24"/>
    <n v="24"/>
    <s v="Company Website"/>
    <n v="7667"/>
    <n v="2"/>
    <s v="30-34"/>
    <s v="Excellent"/>
  </r>
  <r>
    <x v="544"/>
    <x v="218"/>
    <x v="1"/>
    <n v="45"/>
    <x v="9"/>
    <x v="1"/>
    <s v="Senior"/>
    <s v="Full-Time"/>
    <x v="1"/>
    <x v="487"/>
    <x v="0"/>
    <s v="Hybrid"/>
    <n v="82100"/>
    <n v="21"/>
    <n v="88.2"/>
    <n v="6"/>
    <n v="1"/>
    <n v="4"/>
    <n v="2"/>
    <n v="25"/>
    <s v="Indeed"/>
    <n v="6842"/>
    <n v="2"/>
    <s v="45+"/>
    <s v="Good"/>
  </r>
  <r>
    <x v="545"/>
    <x v="163"/>
    <x v="1"/>
    <n v="45"/>
    <x v="3"/>
    <x v="5"/>
    <s v="Senior"/>
    <s v="Full-Time"/>
    <x v="7"/>
    <x v="488"/>
    <x v="0"/>
    <s v="Onsite"/>
    <n v="96400"/>
    <n v="22"/>
    <n v="96.2"/>
    <n v="7"/>
    <n v="7"/>
    <n v="3"/>
    <n v="4"/>
    <n v="25"/>
    <s v="Consultancy"/>
    <n v="8033"/>
    <n v="2.2999999999999998"/>
    <s v="45+"/>
    <s v="Excellent"/>
  </r>
  <r>
    <x v="546"/>
    <x v="218"/>
    <x v="0"/>
    <n v="34"/>
    <x v="7"/>
    <x v="6"/>
    <s v="Associate"/>
    <s v="Full-Time"/>
    <x v="3"/>
    <x v="489"/>
    <x v="1"/>
    <s v="Remote"/>
    <n v="51500"/>
    <n v="15"/>
    <n v="96.9"/>
    <n v="3"/>
    <n v="0"/>
    <n v="4"/>
    <n v="10"/>
    <n v="27"/>
    <s v="Consultancy"/>
    <n v="4292"/>
    <n v="5.9"/>
    <s v="30-34"/>
    <s v="Good"/>
  </r>
  <r>
    <x v="547"/>
    <x v="219"/>
    <x v="0"/>
    <n v="36"/>
    <x v="11"/>
    <x v="7"/>
    <s v="Junior"/>
    <s v="Contract"/>
    <x v="2"/>
    <x v="490"/>
    <x v="0"/>
    <s v="Hybrid"/>
    <n v="24400"/>
    <n v="14"/>
    <n v="91.4"/>
    <n v="5"/>
    <n v="14"/>
    <n v="1"/>
    <n v="25"/>
    <n v="23"/>
    <s v="Company Website"/>
    <n v="2033"/>
    <n v="1.4"/>
    <s v="35-39"/>
    <s v="Good"/>
  </r>
  <r>
    <x v="548"/>
    <x v="55"/>
    <x v="0"/>
    <n v="25"/>
    <x v="1"/>
    <x v="1"/>
    <s v="Manager"/>
    <s v="Full-Time"/>
    <x v="4"/>
    <x v="491"/>
    <x v="0"/>
    <s v="Onsite"/>
    <n v="121600"/>
    <n v="1"/>
    <n v="88.8"/>
    <n v="6"/>
    <n v="15"/>
    <n v="2"/>
    <n v="17"/>
    <n v="9"/>
    <s v="Indeed"/>
    <n v="10133"/>
    <n v="1.8"/>
    <s v="25-29"/>
    <s v="Good"/>
  </r>
  <r>
    <x v="549"/>
    <x v="133"/>
    <x v="0"/>
    <n v="42"/>
    <x v="11"/>
    <x v="6"/>
    <s v="Associate"/>
    <s v="Full-Time"/>
    <x v="4"/>
    <x v="492"/>
    <x v="0"/>
    <s v="Remote"/>
    <n v="50300"/>
    <n v="20"/>
    <n v="92.1"/>
    <n v="6"/>
    <n v="15"/>
    <n v="3"/>
    <n v="30"/>
    <n v="19"/>
    <s v="Naukri"/>
    <n v="4192"/>
    <n v="6.1"/>
    <s v="40-44"/>
    <s v="Good"/>
  </r>
  <r>
    <x v="550"/>
    <x v="168"/>
    <x v="0"/>
    <n v="37"/>
    <x v="8"/>
    <x v="7"/>
    <s v="Junior"/>
    <s v="Full-Time"/>
    <x v="4"/>
    <x v="493"/>
    <x v="0"/>
    <s v="Onsite"/>
    <n v="24200"/>
    <n v="16"/>
    <n v="84.6"/>
    <n v="8"/>
    <n v="12"/>
    <n v="4"/>
    <n v="19"/>
    <n v="8"/>
    <s v="Company Website"/>
    <n v="2017"/>
    <n v="2.2000000000000002"/>
    <s v="35-39"/>
    <s v="Good"/>
  </r>
  <r>
    <x v="551"/>
    <x v="163"/>
    <x v="1"/>
    <n v="22"/>
    <x v="5"/>
    <x v="2"/>
    <s v="Associate"/>
    <s v="Full-Time"/>
    <x v="2"/>
    <x v="494"/>
    <x v="0"/>
    <s v="Onsite"/>
    <n v="44100"/>
    <n v="3"/>
    <n v="87.2"/>
    <n v="7"/>
    <n v="12"/>
    <n v="4"/>
    <n v="1"/>
    <n v="4"/>
    <s v="Indeed"/>
    <n v="3675"/>
    <n v="0.2"/>
    <s v="20-24"/>
    <s v="Excellent"/>
  </r>
  <r>
    <x v="552"/>
    <x v="37"/>
    <x v="1"/>
    <n v="45"/>
    <x v="13"/>
    <x v="6"/>
    <s v="Lead"/>
    <s v="Contract"/>
    <x v="6"/>
    <x v="495"/>
    <x v="1"/>
    <s v="Hybrid"/>
    <n v="106900"/>
    <n v="26"/>
    <n v="85.5"/>
    <n v="2"/>
    <n v="1"/>
    <n v="4"/>
    <n v="23"/>
    <n v="9"/>
    <s v="Employee Referral"/>
    <n v="8908"/>
    <n v="6.5"/>
    <s v="45+"/>
    <s v="Good"/>
  </r>
  <r>
    <x v="553"/>
    <x v="176"/>
    <x v="1"/>
    <n v="28"/>
    <x v="6"/>
    <x v="0"/>
    <s v="Lead"/>
    <s v="Full-Time"/>
    <x v="2"/>
    <x v="496"/>
    <x v="0"/>
    <s v="Hybrid"/>
    <n v="91000"/>
    <n v="4"/>
    <n v="87.3"/>
    <n v="3"/>
    <n v="4"/>
    <n v="4"/>
    <n v="22"/>
    <n v="6"/>
    <s v="Consultancy"/>
    <n v="7583"/>
    <n v="6.1"/>
    <s v="25-29"/>
    <s v="Good"/>
  </r>
  <r>
    <x v="554"/>
    <x v="22"/>
    <x v="1"/>
    <n v="27"/>
    <x v="9"/>
    <x v="3"/>
    <s v="Intern"/>
    <s v="Full-Time"/>
    <x v="2"/>
    <x v="497"/>
    <x v="0"/>
    <s v="Hybrid"/>
    <n v="27700"/>
    <n v="3"/>
    <n v="87.9"/>
    <n v="8"/>
    <n v="3"/>
    <n v="4"/>
    <n v="15"/>
    <n v="28"/>
    <s v="Consultancy"/>
    <n v="2308"/>
    <n v="1.8"/>
    <s v="25-29"/>
    <s v="Good"/>
  </r>
  <r>
    <x v="555"/>
    <x v="17"/>
    <x v="1"/>
    <n v="39"/>
    <x v="5"/>
    <x v="6"/>
    <s v="Lead"/>
    <s v="Full-Time"/>
    <x v="7"/>
    <x v="498"/>
    <x v="0"/>
    <s v="Hybrid"/>
    <n v="89300"/>
    <n v="16"/>
    <n v="84.6"/>
    <n v="6"/>
    <n v="11"/>
    <n v="1"/>
    <n v="22"/>
    <n v="6"/>
    <s v="Company Website"/>
    <n v="7442"/>
    <n v="1.4"/>
    <s v="35-39"/>
    <s v="Good"/>
  </r>
  <r>
    <x v="556"/>
    <x v="157"/>
    <x v="0"/>
    <n v="30"/>
    <x v="13"/>
    <x v="0"/>
    <s v="Associate"/>
    <s v="Full-Time"/>
    <x v="1"/>
    <x v="499"/>
    <x v="0"/>
    <s v="Hybrid"/>
    <n v="45700"/>
    <n v="11"/>
    <n v="89.7"/>
    <n v="6"/>
    <n v="10"/>
    <n v="2"/>
    <n v="22"/>
    <n v="20"/>
    <s v="Company Website"/>
    <n v="3808"/>
    <n v="3.4"/>
    <s v="30-34"/>
    <s v="Good"/>
  </r>
  <r>
    <x v="557"/>
    <x v="17"/>
    <x v="1"/>
    <n v="47"/>
    <x v="1"/>
    <x v="0"/>
    <s v="Intern"/>
    <s v="Contract"/>
    <x v="4"/>
    <x v="500"/>
    <x v="0"/>
    <s v="Onsite"/>
    <n v="21300"/>
    <n v="26"/>
    <n v="90"/>
    <n v="0"/>
    <n v="1"/>
    <n v="4"/>
    <n v="24"/>
    <n v="18"/>
    <s v="Campus Hiring"/>
    <n v="1775"/>
    <n v="3.8"/>
    <s v="45+"/>
    <s v="Good"/>
  </r>
  <r>
    <x v="558"/>
    <x v="117"/>
    <x v="0"/>
    <n v="43"/>
    <x v="3"/>
    <x v="7"/>
    <s v="Lead"/>
    <s v="Full-Time"/>
    <x v="2"/>
    <x v="501"/>
    <x v="0"/>
    <s v="Onsite"/>
    <n v="60800"/>
    <n v="22"/>
    <n v="93.9"/>
    <n v="1"/>
    <n v="14"/>
    <n v="1"/>
    <n v="17"/>
    <n v="30"/>
    <s v="Employee Referral"/>
    <n v="5067"/>
    <n v="2.8"/>
    <s v="40-44"/>
    <s v="Average"/>
  </r>
  <r>
    <x v="559"/>
    <x v="220"/>
    <x v="0"/>
    <n v="30"/>
    <x v="11"/>
    <x v="5"/>
    <s v="Lead"/>
    <s v="Full-Time"/>
    <x v="6"/>
    <x v="502"/>
    <x v="0"/>
    <s v="Onsite"/>
    <n v="129700"/>
    <n v="9"/>
    <n v="91.5"/>
    <n v="0"/>
    <n v="3"/>
    <n v="3"/>
    <n v="5"/>
    <n v="30"/>
    <s v="Company Website"/>
    <n v="10808"/>
    <n v="7.9"/>
    <s v="30-34"/>
    <s v="Excellent"/>
  </r>
  <r>
    <x v="560"/>
    <x v="146"/>
    <x v="1"/>
    <n v="27"/>
    <x v="8"/>
    <x v="3"/>
    <s v="Senior"/>
    <s v="Contract"/>
    <x v="6"/>
    <x v="327"/>
    <x v="0"/>
    <s v="Onsite"/>
    <n v="88500"/>
    <n v="7"/>
    <n v="98.1"/>
    <n v="3"/>
    <n v="6"/>
    <n v="3"/>
    <n v="14"/>
    <n v="15"/>
    <s v="LinkedIn"/>
    <n v="7375"/>
    <n v="3.5"/>
    <s v="25-29"/>
    <s v="Excellent"/>
  </r>
  <r>
    <x v="561"/>
    <x v="115"/>
    <x v="0"/>
    <n v="49"/>
    <x v="2"/>
    <x v="5"/>
    <s v="Senior"/>
    <s v="Full-Time"/>
    <x v="4"/>
    <x v="503"/>
    <x v="0"/>
    <s v="Hybrid"/>
    <n v="104400"/>
    <n v="26"/>
    <n v="93.9"/>
    <n v="3"/>
    <n v="4"/>
    <n v="1"/>
    <n v="11"/>
    <n v="19"/>
    <s v="Consultancy"/>
    <n v="8700"/>
    <n v="1.4"/>
    <s v="45+"/>
    <s v="Good"/>
  </r>
  <r>
    <x v="562"/>
    <x v="13"/>
    <x v="1"/>
    <n v="41"/>
    <x v="11"/>
    <x v="7"/>
    <s v="Lead"/>
    <s v="Full-Time"/>
    <x v="5"/>
    <x v="504"/>
    <x v="0"/>
    <s v="Onsite"/>
    <n v="72200"/>
    <n v="18"/>
    <n v="100"/>
    <n v="4"/>
    <n v="14"/>
    <n v="1"/>
    <n v="28"/>
    <n v="30"/>
    <s v="Naukri"/>
    <n v="6017"/>
    <n v="2.1"/>
    <s v="40-44"/>
    <s v="Good"/>
  </r>
  <r>
    <x v="563"/>
    <x v="221"/>
    <x v="0"/>
    <n v="49"/>
    <x v="9"/>
    <x v="1"/>
    <s v="Senior"/>
    <s v="Full-Time"/>
    <x v="5"/>
    <x v="505"/>
    <x v="0"/>
    <s v="Remote"/>
    <n v="63600"/>
    <n v="25"/>
    <n v="85.3"/>
    <n v="4"/>
    <n v="15"/>
    <n v="1"/>
    <n v="29"/>
    <n v="29"/>
    <s v="Campus Hiring"/>
    <n v="5300"/>
    <n v="7"/>
    <s v="45+"/>
    <s v="Excellent"/>
  </r>
  <r>
    <x v="564"/>
    <x v="62"/>
    <x v="0"/>
    <n v="20"/>
    <x v="3"/>
    <x v="6"/>
    <s v="Lead"/>
    <s v="Full-Time"/>
    <x v="7"/>
    <x v="506"/>
    <x v="0"/>
    <s v="Hybrid"/>
    <n v="95800"/>
    <n v="0"/>
    <n v="96"/>
    <n v="0"/>
    <n v="12"/>
    <n v="3"/>
    <n v="3"/>
    <n v="3"/>
    <s v="Naukri"/>
    <n v="7983"/>
    <n v="4.2"/>
    <s v="20-24"/>
    <s v="Average"/>
  </r>
  <r>
    <x v="565"/>
    <x v="0"/>
    <x v="0"/>
    <n v="21"/>
    <x v="5"/>
    <x v="3"/>
    <s v="Senior"/>
    <s v="Full-Time"/>
    <x v="5"/>
    <x v="486"/>
    <x v="0"/>
    <s v="Remote"/>
    <n v="98500"/>
    <n v="0"/>
    <n v="83.2"/>
    <n v="6"/>
    <n v="3"/>
    <n v="4"/>
    <n v="28"/>
    <n v="24"/>
    <s v="Indeed"/>
    <n v="8208"/>
    <n v="2"/>
    <s v="20-24"/>
    <s v="Good"/>
  </r>
  <r>
    <x v="566"/>
    <x v="188"/>
    <x v="0"/>
    <n v="39"/>
    <x v="9"/>
    <x v="1"/>
    <s v="Manager"/>
    <s v="Full-Time"/>
    <x v="3"/>
    <x v="507"/>
    <x v="0"/>
    <s v="Hybrid"/>
    <n v="119400"/>
    <n v="15"/>
    <n v="96.3"/>
    <n v="5"/>
    <n v="1"/>
    <n v="2"/>
    <n v="11"/>
    <n v="19"/>
    <s v="LinkedIn"/>
    <n v="9950"/>
    <n v="1"/>
    <s v="35-39"/>
    <s v="Average"/>
  </r>
  <r>
    <x v="567"/>
    <x v="138"/>
    <x v="1"/>
    <n v="23"/>
    <x v="4"/>
    <x v="6"/>
    <s v="Manager"/>
    <s v="Full-Time"/>
    <x v="5"/>
    <x v="508"/>
    <x v="0"/>
    <s v="Onsite"/>
    <n v="123100"/>
    <n v="3"/>
    <n v="92.9"/>
    <n v="7"/>
    <n v="1"/>
    <n v="4"/>
    <n v="25"/>
    <n v="8"/>
    <s v="Employee Referral"/>
    <n v="10258"/>
    <n v="5.3"/>
    <s v="20-24"/>
    <s v="Excellent"/>
  </r>
  <r>
    <x v="568"/>
    <x v="117"/>
    <x v="0"/>
    <n v="21"/>
    <x v="8"/>
    <x v="5"/>
    <s v="Junior"/>
    <s v="Contract"/>
    <x v="4"/>
    <x v="509"/>
    <x v="0"/>
    <s v="Hybrid"/>
    <n v="49800"/>
    <n v="0"/>
    <n v="89.9"/>
    <n v="3"/>
    <n v="0"/>
    <n v="0"/>
    <n v="10"/>
    <n v="18"/>
    <s v="Employee Referral"/>
    <n v="4150"/>
    <n v="5.9"/>
    <s v="20-24"/>
    <s v="Average"/>
  </r>
  <r>
    <x v="569"/>
    <x v="222"/>
    <x v="1"/>
    <n v="44"/>
    <x v="8"/>
    <x v="5"/>
    <s v="Lead"/>
    <s v="Full-Time"/>
    <x v="7"/>
    <x v="510"/>
    <x v="0"/>
    <s v="Onsite"/>
    <n v="104500"/>
    <n v="21"/>
    <n v="92.1"/>
    <n v="0"/>
    <n v="9"/>
    <n v="1"/>
    <n v="21"/>
    <n v="19"/>
    <s v="Naukri"/>
    <n v="8708"/>
    <n v="1"/>
    <s v="40-44"/>
    <s v="Good"/>
  </r>
  <r>
    <x v="570"/>
    <x v="152"/>
    <x v="0"/>
    <n v="21"/>
    <x v="1"/>
    <x v="0"/>
    <s v="Associate"/>
    <s v="Full-Time"/>
    <x v="4"/>
    <x v="511"/>
    <x v="0"/>
    <s v="Remote"/>
    <n v="56800"/>
    <n v="1"/>
    <n v="88.5"/>
    <n v="2"/>
    <n v="13"/>
    <n v="4"/>
    <n v="8"/>
    <n v="17"/>
    <s v="Employee Referral"/>
    <n v="4733"/>
    <n v="1.2"/>
    <s v="20-24"/>
    <s v="Good"/>
  </r>
  <r>
    <x v="571"/>
    <x v="125"/>
    <x v="0"/>
    <n v="32"/>
    <x v="8"/>
    <x v="2"/>
    <s v="Associate"/>
    <s v="Full-Time"/>
    <x v="5"/>
    <x v="512"/>
    <x v="0"/>
    <s v="Hybrid"/>
    <n v="44200"/>
    <n v="12"/>
    <n v="88.1"/>
    <n v="8"/>
    <n v="5"/>
    <n v="2"/>
    <n v="26"/>
    <n v="24"/>
    <s v="Campus Hiring"/>
    <n v="3683"/>
    <n v="1.9"/>
    <s v="30-34"/>
    <s v="Good"/>
  </r>
  <r>
    <x v="572"/>
    <x v="203"/>
    <x v="0"/>
    <n v="48"/>
    <x v="4"/>
    <x v="5"/>
    <s v="Senior"/>
    <s v="Part-Time"/>
    <x v="3"/>
    <x v="513"/>
    <x v="0"/>
    <s v="Hybrid"/>
    <n v="97900"/>
    <n v="25"/>
    <n v="93.2"/>
    <n v="6"/>
    <n v="5"/>
    <n v="4"/>
    <n v="0"/>
    <n v="8"/>
    <s v="Naukri"/>
    <n v="8158"/>
    <n v="1"/>
    <s v="45+"/>
    <s v="Good"/>
  </r>
  <r>
    <x v="573"/>
    <x v="223"/>
    <x v="0"/>
    <n v="41"/>
    <x v="5"/>
    <x v="5"/>
    <s v="Junior"/>
    <s v="Full-Time"/>
    <x v="4"/>
    <x v="514"/>
    <x v="0"/>
    <s v="Hybrid"/>
    <n v="42300"/>
    <n v="18"/>
    <n v="82.9"/>
    <n v="1"/>
    <n v="3"/>
    <n v="0"/>
    <n v="17"/>
    <n v="19"/>
    <s v="Campus Hiring"/>
    <n v="3525"/>
    <n v="6.1"/>
    <s v="40-44"/>
    <s v="Good"/>
  </r>
  <r>
    <x v="574"/>
    <x v="89"/>
    <x v="0"/>
    <n v="40"/>
    <x v="9"/>
    <x v="1"/>
    <s v="Associate"/>
    <s v="Contract"/>
    <x v="1"/>
    <x v="515"/>
    <x v="0"/>
    <s v="Remote"/>
    <n v="54100"/>
    <n v="16"/>
    <n v="92.6"/>
    <n v="2"/>
    <n v="8"/>
    <n v="0"/>
    <n v="5"/>
    <n v="13"/>
    <s v="Consultancy"/>
    <n v="4508"/>
    <n v="7.8"/>
    <s v="40-44"/>
    <s v="Excellent"/>
  </r>
  <r>
    <x v="575"/>
    <x v="57"/>
    <x v="0"/>
    <n v="39"/>
    <x v="6"/>
    <x v="2"/>
    <s v="Lead"/>
    <s v="Full-Time"/>
    <x v="4"/>
    <x v="516"/>
    <x v="0"/>
    <s v="Onsite"/>
    <n v="87700"/>
    <n v="17"/>
    <n v="90.4"/>
    <n v="1"/>
    <n v="12"/>
    <n v="4"/>
    <n v="30"/>
    <n v="27"/>
    <s v="LinkedIn"/>
    <n v="7308"/>
    <n v="2.8"/>
    <s v="35-39"/>
    <s v="Good"/>
  </r>
  <r>
    <x v="576"/>
    <x v="153"/>
    <x v="1"/>
    <n v="25"/>
    <x v="14"/>
    <x v="2"/>
    <s v="Junior"/>
    <s v="Contract"/>
    <x v="4"/>
    <x v="517"/>
    <x v="0"/>
    <s v="Onsite"/>
    <n v="34900"/>
    <n v="6"/>
    <n v="89.4"/>
    <n v="3"/>
    <n v="3"/>
    <n v="2"/>
    <n v="11"/>
    <n v="30"/>
    <s v="Campus Hiring"/>
    <n v="2908"/>
    <n v="4.8"/>
    <s v="25-29"/>
    <s v="Average"/>
  </r>
  <r>
    <x v="577"/>
    <x v="139"/>
    <x v="1"/>
    <n v="23"/>
    <x v="4"/>
    <x v="5"/>
    <s v="Associate"/>
    <s v="Full-Time"/>
    <x v="6"/>
    <x v="518"/>
    <x v="0"/>
    <s v="Hybrid"/>
    <n v="72300"/>
    <n v="0"/>
    <n v="88.5"/>
    <n v="1"/>
    <n v="2"/>
    <n v="4"/>
    <n v="27"/>
    <n v="17"/>
    <s v="LinkedIn"/>
    <n v="6025"/>
    <n v="0.3"/>
    <s v="20-24"/>
    <s v="Average"/>
  </r>
  <r>
    <x v="578"/>
    <x v="155"/>
    <x v="0"/>
    <n v="44"/>
    <x v="11"/>
    <x v="5"/>
    <s v="Manager"/>
    <s v="Full-Time"/>
    <x v="2"/>
    <x v="519"/>
    <x v="0"/>
    <s v="Hybrid"/>
    <n v="175000"/>
    <n v="23"/>
    <n v="92.2"/>
    <n v="3"/>
    <n v="10"/>
    <n v="1"/>
    <n v="22"/>
    <n v="15"/>
    <s v="LinkedIn"/>
    <n v="14583"/>
    <n v="1.7"/>
    <s v="40-44"/>
    <s v="Good"/>
  </r>
  <r>
    <x v="579"/>
    <x v="212"/>
    <x v="0"/>
    <n v="46"/>
    <x v="6"/>
    <x v="3"/>
    <s v="Associate"/>
    <s v="Full-Time"/>
    <x v="4"/>
    <x v="520"/>
    <x v="0"/>
    <s v="Hybrid"/>
    <n v="67700"/>
    <n v="25"/>
    <n v="96.2"/>
    <n v="6"/>
    <n v="9"/>
    <n v="2"/>
    <n v="28"/>
    <n v="8"/>
    <s v="Consultancy"/>
    <n v="5642"/>
    <n v="8.5"/>
    <s v="45+"/>
    <s v="Good"/>
  </r>
  <r>
    <x v="580"/>
    <x v="141"/>
    <x v="0"/>
    <n v="45"/>
    <x v="14"/>
    <x v="0"/>
    <s v="Associate"/>
    <s v="Part-Time"/>
    <x v="6"/>
    <x v="521"/>
    <x v="0"/>
    <s v="Hybrid"/>
    <n v="46800"/>
    <n v="23"/>
    <n v="100"/>
    <n v="7"/>
    <n v="8"/>
    <n v="3"/>
    <n v="2"/>
    <n v="26"/>
    <s v="Indeed"/>
    <n v="3900"/>
    <n v="5"/>
    <s v="45+"/>
    <s v="Good"/>
  </r>
  <r>
    <x v="581"/>
    <x v="71"/>
    <x v="1"/>
    <n v="34"/>
    <x v="13"/>
    <x v="3"/>
    <s v="Associate"/>
    <s v="Full-Time"/>
    <x v="5"/>
    <x v="522"/>
    <x v="0"/>
    <s v="Onsite"/>
    <n v="70200"/>
    <n v="15"/>
    <n v="96.6"/>
    <n v="5"/>
    <n v="0"/>
    <n v="2"/>
    <n v="0"/>
    <n v="9"/>
    <s v="Campus Hiring"/>
    <n v="5850"/>
    <n v="5.7"/>
    <s v="30-34"/>
    <s v="Good"/>
  </r>
  <r>
    <x v="582"/>
    <x v="224"/>
    <x v="1"/>
    <n v="42"/>
    <x v="6"/>
    <x v="3"/>
    <s v="Associate"/>
    <s v="Full-Time"/>
    <x v="5"/>
    <x v="173"/>
    <x v="0"/>
    <s v="Hybrid"/>
    <n v="65400"/>
    <n v="22"/>
    <n v="95.2"/>
    <n v="8"/>
    <n v="12"/>
    <n v="4"/>
    <n v="6"/>
    <n v="15"/>
    <s v="Campus Hiring"/>
    <n v="5450"/>
    <n v="1.1000000000000001"/>
    <s v="40-44"/>
    <s v="Good"/>
  </r>
  <r>
    <x v="583"/>
    <x v="30"/>
    <x v="0"/>
    <n v="50"/>
    <x v="11"/>
    <x v="7"/>
    <s v="Senior"/>
    <s v="Full-Time"/>
    <x v="0"/>
    <x v="523"/>
    <x v="0"/>
    <s v="Onsite"/>
    <n v="54900"/>
    <n v="29"/>
    <n v="87.1"/>
    <n v="5"/>
    <n v="14"/>
    <n v="4"/>
    <n v="27"/>
    <n v="23"/>
    <s v="Campus Hiring"/>
    <n v="4575"/>
    <n v="3.2"/>
    <s v="45+"/>
    <s v="Excellent"/>
  </r>
  <r>
    <x v="584"/>
    <x v="77"/>
    <x v="0"/>
    <n v="22"/>
    <x v="10"/>
    <x v="5"/>
    <s v="Lead"/>
    <s v="Contract"/>
    <x v="4"/>
    <x v="524"/>
    <x v="0"/>
    <s v="Onsite"/>
    <n v="138800"/>
    <n v="2"/>
    <n v="88"/>
    <n v="2"/>
    <n v="1"/>
    <n v="3"/>
    <n v="17"/>
    <n v="21"/>
    <s v="Employee Referral"/>
    <n v="11567"/>
    <n v="2.5"/>
    <s v="20-24"/>
    <s v="Good"/>
  </r>
  <r>
    <x v="585"/>
    <x v="85"/>
    <x v="1"/>
    <n v="47"/>
    <x v="4"/>
    <x v="7"/>
    <s v="Associate"/>
    <s v="Full-Time"/>
    <x v="3"/>
    <x v="525"/>
    <x v="1"/>
    <s v="Hybrid"/>
    <n v="33600"/>
    <n v="27"/>
    <n v="91"/>
    <n v="0"/>
    <n v="0"/>
    <n v="0"/>
    <n v="11"/>
    <n v="15"/>
    <s v="Indeed"/>
    <n v="2800"/>
    <n v="6.1"/>
    <s v="45+"/>
    <s v="Excellent"/>
  </r>
  <r>
    <x v="586"/>
    <x v="101"/>
    <x v="0"/>
    <n v="45"/>
    <x v="2"/>
    <x v="7"/>
    <s v="Lead"/>
    <s v="Full-Time"/>
    <x v="0"/>
    <x v="442"/>
    <x v="0"/>
    <s v="Hybrid"/>
    <n v="61900"/>
    <n v="21"/>
    <n v="93.2"/>
    <n v="8"/>
    <n v="6"/>
    <n v="4"/>
    <n v="28"/>
    <n v="28"/>
    <s v="Consultancy"/>
    <n v="5158"/>
    <n v="7.1"/>
    <s v="45+"/>
    <s v="Good"/>
  </r>
  <r>
    <x v="587"/>
    <x v="104"/>
    <x v="0"/>
    <n v="23"/>
    <x v="13"/>
    <x v="2"/>
    <s v="Associate"/>
    <s v="Full-Time"/>
    <x v="7"/>
    <x v="526"/>
    <x v="0"/>
    <s v="Hybrid"/>
    <n v="47900"/>
    <n v="3"/>
    <n v="88.7"/>
    <n v="2"/>
    <n v="11"/>
    <n v="0"/>
    <n v="21"/>
    <n v="4"/>
    <s v="Company Website"/>
    <n v="3992"/>
    <n v="8.3000000000000007"/>
    <s v="20-24"/>
    <s v="Good"/>
  </r>
  <r>
    <x v="588"/>
    <x v="209"/>
    <x v="0"/>
    <n v="36"/>
    <x v="14"/>
    <x v="4"/>
    <s v="Associate"/>
    <s v="Full-Time"/>
    <x v="6"/>
    <x v="527"/>
    <x v="0"/>
    <s v="Onsite"/>
    <n v="49400"/>
    <n v="14"/>
    <n v="96.9"/>
    <n v="0"/>
    <n v="12"/>
    <n v="0"/>
    <n v="19"/>
    <n v="9"/>
    <s v="Employee Referral"/>
    <n v="4117"/>
    <n v="5"/>
    <s v="35-39"/>
    <s v="Good"/>
  </r>
  <r>
    <x v="589"/>
    <x v="135"/>
    <x v="1"/>
    <n v="25"/>
    <x v="14"/>
    <x v="0"/>
    <s v="Senior"/>
    <s v="Part-Time"/>
    <x v="5"/>
    <x v="486"/>
    <x v="0"/>
    <s v="Hybrid"/>
    <n v="75200"/>
    <n v="1"/>
    <n v="87.6"/>
    <n v="1"/>
    <n v="15"/>
    <n v="1"/>
    <n v="15"/>
    <n v="20"/>
    <s v="Company Website"/>
    <n v="6267"/>
    <n v="2"/>
    <s v="25-29"/>
    <s v="Good"/>
  </r>
  <r>
    <x v="590"/>
    <x v="141"/>
    <x v="0"/>
    <n v="21"/>
    <x v="14"/>
    <x v="5"/>
    <s v="Senior"/>
    <s v="Part-Time"/>
    <x v="7"/>
    <x v="440"/>
    <x v="0"/>
    <s v="Onsite"/>
    <n v="99800"/>
    <n v="0"/>
    <n v="84.7"/>
    <n v="2"/>
    <n v="0"/>
    <n v="0"/>
    <n v="25"/>
    <n v="13"/>
    <s v="LinkedIn"/>
    <n v="8317"/>
    <n v="3.2"/>
    <s v="20-24"/>
    <s v="Average"/>
  </r>
  <r>
    <x v="591"/>
    <x v="131"/>
    <x v="0"/>
    <n v="39"/>
    <x v="5"/>
    <x v="6"/>
    <s v="Senior"/>
    <s v="Full-Time"/>
    <x v="0"/>
    <x v="528"/>
    <x v="0"/>
    <s v="Onsite"/>
    <n v="72500"/>
    <n v="19"/>
    <n v="96.2"/>
    <n v="7"/>
    <n v="10"/>
    <n v="2"/>
    <n v="19"/>
    <n v="12"/>
    <s v="Indeed"/>
    <n v="6042"/>
    <n v="3.4"/>
    <s v="35-39"/>
    <s v="Average"/>
  </r>
  <r>
    <x v="592"/>
    <x v="91"/>
    <x v="0"/>
    <n v="32"/>
    <x v="5"/>
    <x v="2"/>
    <s v="Junior"/>
    <s v="Full-Time"/>
    <x v="1"/>
    <x v="329"/>
    <x v="0"/>
    <s v="Onsite"/>
    <n v="34600"/>
    <n v="11"/>
    <n v="92.2"/>
    <n v="7"/>
    <n v="10"/>
    <n v="0"/>
    <n v="24"/>
    <n v="22"/>
    <s v="Consultancy"/>
    <n v="2883"/>
    <n v="7"/>
    <s v="30-34"/>
    <s v="Good"/>
  </r>
  <r>
    <x v="593"/>
    <x v="89"/>
    <x v="0"/>
    <n v="34"/>
    <x v="14"/>
    <x v="4"/>
    <s v="Junior"/>
    <s v="Intern"/>
    <x v="6"/>
    <x v="529"/>
    <x v="0"/>
    <s v="Onsite"/>
    <n v="35300"/>
    <n v="15"/>
    <n v="89.6"/>
    <n v="1"/>
    <n v="0"/>
    <n v="1"/>
    <n v="6"/>
    <n v="12"/>
    <s v="Indeed"/>
    <n v="2942"/>
    <n v="5.3"/>
    <s v="30-34"/>
    <s v="Average"/>
  </r>
  <r>
    <x v="594"/>
    <x v="113"/>
    <x v="0"/>
    <n v="24"/>
    <x v="2"/>
    <x v="1"/>
    <s v="Associate"/>
    <s v="Contract"/>
    <x v="2"/>
    <x v="530"/>
    <x v="0"/>
    <s v="Remote"/>
    <n v="43700"/>
    <n v="4"/>
    <n v="84.1"/>
    <n v="5"/>
    <n v="5"/>
    <n v="4"/>
    <n v="16"/>
    <n v="4"/>
    <s v="Consultancy"/>
    <n v="3642"/>
    <n v="6.4"/>
    <s v="20-24"/>
    <s v="Good"/>
  </r>
  <r>
    <x v="595"/>
    <x v="214"/>
    <x v="0"/>
    <n v="47"/>
    <x v="10"/>
    <x v="4"/>
    <s v="Associate"/>
    <s v="Full-Time"/>
    <x v="5"/>
    <x v="531"/>
    <x v="0"/>
    <s v="Remote"/>
    <n v="48600"/>
    <n v="25"/>
    <n v="95.9"/>
    <n v="1"/>
    <n v="5"/>
    <n v="4"/>
    <n v="3"/>
    <n v="10"/>
    <s v="Consultancy"/>
    <n v="4050"/>
    <n v="4.8"/>
    <s v="45+"/>
    <s v="Good"/>
  </r>
  <r>
    <x v="596"/>
    <x v="37"/>
    <x v="1"/>
    <n v="43"/>
    <x v="13"/>
    <x v="2"/>
    <s v="Senior"/>
    <s v="Full-Time"/>
    <x v="5"/>
    <x v="532"/>
    <x v="0"/>
    <s v="Onsite"/>
    <n v="75600"/>
    <n v="20"/>
    <n v="100"/>
    <n v="6"/>
    <n v="10"/>
    <n v="3"/>
    <n v="9"/>
    <n v="12"/>
    <s v="Naukri"/>
    <n v="6300"/>
    <n v="0.7"/>
    <s v="40-44"/>
    <s v="Good"/>
  </r>
  <r>
    <x v="597"/>
    <x v="44"/>
    <x v="0"/>
    <n v="38"/>
    <x v="0"/>
    <x v="3"/>
    <s v="Intern"/>
    <s v="Full-Time"/>
    <x v="7"/>
    <x v="340"/>
    <x v="2"/>
    <s v="Onsite"/>
    <n v="27800"/>
    <n v="15"/>
    <n v="93.5"/>
    <n v="2"/>
    <n v="15"/>
    <n v="0"/>
    <n v="5"/>
    <n v="24"/>
    <s v="LinkedIn"/>
    <n v="2317"/>
    <n v="2.6"/>
    <s v="35-39"/>
    <s v="Good"/>
  </r>
  <r>
    <x v="598"/>
    <x v="11"/>
    <x v="1"/>
    <n v="25"/>
    <x v="14"/>
    <x v="5"/>
    <s v="Senior"/>
    <s v="Full-Time"/>
    <x v="0"/>
    <x v="533"/>
    <x v="0"/>
    <s v="Remote"/>
    <n v="90200"/>
    <n v="4"/>
    <n v="87.8"/>
    <n v="7"/>
    <n v="11"/>
    <n v="2"/>
    <n v="1"/>
    <n v="20"/>
    <s v="Naukri"/>
    <n v="7517"/>
    <n v="4.0999999999999996"/>
    <s v="25-29"/>
    <s v="Good"/>
  </r>
  <r>
    <x v="599"/>
    <x v="191"/>
    <x v="0"/>
    <n v="36"/>
    <x v="12"/>
    <x v="4"/>
    <s v="Associate"/>
    <s v="Full-Time"/>
    <x v="0"/>
    <x v="534"/>
    <x v="0"/>
    <s v="Onsite"/>
    <n v="38500"/>
    <n v="17"/>
    <n v="92.2"/>
    <n v="2"/>
    <n v="4"/>
    <n v="3"/>
    <n v="3"/>
    <n v="11"/>
    <s v="LinkedIn"/>
    <n v="3208"/>
    <n v="0.5"/>
    <s v="35-39"/>
    <s v="Good"/>
  </r>
  <r>
    <x v="600"/>
    <x v="144"/>
    <x v="0"/>
    <n v="44"/>
    <x v="6"/>
    <x v="5"/>
    <s v="Associate"/>
    <s v="Full-Time"/>
    <x v="4"/>
    <x v="355"/>
    <x v="0"/>
    <s v="Onsite"/>
    <n v="72300"/>
    <n v="22"/>
    <n v="93.8"/>
    <n v="5"/>
    <n v="3"/>
    <n v="3"/>
    <n v="17"/>
    <n v="30"/>
    <s v="Naukri"/>
    <n v="6025"/>
    <n v="1.1000000000000001"/>
    <s v="40-44"/>
    <s v="Excellent"/>
  </r>
  <r>
    <x v="601"/>
    <x v="34"/>
    <x v="1"/>
    <n v="50"/>
    <x v="1"/>
    <x v="2"/>
    <s v="Associate"/>
    <s v="Full-Time"/>
    <x v="3"/>
    <x v="535"/>
    <x v="2"/>
    <s v="Hybrid"/>
    <n v="45000"/>
    <n v="29"/>
    <n v="93.5"/>
    <n v="0"/>
    <n v="15"/>
    <n v="1"/>
    <n v="0"/>
    <n v="24"/>
    <s v="Campus Hiring"/>
    <n v="3750"/>
    <n v="4.8"/>
    <s v="45+"/>
    <s v="Good"/>
  </r>
  <r>
    <x v="602"/>
    <x v="193"/>
    <x v="0"/>
    <n v="47"/>
    <x v="1"/>
    <x v="2"/>
    <s v="Junior"/>
    <s v="Full-Time"/>
    <x v="0"/>
    <x v="536"/>
    <x v="0"/>
    <s v="Onsite"/>
    <n v="31800"/>
    <n v="23"/>
    <n v="86.9"/>
    <n v="7"/>
    <n v="7"/>
    <n v="4"/>
    <n v="0"/>
    <n v="17"/>
    <s v="Indeed"/>
    <n v="2650"/>
    <n v="7.2"/>
    <s v="45+"/>
    <s v="Good"/>
  </r>
  <r>
    <x v="603"/>
    <x v="103"/>
    <x v="1"/>
    <n v="20"/>
    <x v="8"/>
    <x v="3"/>
    <s v="Lead"/>
    <s v="Full-Time"/>
    <x v="5"/>
    <x v="537"/>
    <x v="0"/>
    <s v="Hybrid"/>
    <n v="110200"/>
    <n v="0"/>
    <n v="88.5"/>
    <n v="6"/>
    <n v="2"/>
    <n v="0"/>
    <n v="15"/>
    <n v="5"/>
    <s v="Consultancy"/>
    <n v="9183"/>
    <n v="8.1"/>
    <s v="20-24"/>
    <s v="Good"/>
  </r>
  <r>
    <x v="604"/>
    <x v="225"/>
    <x v="0"/>
    <n v="21"/>
    <x v="10"/>
    <x v="0"/>
    <s v="Junior"/>
    <s v="Full-Time"/>
    <x v="5"/>
    <x v="538"/>
    <x v="0"/>
    <s v="Hybrid"/>
    <n v="36900"/>
    <n v="0"/>
    <n v="87.3"/>
    <n v="0"/>
    <n v="0"/>
    <n v="0"/>
    <n v="24"/>
    <n v="2"/>
    <s v="Indeed"/>
    <n v="3075"/>
    <n v="6.2"/>
    <s v="20-24"/>
    <s v="Good"/>
  </r>
  <r>
    <x v="605"/>
    <x v="35"/>
    <x v="1"/>
    <n v="20"/>
    <x v="12"/>
    <x v="3"/>
    <s v="Associate"/>
    <s v="Full-Time"/>
    <x v="0"/>
    <x v="539"/>
    <x v="0"/>
    <s v="Hybrid"/>
    <n v="67100"/>
    <n v="0"/>
    <n v="92.8"/>
    <n v="6"/>
    <n v="0"/>
    <n v="4"/>
    <n v="12"/>
    <n v="5"/>
    <s v="Naukri"/>
    <n v="5592"/>
    <n v="4.7"/>
    <s v="20-24"/>
    <s v="Good"/>
  </r>
  <r>
    <x v="606"/>
    <x v="36"/>
    <x v="1"/>
    <n v="27"/>
    <x v="2"/>
    <x v="5"/>
    <s v="Lead"/>
    <s v="Full-Time"/>
    <x v="3"/>
    <x v="540"/>
    <x v="0"/>
    <s v="Onsite"/>
    <n v="132800"/>
    <n v="7"/>
    <n v="90.7"/>
    <n v="4"/>
    <n v="4"/>
    <n v="1"/>
    <n v="13"/>
    <n v="28"/>
    <s v="Naukri"/>
    <n v="11067"/>
    <n v="2.6"/>
    <s v="25-29"/>
    <s v="Good"/>
  </r>
  <r>
    <x v="607"/>
    <x v="3"/>
    <x v="0"/>
    <n v="48"/>
    <x v="13"/>
    <x v="2"/>
    <s v="Senior"/>
    <s v="Full-Time"/>
    <x v="3"/>
    <x v="541"/>
    <x v="0"/>
    <s v="Hybrid"/>
    <n v="66800"/>
    <n v="24"/>
    <n v="96.8"/>
    <n v="1"/>
    <n v="2"/>
    <n v="1"/>
    <n v="10"/>
    <n v="27"/>
    <s v="Consultancy"/>
    <n v="5567"/>
    <n v="7.8"/>
    <s v="45+"/>
    <s v="Good"/>
  </r>
  <r>
    <x v="608"/>
    <x v="57"/>
    <x v="1"/>
    <n v="23"/>
    <x v="6"/>
    <x v="5"/>
    <s v="Associate"/>
    <s v="Full-Time"/>
    <x v="7"/>
    <x v="542"/>
    <x v="2"/>
    <s v="Hybrid"/>
    <n v="69500"/>
    <n v="0"/>
    <n v="92.2"/>
    <n v="0"/>
    <n v="2"/>
    <n v="1"/>
    <n v="24"/>
    <n v="28"/>
    <s v="Employee Referral"/>
    <n v="5792"/>
    <n v="4.7"/>
    <s v="20-24"/>
    <s v="Excellent"/>
  </r>
  <r>
    <x v="609"/>
    <x v="190"/>
    <x v="0"/>
    <n v="37"/>
    <x v="11"/>
    <x v="3"/>
    <s v="Associate"/>
    <s v="Contract"/>
    <x v="6"/>
    <x v="543"/>
    <x v="0"/>
    <s v="Hybrid"/>
    <n v="67400"/>
    <n v="18"/>
    <n v="94.6"/>
    <n v="1"/>
    <n v="10"/>
    <n v="2"/>
    <n v="19"/>
    <n v="28"/>
    <s v="Indeed"/>
    <n v="5617"/>
    <n v="0.5"/>
    <s v="35-39"/>
    <s v="Good"/>
  </r>
  <r>
    <x v="610"/>
    <x v="156"/>
    <x v="1"/>
    <n v="42"/>
    <x v="14"/>
    <x v="6"/>
    <s v="Senior"/>
    <s v="Full-Time"/>
    <x v="4"/>
    <x v="544"/>
    <x v="0"/>
    <s v="Remote"/>
    <n v="68700"/>
    <n v="18"/>
    <n v="89.7"/>
    <n v="5"/>
    <n v="14"/>
    <n v="0"/>
    <n v="29"/>
    <n v="9"/>
    <s v="Campus Hiring"/>
    <n v="5725"/>
    <n v="0.6"/>
    <s v="40-44"/>
    <s v="Average"/>
  </r>
  <r>
    <x v="611"/>
    <x v="100"/>
    <x v="0"/>
    <n v="43"/>
    <x v="4"/>
    <x v="2"/>
    <s v="Manager"/>
    <s v="Full-Time"/>
    <x v="1"/>
    <x v="301"/>
    <x v="0"/>
    <s v="Onsite"/>
    <n v="97400"/>
    <n v="23"/>
    <n v="82"/>
    <n v="1"/>
    <n v="1"/>
    <n v="1"/>
    <n v="28"/>
    <n v="17"/>
    <s v="Campus Hiring"/>
    <n v="8117"/>
    <n v="6.2"/>
    <s v="40-44"/>
    <s v="Good"/>
  </r>
  <r>
    <x v="612"/>
    <x v="55"/>
    <x v="0"/>
    <n v="28"/>
    <x v="3"/>
    <x v="7"/>
    <s v="Lead"/>
    <s v="Contract"/>
    <x v="7"/>
    <x v="545"/>
    <x v="0"/>
    <s v="Onsite"/>
    <n v="76300"/>
    <n v="4"/>
    <n v="97.7"/>
    <n v="5"/>
    <n v="15"/>
    <n v="1"/>
    <n v="7"/>
    <n v="7"/>
    <s v="Consultancy"/>
    <n v="6358"/>
    <n v="3.4"/>
    <s v="25-29"/>
    <s v="Good"/>
  </r>
  <r>
    <x v="613"/>
    <x v="66"/>
    <x v="1"/>
    <n v="34"/>
    <x v="10"/>
    <x v="5"/>
    <s v="Associate"/>
    <s v="Full-Time"/>
    <x v="1"/>
    <x v="546"/>
    <x v="0"/>
    <s v="Onsite"/>
    <n v="69800"/>
    <n v="14"/>
    <n v="91.6"/>
    <n v="7"/>
    <n v="8"/>
    <n v="4"/>
    <n v="27"/>
    <n v="2"/>
    <s v="Company Website"/>
    <n v="5817"/>
    <n v="3.2"/>
    <s v="30-34"/>
    <s v="Average"/>
  </r>
  <r>
    <x v="614"/>
    <x v="116"/>
    <x v="0"/>
    <n v="35"/>
    <x v="9"/>
    <x v="5"/>
    <s v="Manager"/>
    <s v="Intern"/>
    <x v="4"/>
    <x v="547"/>
    <x v="0"/>
    <s v="Remote"/>
    <n v="162500"/>
    <n v="11"/>
    <n v="93.1"/>
    <n v="7"/>
    <n v="10"/>
    <n v="3"/>
    <n v="9"/>
    <n v="17"/>
    <s v="Company Website"/>
    <n v="13542"/>
    <n v="7.9"/>
    <s v="35-39"/>
    <s v="Good"/>
  </r>
  <r>
    <x v="615"/>
    <x v="68"/>
    <x v="0"/>
    <n v="40"/>
    <x v="1"/>
    <x v="3"/>
    <s v="Intern"/>
    <s v="Full-Time"/>
    <x v="2"/>
    <x v="548"/>
    <x v="0"/>
    <s v="Onsite"/>
    <n v="24300"/>
    <n v="19"/>
    <n v="95.1"/>
    <n v="5"/>
    <n v="12"/>
    <n v="3"/>
    <n v="15"/>
    <n v="2"/>
    <s v="LinkedIn"/>
    <n v="2025"/>
    <n v="4.9000000000000004"/>
    <s v="40-44"/>
    <s v="Good"/>
  </r>
  <r>
    <x v="616"/>
    <x v="216"/>
    <x v="0"/>
    <n v="49"/>
    <x v="5"/>
    <x v="4"/>
    <s v="Intern"/>
    <s v="Full-Time"/>
    <x v="3"/>
    <x v="549"/>
    <x v="0"/>
    <s v="Hybrid"/>
    <n v="22700"/>
    <n v="30"/>
    <n v="92.3"/>
    <n v="4"/>
    <n v="5"/>
    <n v="3"/>
    <n v="26"/>
    <n v="21"/>
    <s v="Employee Referral"/>
    <n v="1892"/>
    <n v="5.4"/>
    <s v="45+"/>
    <s v="Average"/>
  </r>
  <r>
    <x v="617"/>
    <x v="95"/>
    <x v="1"/>
    <n v="22"/>
    <x v="2"/>
    <x v="5"/>
    <s v="Lead"/>
    <s v="Full-Time"/>
    <x v="7"/>
    <x v="550"/>
    <x v="0"/>
    <s v="Onsite"/>
    <n v="124700"/>
    <n v="0"/>
    <n v="81.7"/>
    <n v="3"/>
    <n v="6"/>
    <n v="0"/>
    <n v="6"/>
    <n v="17"/>
    <s v="Naukri"/>
    <n v="10392"/>
    <n v="4.5"/>
    <s v="20-24"/>
    <s v="Good"/>
  </r>
  <r>
    <x v="618"/>
    <x v="226"/>
    <x v="1"/>
    <n v="20"/>
    <x v="5"/>
    <x v="1"/>
    <s v="Junior"/>
    <s v="Full-Time"/>
    <x v="4"/>
    <x v="551"/>
    <x v="1"/>
    <s v="Onsite"/>
    <n v="38000"/>
    <n v="0"/>
    <n v="89.2"/>
    <n v="5"/>
    <n v="1"/>
    <n v="2"/>
    <n v="4"/>
    <n v="28"/>
    <s v="Company Website"/>
    <n v="3167"/>
    <n v="7.8"/>
    <s v="20-24"/>
    <s v="Excellent"/>
  </r>
  <r>
    <x v="619"/>
    <x v="78"/>
    <x v="0"/>
    <n v="50"/>
    <x v="0"/>
    <x v="2"/>
    <s v="Junior"/>
    <s v="Full-Time"/>
    <x v="3"/>
    <x v="552"/>
    <x v="0"/>
    <s v="Onsite"/>
    <n v="38500"/>
    <n v="29"/>
    <n v="88.6"/>
    <n v="4"/>
    <n v="10"/>
    <n v="0"/>
    <n v="30"/>
    <n v="23"/>
    <s v="LinkedIn"/>
    <n v="3208"/>
    <n v="2.7"/>
    <s v="45+"/>
    <s v="Good"/>
  </r>
  <r>
    <x v="620"/>
    <x v="196"/>
    <x v="1"/>
    <n v="43"/>
    <x v="4"/>
    <x v="5"/>
    <s v="Junior"/>
    <s v="Part-Time"/>
    <x v="5"/>
    <x v="42"/>
    <x v="0"/>
    <s v="Onsite"/>
    <n v="53000"/>
    <n v="20"/>
    <n v="88.8"/>
    <n v="3"/>
    <n v="0"/>
    <n v="4"/>
    <n v="9"/>
    <n v="5"/>
    <s v="Indeed"/>
    <n v="4417"/>
    <n v="0.4"/>
    <s v="40-44"/>
    <s v="Good"/>
  </r>
  <r>
    <x v="621"/>
    <x v="197"/>
    <x v="0"/>
    <n v="32"/>
    <x v="4"/>
    <x v="0"/>
    <s v="Associate"/>
    <s v="Part-Time"/>
    <x v="3"/>
    <x v="553"/>
    <x v="0"/>
    <s v="Hybrid"/>
    <n v="58900"/>
    <n v="12"/>
    <n v="90"/>
    <n v="5"/>
    <n v="7"/>
    <n v="1"/>
    <n v="17"/>
    <n v="28"/>
    <s v="Indeed"/>
    <n v="4908"/>
    <n v="6.3"/>
    <s v="30-34"/>
    <s v="Good"/>
  </r>
  <r>
    <x v="622"/>
    <x v="52"/>
    <x v="1"/>
    <n v="33"/>
    <x v="6"/>
    <x v="5"/>
    <s v="Senior"/>
    <s v="Full-Time"/>
    <x v="1"/>
    <x v="310"/>
    <x v="0"/>
    <s v="Onsite"/>
    <n v="80500"/>
    <n v="11"/>
    <n v="91.3"/>
    <n v="8"/>
    <n v="13"/>
    <n v="0"/>
    <n v="24"/>
    <n v="26"/>
    <s v="Company Website"/>
    <n v="6708"/>
    <n v="2.6"/>
    <s v="30-34"/>
    <s v="Good"/>
  </r>
  <r>
    <x v="623"/>
    <x v="142"/>
    <x v="0"/>
    <n v="25"/>
    <x v="3"/>
    <x v="1"/>
    <s v="Senior"/>
    <s v="Full-Time"/>
    <x v="5"/>
    <x v="554"/>
    <x v="0"/>
    <s v="Hybrid"/>
    <n v="79500"/>
    <n v="2"/>
    <n v="100"/>
    <n v="8"/>
    <n v="15"/>
    <n v="3"/>
    <n v="6"/>
    <n v="3"/>
    <s v="LinkedIn"/>
    <n v="6625"/>
    <n v="7.1"/>
    <s v="25-29"/>
    <s v="Good"/>
  </r>
  <r>
    <x v="624"/>
    <x v="35"/>
    <x v="0"/>
    <n v="24"/>
    <x v="3"/>
    <x v="3"/>
    <s v="Junior"/>
    <s v="Full-Time"/>
    <x v="0"/>
    <x v="555"/>
    <x v="0"/>
    <s v="Hybrid"/>
    <n v="38000"/>
    <n v="4"/>
    <n v="93.6"/>
    <n v="7"/>
    <n v="9"/>
    <n v="2"/>
    <n v="3"/>
    <n v="15"/>
    <s v="Indeed"/>
    <n v="3167"/>
    <n v="0.9"/>
    <s v="20-24"/>
    <s v="Good"/>
  </r>
  <r>
    <x v="625"/>
    <x v="77"/>
    <x v="0"/>
    <n v="48"/>
    <x v="13"/>
    <x v="3"/>
    <s v="Associate"/>
    <s v="Full-Time"/>
    <x v="4"/>
    <x v="556"/>
    <x v="0"/>
    <s v="Onsite"/>
    <n v="70100"/>
    <n v="24"/>
    <n v="94.6"/>
    <n v="0"/>
    <n v="14"/>
    <n v="4"/>
    <n v="30"/>
    <n v="7"/>
    <s v="LinkedIn"/>
    <n v="5842"/>
    <n v="8.1"/>
    <s v="45+"/>
    <s v="Good"/>
  </r>
  <r>
    <x v="626"/>
    <x v="155"/>
    <x v="1"/>
    <n v="42"/>
    <x v="7"/>
    <x v="2"/>
    <s v="Lead"/>
    <s v="Full-Time"/>
    <x v="4"/>
    <x v="111"/>
    <x v="0"/>
    <s v="Onsite"/>
    <n v="81900"/>
    <n v="19"/>
    <n v="88.7"/>
    <n v="8"/>
    <n v="3"/>
    <n v="1"/>
    <n v="9"/>
    <n v="24"/>
    <s v="Indeed"/>
    <n v="6825"/>
    <n v="6.3"/>
    <s v="40-44"/>
    <s v="Average"/>
  </r>
  <r>
    <x v="627"/>
    <x v="180"/>
    <x v="1"/>
    <n v="24"/>
    <x v="9"/>
    <x v="5"/>
    <s v="Lead"/>
    <s v="Full-Time"/>
    <x v="0"/>
    <x v="557"/>
    <x v="0"/>
    <s v="Onsite"/>
    <n v="126400"/>
    <n v="0"/>
    <n v="98.4"/>
    <n v="4"/>
    <n v="12"/>
    <n v="2"/>
    <n v="29"/>
    <n v="21"/>
    <s v="Indeed"/>
    <n v="10533"/>
    <n v="7.9"/>
    <s v="20-24"/>
    <s v="Good"/>
  </r>
  <r>
    <x v="628"/>
    <x v="182"/>
    <x v="0"/>
    <n v="46"/>
    <x v="2"/>
    <x v="3"/>
    <s v="Associate"/>
    <s v="Full-Time"/>
    <x v="5"/>
    <x v="558"/>
    <x v="0"/>
    <s v="Onsite"/>
    <n v="53500"/>
    <n v="23"/>
    <n v="91.7"/>
    <n v="2"/>
    <n v="8"/>
    <n v="0"/>
    <n v="17"/>
    <n v="13"/>
    <s v="Campus Hiring"/>
    <n v="4458"/>
    <n v="5.7"/>
    <s v="45+"/>
    <s v="Good"/>
  </r>
  <r>
    <x v="629"/>
    <x v="38"/>
    <x v="1"/>
    <n v="23"/>
    <x v="7"/>
    <x v="6"/>
    <s v="Manager"/>
    <s v="Full-Time"/>
    <x v="4"/>
    <x v="559"/>
    <x v="0"/>
    <s v="Hybrid"/>
    <n v="129800"/>
    <n v="0"/>
    <n v="90.9"/>
    <n v="7"/>
    <n v="11"/>
    <n v="0"/>
    <n v="17"/>
    <n v="6"/>
    <s v="Indeed"/>
    <n v="10817"/>
    <n v="5.0999999999999996"/>
    <s v="20-24"/>
    <s v="Good"/>
  </r>
  <r>
    <x v="630"/>
    <x v="40"/>
    <x v="1"/>
    <n v="40"/>
    <x v="5"/>
    <x v="5"/>
    <s v="Senior"/>
    <s v="Full-Time"/>
    <x v="3"/>
    <x v="560"/>
    <x v="0"/>
    <s v="Hybrid"/>
    <n v="83600"/>
    <n v="18"/>
    <n v="82.1"/>
    <n v="7"/>
    <n v="8"/>
    <n v="2"/>
    <n v="2"/>
    <n v="15"/>
    <s v="Consultancy"/>
    <n v="6967"/>
    <n v="8.1"/>
    <s v="40-44"/>
    <s v="Good"/>
  </r>
  <r>
    <x v="631"/>
    <x v="200"/>
    <x v="1"/>
    <n v="31"/>
    <x v="11"/>
    <x v="3"/>
    <s v="Junior"/>
    <s v="Full-Time"/>
    <x v="6"/>
    <x v="561"/>
    <x v="0"/>
    <s v="Remote"/>
    <n v="42800"/>
    <n v="10"/>
    <n v="94.5"/>
    <n v="8"/>
    <n v="12"/>
    <n v="2"/>
    <n v="12"/>
    <n v="6"/>
    <s v="Campus Hiring"/>
    <n v="3567"/>
    <n v="1.2"/>
    <s v="30-34"/>
    <s v="Good"/>
  </r>
  <r>
    <x v="632"/>
    <x v="194"/>
    <x v="1"/>
    <n v="33"/>
    <x v="0"/>
    <x v="7"/>
    <s v="Intern"/>
    <s v="Full-Time"/>
    <x v="7"/>
    <x v="562"/>
    <x v="0"/>
    <s v="Hybrid"/>
    <n v="18100"/>
    <n v="10"/>
    <n v="95.7"/>
    <n v="1"/>
    <n v="10"/>
    <n v="1"/>
    <n v="30"/>
    <n v="19"/>
    <s v="Naukri"/>
    <n v="1508"/>
    <n v="6.9"/>
    <s v="30-34"/>
    <s v="Average"/>
  </r>
  <r>
    <x v="633"/>
    <x v="201"/>
    <x v="1"/>
    <n v="46"/>
    <x v="13"/>
    <x v="7"/>
    <s v="Junior"/>
    <s v="Full-Time"/>
    <x v="7"/>
    <x v="563"/>
    <x v="0"/>
    <s v="Hybrid"/>
    <n v="27200"/>
    <n v="22"/>
    <n v="95.5"/>
    <n v="3"/>
    <n v="11"/>
    <n v="3"/>
    <n v="30"/>
    <n v="17"/>
    <s v="Naukri"/>
    <n v="2267"/>
    <n v="4.4000000000000004"/>
    <s v="45+"/>
    <s v="Good"/>
  </r>
  <r>
    <x v="634"/>
    <x v="174"/>
    <x v="0"/>
    <n v="42"/>
    <x v="6"/>
    <x v="2"/>
    <s v="Senior"/>
    <s v="Part-Time"/>
    <x v="4"/>
    <x v="564"/>
    <x v="0"/>
    <s v="Onsite"/>
    <n v="58100"/>
    <n v="20"/>
    <n v="84"/>
    <n v="1"/>
    <n v="3"/>
    <n v="2"/>
    <n v="13"/>
    <n v="22"/>
    <s v="Campus Hiring"/>
    <n v="4842"/>
    <n v="2.2999999999999998"/>
    <s v="40-44"/>
    <s v="Good"/>
  </r>
  <r>
    <x v="635"/>
    <x v="31"/>
    <x v="1"/>
    <n v="33"/>
    <x v="4"/>
    <x v="0"/>
    <s v="Junior"/>
    <s v="Full-Time"/>
    <x v="1"/>
    <x v="565"/>
    <x v="0"/>
    <s v="Onsite"/>
    <n v="35800"/>
    <n v="10"/>
    <n v="95.7"/>
    <n v="5"/>
    <n v="9"/>
    <n v="1"/>
    <n v="21"/>
    <n v="17"/>
    <s v="Campus Hiring"/>
    <n v="2983"/>
    <n v="3.9"/>
    <s v="30-34"/>
    <s v="Excellent"/>
  </r>
  <r>
    <x v="636"/>
    <x v="218"/>
    <x v="0"/>
    <n v="30"/>
    <x v="2"/>
    <x v="0"/>
    <s v="Associate"/>
    <s v="Full-Time"/>
    <x v="2"/>
    <x v="566"/>
    <x v="2"/>
    <s v="Hybrid"/>
    <n v="44900"/>
    <n v="9"/>
    <n v="89.4"/>
    <n v="0"/>
    <n v="2"/>
    <n v="2"/>
    <n v="13"/>
    <n v="11"/>
    <s v="LinkedIn"/>
    <n v="3742"/>
    <n v="5.9"/>
    <s v="30-34"/>
    <s v="Good"/>
  </r>
  <r>
    <x v="637"/>
    <x v="49"/>
    <x v="0"/>
    <n v="41"/>
    <x v="9"/>
    <x v="2"/>
    <s v="Junior"/>
    <s v="Full-Time"/>
    <x v="7"/>
    <x v="567"/>
    <x v="0"/>
    <s v="Onsite"/>
    <n v="35300"/>
    <n v="17"/>
    <n v="84.7"/>
    <n v="2"/>
    <n v="4"/>
    <n v="2"/>
    <n v="0"/>
    <n v="12"/>
    <s v="Campus Hiring"/>
    <n v="2942"/>
    <n v="0"/>
    <s v="40-44"/>
    <s v="Excellent"/>
  </r>
  <r>
    <x v="638"/>
    <x v="148"/>
    <x v="1"/>
    <n v="29"/>
    <x v="12"/>
    <x v="0"/>
    <s v="Lead"/>
    <s v="Full-Time"/>
    <x v="4"/>
    <x v="568"/>
    <x v="0"/>
    <s v="Onsite"/>
    <n v="112500"/>
    <n v="7"/>
    <n v="100"/>
    <n v="1"/>
    <n v="5"/>
    <n v="3"/>
    <n v="4"/>
    <n v="22"/>
    <s v="Indeed"/>
    <n v="9375"/>
    <n v="6.8"/>
    <s v="25-29"/>
    <s v="Good"/>
  </r>
  <r>
    <x v="639"/>
    <x v="169"/>
    <x v="1"/>
    <n v="29"/>
    <x v="8"/>
    <x v="1"/>
    <s v="Associate"/>
    <s v="Full-Time"/>
    <x v="2"/>
    <x v="569"/>
    <x v="0"/>
    <s v="Onsite"/>
    <n v="51200"/>
    <n v="9"/>
    <n v="98.6"/>
    <n v="6"/>
    <n v="15"/>
    <n v="1"/>
    <n v="9"/>
    <n v="6"/>
    <s v="Consultancy"/>
    <n v="4267"/>
    <n v="8.3000000000000007"/>
    <s v="25-29"/>
    <s v="Average"/>
  </r>
  <r>
    <x v="640"/>
    <x v="16"/>
    <x v="1"/>
    <n v="48"/>
    <x v="14"/>
    <x v="7"/>
    <s v="Lead"/>
    <s v="Full-Time"/>
    <x v="6"/>
    <x v="570"/>
    <x v="0"/>
    <s v="Onsite"/>
    <n v="61500"/>
    <n v="29"/>
    <n v="94.3"/>
    <n v="7"/>
    <n v="9"/>
    <n v="0"/>
    <n v="13"/>
    <n v="5"/>
    <s v="Campus Hiring"/>
    <n v="5125"/>
    <n v="4.2"/>
    <s v="45+"/>
    <s v="Average"/>
  </r>
  <r>
    <x v="641"/>
    <x v="112"/>
    <x v="1"/>
    <n v="47"/>
    <x v="1"/>
    <x v="7"/>
    <s v="Manager"/>
    <s v="Full-Time"/>
    <x v="3"/>
    <x v="571"/>
    <x v="0"/>
    <s v="Hybrid"/>
    <n v="81800"/>
    <n v="26"/>
    <n v="93.6"/>
    <n v="1"/>
    <n v="3"/>
    <n v="1"/>
    <n v="18"/>
    <n v="27"/>
    <s v="LinkedIn"/>
    <n v="6817"/>
    <n v="8.1"/>
    <s v="45+"/>
    <s v="Excellent"/>
  </r>
  <r>
    <x v="642"/>
    <x v="227"/>
    <x v="1"/>
    <n v="49"/>
    <x v="6"/>
    <x v="1"/>
    <s v="Intern"/>
    <s v="Contract"/>
    <x v="5"/>
    <x v="572"/>
    <x v="0"/>
    <s v="Remote"/>
    <n v="25300"/>
    <n v="29"/>
    <n v="98.8"/>
    <n v="8"/>
    <n v="0"/>
    <n v="1"/>
    <n v="22"/>
    <n v="21"/>
    <s v="Company Website"/>
    <n v="2108"/>
    <n v="5.8"/>
    <s v="45+"/>
    <s v="Good"/>
  </r>
  <r>
    <x v="643"/>
    <x v="182"/>
    <x v="0"/>
    <n v="46"/>
    <x v="6"/>
    <x v="7"/>
    <s v="Associate"/>
    <s v="Full-Time"/>
    <x v="6"/>
    <x v="573"/>
    <x v="0"/>
    <s v="Onsite"/>
    <n v="33300"/>
    <n v="26"/>
    <n v="88.6"/>
    <n v="0"/>
    <n v="6"/>
    <n v="1"/>
    <n v="6"/>
    <n v="30"/>
    <s v="Indeed"/>
    <n v="2775"/>
    <n v="5"/>
    <s v="45+"/>
    <s v="Good"/>
  </r>
  <r>
    <x v="644"/>
    <x v="12"/>
    <x v="0"/>
    <n v="28"/>
    <x v="6"/>
    <x v="7"/>
    <s v="Intern"/>
    <s v="Full-Time"/>
    <x v="1"/>
    <x v="574"/>
    <x v="0"/>
    <s v="Remote"/>
    <n v="18000"/>
    <n v="6"/>
    <n v="100"/>
    <n v="1"/>
    <n v="14"/>
    <n v="3"/>
    <n v="25"/>
    <n v="8"/>
    <s v="Indeed"/>
    <n v="1500"/>
    <n v="4.3"/>
    <s v="25-29"/>
    <s v="Good"/>
  </r>
  <r>
    <x v="645"/>
    <x v="3"/>
    <x v="0"/>
    <n v="45"/>
    <x v="13"/>
    <x v="2"/>
    <s v="Lead"/>
    <s v="Full-Time"/>
    <x v="4"/>
    <x v="410"/>
    <x v="2"/>
    <s v="Onsite"/>
    <n v="85400"/>
    <n v="23"/>
    <n v="91.2"/>
    <n v="2"/>
    <n v="4"/>
    <n v="3"/>
    <n v="14"/>
    <n v="7"/>
    <s v="Consultancy"/>
    <n v="7117"/>
    <n v="2.5"/>
    <s v="45+"/>
    <s v="Average"/>
  </r>
  <r>
    <x v="646"/>
    <x v="228"/>
    <x v="1"/>
    <n v="21"/>
    <x v="8"/>
    <x v="0"/>
    <s v="Associate"/>
    <s v="Contract"/>
    <x v="1"/>
    <x v="575"/>
    <x v="0"/>
    <s v="Hybrid"/>
    <n v="57400"/>
    <n v="0"/>
    <n v="96"/>
    <n v="1"/>
    <n v="1"/>
    <n v="4"/>
    <n v="27"/>
    <n v="16"/>
    <s v="LinkedIn"/>
    <n v="4783"/>
    <n v="3.7"/>
    <s v="20-24"/>
    <s v="Good"/>
  </r>
  <r>
    <x v="647"/>
    <x v="21"/>
    <x v="0"/>
    <n v="33"/>
    <x v="14"/>
    <x v="0"/>
    <s v="Junior"/>
    <s v="Full-Time"/>
    <x v="3"/>
    <x v="576"/>
    <x v="2"/>
    <s v="Hybrid"/>
    <n v="41400"/>
    <n v="13"/>
    <n v="93.7"/>
    <n v="0"/>
    <n v="13"/>
    <n v="0"/>
    <n v="20"/>
    <n v="28"/>
    <s v="LinkedIn"/>
    <n v="3450"/>
    <n v="6.8"/>
    <s v="30-34"/>
    <s v="Good"/>
  </r>
  <r>
    <x v="648"/>
    <x v="84"/>
    <x v="1"/>
    <n v="26"/>
    <x v="11"/>
    <x v="4"/>
    <s v="Junior"/>
    <s v="Full-Time"/>
    <x v="3"/>
    <x v="5"/>
    <x v="0"/>
    <s v="Onsite"/>
    <n v="30300"/>
    <n v="7"/>
    <n v="86"/>
    <n v="7"/>
    <n v="10"/>
    <n v="3"/>
    <n v="30"/>
    <n v="16"/>
    <s v="Company Website"/>
    <n v="2525"/>
    <n v="8.4"/>
    <s v="25-29"/>
    <s v="Average"/>
  </r>
  <r>
    <x v="649"/>
    <x v="175"/>
    <x v="1"/>
    <n v="36"/>
    <x v="14"/>
    <x v="5"/>
    <s v="Associate"/>
    <s v="Full-Time"/>
    <x v="2"/>
    <x v="577"/>
    <x v="0"/>
    <s v="Onsite"/>
    <n v="69400"/>
    <n v="12"/>
    <n v="91.1"/>
    <n v="0"/>
    <n v="13"/>
    <n v="3"/>
    <n v="8"/>
    <n v="25"/>
    <s v="Company Website"/>
    <n v="5783"/>
    <n v="3.1"/>
    <s v="35-39"/>
    <s v="Good"/>
  </r>
  <r>
    <x v="650"/>
    <x v="86"/>
    <x v="1"/>
    <n v="43"/>
    <x v="1"/>
    <x v="0"/>
    <s v="Manager"/>
    <s v="Full-Time"/>
    <x v="7"/>
    <x v="578"/>
    <x v="1"/>
    <s v="Hybrid"/>
    <n v="126000"/>
    <n v="21"/>
    <n v="98.4"/>
    <n v="4"/>
    <n v="8"/>
    <n v="1"/>
    <n v="26"/>
    <n v="18"/>
    <s v="LinkedIn"/>
    <n v="10500"/>
    <n v="0.4"/>
    <s v="40-44"/>
    <s v="Good"/>
  </r>
  <r>
    <x v="651"/>
    <x v="81"/>
    <x v="1"/>
    <n v="39"/>
    <x v="14"/>
    <x v="0"/>
    <s v="Senior"/>
    <s v="Full-Time"/>
    <x v="6"/>
    <x v="202"/>
    <x v="2"/>
    <s v="Remote"/>
    <n v="71000"/>
    <n v="18"/>
    <n v="87.1"/>
    <n v="5"/>
    <n v="7"/>
    <n v="1"/>
    <n v="28"/>
    <n v="11"/>
    <s v="Naukri"/>
    <n v="5917"/>
    <n v="6.6"/>
    <s v="35-39"/>
    <s v="Excellent"/>
  </r>
  <r>
    <x v="652"/>
    <x v="200"/>
    <x v="0"/>
    <n v="27"/>
    <x v="0"/>
    <x v="1"/>
    <s v="Lead"/>
    <s v="Full-Time"/>
    <x v="4"/>
    <x v="579"/>
    <x v="0"/>
    <s v="Onsite"/>
    <n v="83400"/>
    <n v="5"/>
    <n v="97.8"/>
    <n v="6"/>
    <n v="9"/>
    <n v="2"/>
    <n v="9"/>
    <n v="19"/>
    <s v="Campus Hiring"/>
    <n v="6950"/>
    <n v="0.1"/>
    <s v="25-29"/>
    <s v="Good"/>
  </r>
  <r>
    <x v="653"/>
    <x v="13"/>
    <x v="1"/>
    <n v="43"/>
    <x v="14"/>
    <x v="3"/>
    <s v="Associate"/>
    <s v="Full-Time"/>
    <x v="7"/>
    <x v="230"/>
    <x v="0"/>
    <s v="Onsite"/>
    <n v="63700"/>
    <n v="24"/>
    <n v="94.3"/>
    <n v="2"/>
    <n v="6"/>
    <n v="2"/>
    <n v="7"/>
    <n v="12"/>
    <s v="Employee Referral"/>
    <n v="5308"/>
    <n v="5.7"/>
    <s v="40-44"/>
    <s v="Good"/>
  </r>
  <r>
    <x v="654"/>
    <x v="151"/>
    <x v="0"/>
    <n v="39"/>
    <x v="8"/>
    <x v="5"/>
    <s v="Intern"/>
    <s v="Part-Time"/>
    <x v="0"/>
    <x v="580"/>
    <x v="2"/>
    <s v="Remote"/>
    <n v="26300"/>
    <n v="17"/>
    <n v="84.5"/>
    <n v="6"/>
    <n v="14"/>
    <n v="2"/>
    <n v="8"/>
    <n v="28"/>
    <s v="Company Website"/>
    <n v="2192"/>
    <n v="0.1"/>
    <s v="35-39"/>
    <s v="Good"/>
  </r>
  <r>
    <x v="655"/>
    <x v="7"/>
    <x v="0"/>
    <n v="23"/>
    <x v="4"/>
    <x v="2"/>
    <s v="Manager"/>
    <s v="Full-Time"/>
    <x v="2"/>
    <x v="581"/>
    <x v="0"/>
    <s v="Hybrid"/>
    <n v="123400"/>
    <n v="4"/>
    <n v="91"/>
    <n v="7"/>
    <n v="12"/>
    <n v="3"/>
    <n v="10"/>
    <n v="19"/>
    <s v="Employee Referral"/>
    <n v="10283"/>
    <n v="4"/>
    <s v="20-24"/>
    <s v="Average"/>
  </r>
  <r>
    <x v="656"/>
    <x v="220"/>
    <x v="1"/>
    <n v="24"/>
    <x v="8"/>
    <x v="2"/>
    <s v="Intern"/>
    <s v="Full-Time"/>
    <x v="5"/>
    <x v="582"/>
    <x v="0"/>
    <s v="Onsite"/>
    <n v="18500"/>
    <n v="2"/>
    <n v="90.8"/>
    <n v="2"/>
    <n v="14"/>
    <n v="2"/>
    <n v="21"/>
    <n v="3"/>
    <s v="Company Website"/>
    <n v="1542"/>
    <n v="4.2"/>
    <s v="20-24"/>
    <s v="Excellent"/>
  </r>
  <r>
    <x v="657"/>
    <x v="191"/>
    <x v="0"/>
    <n v="32"/>
    <x v="14"/>
    <x v="5"/>
    <s v="Manager"/>
    <s v="Full-Time"/>
    <x v="1"/>
    <x v="583"/>
    <x v="0"/>
    <s v="Onsite"/>
    <n v="134600"/>
    <n v="12"/>
    <n v="85.9"/>
    <n v="4"/>
    <n v="8"/>
    <n v="0"/>
    <n v="7"/>
    <n v="4"/>
    <s v="Company Website"/>
    <n v="11217"/>
    <n v="8.4"/>
    <s v="30-34"/>
    <s v="Good"/>
  </r>
  <r>
    <x v="658"/>
    <x v="217"/>
    <x v="0"/>
    <n v="26"/>
    <x v="7"/>
    <x v="3"/>
    <s v="Associate"/>
    <s v="Full-Time"/>
    <x v="2"/>
    <x v="584"/>
    <x v="1"/>
    <s v="Hybrid"/>
    <n v="59700"/>
    <n v="7"/>
    <n v="92.5"/>
    <n v="0"/>
    <n v="9"/>
    <n v="2"/>
    <n v="25"/>
    <n v="7"/>
    <s v="Company Website"/>
    <n v="4975"/>
    <n v="8.1999999999999993"/>
    <s v="25-29"/>
    <s v="Good"/>
  </r>
  <r>
    <x v="659"/>
    <x v="129"/>
    <x v="1"/>
    <n v="25"/>
    <x v="10"/>
    <x v="6"/>
    <s v="Intern"/>
    <s v="Contract"/>
    <x v="4"/>
    <x v="585"/>
    <x v="0"/>
    <s v="Hybrid"/>
    <n v="20000"/>
    <n v="1"/>
    <n v="84.2"/>
    <n v="8"/>
    <n v="1"/>
    <n v="4"/>
    <n v="17"/>
    <n v="4"/>
    <s v="Company Website"/>
    <n v="1667"/>
    <n v="4.5999999999999996"/>
    <s v="25-29"/>
    <s v="Good"/>
  </r>
  <r>
    <x v="660"/>
    <x v="121"/>
    <x v="1"/>
    <n v="36"/>
    <x v="5"/>
    <x v="4"/>
    <s v="Senior"/>
    <s v="Full-Time"/>
    <x v="2"/>
    <x v="586"/>
    <x v="0"/>
    <s v="Onsite"/>
    <n v="65700"/>
    <n v="14"/>
    <n v="95.4"/>
    <n v="7"/>
    <n v="13"/>
    <n v="4"/>
    <n v="4"/>
    <n v="8"/>
    <s v="Naukri"/>
    <n v="5475"/>
    <n v="0.9"/>
    <s v="35-39"/>
    <s v="Good"/>
  </r>
  <r>
    <x v="661"/>
    <x v="190"/>
    <x v="0"/>
    <n v="25"/>
    <x v="2"/>
    <x v="7"/>
    <s v="Manager"/>
    <s v="Full-Time"/>
    <x v="6"/>
    <x v="587"/>
    <x v="0"/>
    <s v="Hybrid"/>
    <n v="83100"/>
    <n v="5"/>
    <n v="86.6"/>
    <n v="2"/>
    <n v="12"/>
    <n v="1"/>
    <n v="7"/>
    <n v="4"/>
    <s v="Naukri"/>
    <n v="6925"/>
    <n v="2.2000000000000002"/>
    <s v="25-29"/>
    <s v="Average"/>
  </r>
  <r>
    <x v="662"/>
    <x v="66"/>
    <x v="0"/>
    <n v="38"/>
    <x v="5"/>
    <x v="0"/>
    <s v="Manager"/>
    <s v="Contract"/>
    <x v="3"/>
    <x v="588"/>
    <x v="0"/>
    <s v="Hybrid"/>
    <n v="133000"/>
    <n v="17"/>
    <n v="89.4"/>
    <n v="3"/>
    <n v="2"/>
    <n v="3"/>
    <n v="1"/>
    <n v="16"/>
    <s v="Employee Referral"/>
    <n v="11083"/>
    <n v="1.5"/>
    <s v="35-39"/>
    <s v="Excellent"/>
  </r>
  <r>
    <x v="663"/>
    <x v="13"/>
    <x v="0"/>
    <n v="44"/>
    <x v="10"/>
    <x v="2"/>
    <s v="Junior"/>
    <s v="Full-Time"/>
    <x v="3"/>
    <x v="589"/>
    <x v="0"/>
    <s v="Onsite"/>
    <n v="38300"/>
    <n v="20"/>
    <n v="91"/>
    <n v="0"/>
    <n v="8"/>
    <n v="4"/>
    <n v="30"/>
    <n v="14"/>
    <s v="LinkedIn"/>
    <n v="3192"/>
    <n v="3.1"/>
    <s v="40-44"/>
    <s v="Average"/>
  </r>
  <r>
    <x v="664"/>
    <x v="154"/>
    <x v="0"/>
    <n v="22"/>
    <x v="8"/>
    <x v="5"/>
    <s v="Junior"/>
    <s v="Full-Time"/>
    <x v="3"/>
    <x v="590"/>
    <x v="0"/>
    <s v="Onsite"/>
    <n v="50000"/>
    <n v="2"/>
    <n v="98.6"/>
    <n v="0"/>
    <n v="5"/>
    <n v="0"/>
    <n v="17"/>
    <n v="7"/>
    <s v="Employee Referral"/>
    <n v="4167"/>
    <n v="5.6"/>
    <s v="20-24"/>
    <s v="Average"/>
  </r>
  <r>
    <x v="665"/>
    <x v="179"/>
    <x v="1"/>
    <n v="28"/>
    <x v="5"/>
    <x v="7"/>
    <s v="Senior"/>
    <s v="Full-Time"/>
    <x v="5"/>
    <x v="591"/>
    <x v="0"/>
    <s v="Onsite"/>
    <n v="47500"/>
    <n v="9"/>
    <n v="84.7"/>
    <n v="5"/>
    <n v="1"/>
    <n v="1"/>
    <n v="18"/>
    <n v="3"/>
    <s v="Naukri"/>
    <n v="3958"/>
    <n v="7"/>
    <s v="25-29"/>
    <s v="Good"/>
  </r>
  <r>
    <x v="666"/>
    <x v="78"/>
    <x v="1"/>
    <n v="40"/>
    <x v="2"/>
    <x v="1"/>
    <s v="Senior"/>
    <s v="Intern"/>
    <x v="5"/>
    <x v="592"/>
    <x v="1"/>
    <s v="Hybrid"/>
    <n v="80600"/>
    <n v="17"/>
    <n v="88.5"/>
    <n v="5"/>
    <n v="5"/>
    <n v="4"/>
    <n v="17"/>
    <n v="3"/>
    <s v="Consultancy"/>
    <n v="6717"/>
    <n v="8.1999999999999993"/>
    <s v="40-44"/>
    <s v="Good"/>
  </r>
  <r>
    <x v="667"/>
    <x v="96"/>
    <x v="1"/>
    <n v="47"/>
    <x v="7"/>
    <x v="2"/>
    <s v="Senior"/>
    <s v="Part-Time"/>
    <x v="3"/>
    <x v="593"/>
    <x v="0"/>
    <s v="Hybrid"/>
    <n v="66700"/>
    <n v="26"/>
    <n v="91.8"/>
    <n v="8"/>
    <n v="13"/>
    <n v="2"/>
    <n v="19"/>
    <n v="20"/>
    <s v="Naukri"/>
    <n v="5558"/>
    <n v="2.9"/>
    <s v="45+"/>
    <s v="Good"/>
  </r>
  <r>
    <x v="668"/>
    <x v="89"/>
    <x v="1"/>
    <n v="45"/>
    <x v="13"/>
    <x v="0"/>
    <s v="Junior"/>
    <s v="Full-Time"/>
    <x v="4"/>
    <x v="594"/>
    <x v="0"/>
    <s v="Onsite"/>
    <n v="36600"/>
    <n v="24"/>
    <n v="90.7"/>
    <n v="4"/>
    <n v="13"/>
    <n v="4"/>
    <n v="15"/>
    <n v="29"/>
    <s v="Indeed"/>
    <n v="3050"/>
    <n v="1.2"/>
    <s v="45+"/>
    <s v="Good"/>
  </r>
  <r>
    <x v="669"/>
    <x v="67"/>
    <x v="0"/>
    <n v="34"/>
    <x v="5"/>
    <x v="2"/>
    <s v="Manager"/>
    <s v="Full-Time"/>
    <x v="3"/>
    <x v="595"/>
    <x v="0"/>
    <s v="Hybrid"/>
    <n v="109200"/>
    <n v="11"/>
    <n v="91.5"/>
    <n v="2"/>
    <n v="4"/>
    <n v="4"/>
    <n v="3"/>
    <n v="9"/>
    <s v="Indeed"/>
    <n v="9100"/>
    <n v="2.8"/>
    <s v="30-34"/>
    <s v="Average"/>
  </r>
  <r>
    <x v="670"/>
    <x v="81"/>
    <x v="0"/>
    <n v="27"/>
    <x v="13"/>
    <x v="7"/>
    <s v="Senior"/>
    <s v="Contract"/>
    <x v="2"/>
    <x v="596"/>
    <x v="0"/>
    <s v="Onsite"/>
    <n v="49200"/>
    <n v="7"/>
    <n v="90"/>
    <n v="5"/>
    <n v="9"/>
    <n v="1"/>
    <n v="16"/>
    <n v="10"/>
    <s v="Company Website"/>
    <n v="4100"/>
    <n v="4.7"/>
    <s v="25-29"/>
    <s v="Average"/>
  </r>
  <r>
    <x v="671"/>
    <x v="162"/>
    <x v="0"/>
    <n v="44"/>
    <x v="10"/>
    <x v="1"/>
    <s v="Lead"/>
    <s v="Full-Time"/>
    <x v="5"/>
    <x v="597"/>
    <x v="0"/>
    <s v="Remote"/>
    <n v="101700"/>
    <n v="24"/>
    <n v="92.4"/>
    <n v="7"/>
    <n v="4"/>
    <n v="3"/>
    <n v="5"/>
    <n v="3"/>
    <s v="Indeed"/>
    <n v="8475"/>
    <n v="3.3"/>
    <s v="40-44"/>
    <s v="Excellent"/>
  </r>
  <r>
    <x v="672"/>
    <x v="209"/>
    <x v="0"/>
    <n v="44"/>
    <x v="0"/>
    <x v="2"/>
    <s v="Associate"/>
    <s v="Contract"/>
    <x v="3"/>
    <x v="102"/>
    <x v="0"/>
    <s v="Remote"/>
    <n v="45100"/>
    <n v="25"/>
    <n v="81.2"/>
    <n v="6"/>
    <n v="4"/>
    <n v="2"/>
    <n v="11"/>
    <n v="8"/>
    <s v="LinkedIn"/>
    <n v="3758"/>
    <n v="6.5"/>
    <s v="40-44"/>
    <s v="Good"/>
  </r>
  <r>
    <x v="673"/>
    <x v="119"/>
    <x v="0"/>
    <n v="42"/>
    <x v="4"/>
    <x v="1"/>
    <s v="Associate"/>
    <s v="Full-Time"/>
    <x v="4"/>
    <x v="598"/>
    <x v="0"/>
    <s v="Hybrid"/>
    <n v="50000"/>
    <n v="21"/>
    <n v="98.1"/>
    <n v="2"/>
    <n v="1"/>
    <n v="2"/>
    <n v="6"/>
    <n v="30"/>
    <s v="Employee Referral"/>
    <n v="4167"/>
    <n v="3.8"/>
    <s v="40-44"/>
    <s v="Good"/>
  </r>
  <r>
    <x v="674"/>
    <x v="107"/>
    <x v="1"/>
    <n v="45"/>
    <x v="1"/>
    <x v="3"/>
    <s v="Manager"/>
    <s v="Full-Time"/>
    <x v="7"/>
    <x v="599"/>
    <x v="0"/>
    <s v="Onsite"/>
    <n v="135400"/>
    <n v="25"/>
    <n v="90.6"/>
    <n v="0"/>
    <n v="13"/>
    <n v="2"/>
    <n v="22"/>
    <n v="18"/>
    <s v="Campus Hiring"/>
    <n v="11283"/>
    <n v="3.5"/>
    <s v="45+"/>
    <s v="Excellent"/>
  </r>
  <r>
    <x v="675"/>
    <x v="196"/>
    <x v="1"/>
    <n v="34"/>
    <x v="4"/>
    <x v="6"/>
    <s v="Senior"/>
    <s v="Full-Time"/>
    <x v="7"/>
    <x v="228"/>
    <x v="1"/>
    <s v="Remote"/>
    <n v="80700"/>
    <n v="11"/>
    <n v="100"/>
    <n v="3"/>
    <n v="15"/>
    <n v="2"/>
    <n v="13"/>
    <n v="16"/>
    <s v="Campus Hiring"/>
    <n v="6725"/>
    <n v="1.5"/>
    <s v="30-34"/>
    <s v="Good"/>
  </r>
  <r>
    <x v="676"/>
    <x v="174"/>
    <x v="0"/>
    <n v="20"/>
    <x v="1"/>
    <x v="7"/>
    <s v="Lead"/>
    <s v="Full-Time"/>
    <x v="0"/>
    <x v="600"/>
    <x v="0"/>
    <s v="Hybrid"/>
    <n v="73600"/>
    <n v="0"/>
    <n v="89.3"/>
    <n v="5"/>
    <n v="5"/>
    <n v="3"/>
    <n v="11"/>
    <n v="5"/>
    <s v="Employee Referral"/>
    <n v="6133"/>
    <n v="4.3"/>
    <s v="20-24"/>
    <s v="Good"/>
  </r>
  <r>
    <x v="677"/>
    <x v="196"/>
    <x v="0"/>
    <n v="27"/>
    <x v="3"/>
    <x v="7"/>
    <s v="Manager"/>
    <s v="Full-Time"/>
    <x v="7"/>
    <x v="601"/>
    <x v="0"/>
    <s v="Hybrid"/>
    <n v="80200"/>
    <n v="6"/>
    <n v="96.2"/>
    <n v="3"/>
    <n v="12"/>
    <n v="2"/>
    <n v="20"/>
    <n v="23"/>
    <s v="Consultancy"/>
    <n v="6683"/>
    <n v="3.9"/>
    <s v="25-29"/>
    <s v="Average"/>
  </r>
  <r>
    <x v="678"/>
    <x v="107"/>
    <x v="1"/>
    <n v="42"/>
    <x v="1"/>
    <x v="1"/>
    <s v="Senior"/>
    <s v="Intern"/>
    <x v="0"/>
    <x v="305"/>
    <x v="0"/>
    <s v="Onsite"/>
    <n v="74800"/>
    <n v="22"/>
    <n v="87.3"/>
    <n v="4"/>
    <n v="6"/>
    <n v="3"/>
    <n v="19"/>
    <n v="24"/>
    <s v="Naukri"/>
    <n v="6233"/>
    <n v="1.8"/>
    <s v="40-44"/>
    <s v="Average"/>
  </r>
  <r>
    <x v="679"/>
    <x v="73"/>
    <x v="0"/>
    <n v="23"/>
    <x v="8"/>
    <x v="0"/>
    <s v="Associate"/>
    <s v="Full-Time"/>
    <x v="4"/>
    <x v="76"/>
    <x v="0"/>
    <s v="Hybrid"/>
    <n v="56300"/>
    <n v="0"/>
    <n v="91.2"/>
    <n v="6"/>
    <n v="8"/>
    <n v="1"/>
    <n v="1"/>
    <n v="14"/>
    <s v="Campus Hiring"/>
    <n v="4692"/>
    <n v="4.9000000000000004"/>
    <s v="20-24"/>
    <s v="Good"/>
  </r>
  <r>
    <x v="680"/>
    <x v="162"/>
    <x v="1"/>
    <n v="41"/>
    <x v="12"/>
    <x v="1"/>
    <s v="Intern"/>
    <s v="Contract"/>
    <x v="7"/>
    <x v="602"/>
    <x v="0"/>
    <s v="Remote"/>
    <n v="22400"/>
    <n v="18"/>
    <n v="86"/>
    <n v="4"/>
    <n v="13"/>
    <n v="0"/>
    <n v="20"/>
    <n v="4"/>
    <s v="Employee Referral"/>
    <n v="1867"/>
    <n v="5.6"/>
    <s v="40-44"/>
    <s v="Good"/>
  </r>
  <r>
    <x v="681"/>
    <x v="186"/>
    <x v="1"/>
    <n v="29"/>
    <x v="11"/>
    <x v="7"/>
    <s v="Intern"/>
    <s v="Full-Time"/>
    <x v="5"/>
    <x v="603"/>
    <x v="0"/>
    <s v="Hybrid"/>
    <n v="18000"/>
    <n v="6"/>
    <n v="89.4"/>
    <n v="4"/>
    <n v="4"/>
    <n v="3"/>
    <n v="30"/>
    <n v="13"/>
    <s v="LinkedIn"/>
    <n v="1500"/>
    <n v="8.5"/>
    <s v="25-29"/>
    <s v="Excellent"/>
  </r>
  <r>
    <x v="682"/>
    <x v="137"/>
    <x v="1"/>
    <n v="35"/>
    <x v="13"/>
    <x v="0"/>
    <s v="Junior"/>
    <s v="Full-Time"/>
    <x v="4"/>
    <x v="604"/>
    <x v="0"/>
    <s v="Hybrid"/>
    <n v="37800"/>
    <n v="13"/>
    <n v="87.3"/>
    <n v="1"/>
    <n v="10"/>
    <n v="2"/>
    <n v="3"/>
    <n v="4"/>
    <s v="Indeed"/>
    <n v="3150"/>
    <n v="2"/>
    <s v="35-39"/>
    <s v="Average"/>
  </r>
  <r>
    <x v="683"/>
    <x v="163"/>
    <x v="0"/>
    <n v="37"/>
    <x v="5"/>
    <x v="6"/>
    <s v="Junior"/>
    <s v="Part-Time"/>
    <x v="1"/>
    <x v="233"/>
    <x v="0"/>
    <s v="Onsite"/>
    <n v="30700"/>
    <n v="17"/>
    <n v="93.5"/>
    <n v="0"/>
    <n v="14"/>
    <n v="1"/>
    <n v="7"/>
    <n v="30"/>
    <s v="Indeed"/>
    <n v="2558"/>
    <n v="4"/>
    <s v="35-39"/>
    <s v="Average"/>
  </r>
  <r>
    <x v="684"/>
    <x v="152"/>
    <x v="1"/>
    <n v="23"/>
    <x v="2"/>
    <x v="7"/>
    <s v="Associate"/>
    <s v="Full-Time"/>
    <x v="0"/>
    <x v="605"/>
    <x v="0"/>
    <s v="Hybrid"/>
    <n v="38600"/>
    <n v="4"/>
    <n v="99.3"/>
    <n v="3"/>
    <n v="10"/>
    <n v="1"/>
    <n v="30"/>
    <n v="22"/>
    <s v="LinkedIn"/>
    <n v="3217"/>
    <n v="1.1000000000000001"/>
    <s v="20-24"/>
    <s v="Good"/>
  </r>
  <r>
    <x v="685"/>
    <x v="132"/>
    <x v="0"/>
    <n v="27"/>
    <x v="8"/>
    <x v="4"/>
    <s v="Associate"/>
    <s v="Full-Time"/>
    <x v="6"/>
    <x v="235"/>
    <x v="0"/>
    <s v="Remote"/>
    <n v="45200"/>
    <n v="4"/>
    <n v="93.3"/>
    <n v="7"/>
    <n v="4"/>
    <n v="4"/>
    <n v="9"/>
    <n v="20"/>
    <s v="Consultancy"/>
    <n v="3767"/>
    <n v="0.5"/>
    <s v="25-29"/>
    <s v="Good"/>
  </r>
  <r>
    <x v="686"/>
    <x v="171"/>
    <x v="0"/>
    <n v="23"/>
    <x v="9"/>
    <x v="2"/>
    <s v="Associate"/>
    <s v="Full-Time"/>
    <x v="5"/>
    <x v="199"/>
    <x v="0"/>
    <s v="Hybrid"/>
    <n v="46800"/>
    <n v="3"/>
    <n v="100"/>
    <n v="2"/>
    <n v="14"/>
    <n v="4"/>
    <n v="16"/>
    <n v="10"/>
    <s v="Indeed"/>
    <n v="3900"/>
    <n v="7"/>
    <s v="20-24"/>
    <s v="Average"/>
  </r>
  <r>
    <x v="687"/>
    <x v="166"/>
    <x v="1"/>
    <n v="29"/>
    <x v="13"/>
    <x v="0"/>
    <s v="Associate"/>
    <s v="Full-Time"/>
    <x v="2"/>
    <x v="606"/>
    <x v="0"/>
    <s v="Remote"/>
    <n v="59000"/>
    <n v="5"/>
    <n v="94.5"/>
    <n v="5"/>
    <n v="14"/>
    <n v="0"/>
    <n v="6"/>
    <n v="17"/>
    <s v="Campus Hiring"/>
    <n v="4917"/>
    <n v="7.9"/>
    <s v="25-29"/>
    <s v="Good"/>
  </r>
  <r>
    <x v="688"/>
    <x v="111"/>
    <x v="0"/>
    <n v="39"/>
    <x v="9"/>
    <x v="5"/>
    <s v="Junior"/>
    <s v="Full-Time"/>
    <x v="3"/>
    <x v="387"/>
    <x v="1"/>
    <s v="Onsite"/>
    <n v="39000"/>
    <n v="18"/>
    <n v="86.3"/>
    <n v="1"/>
    <n v="8"/>
    <n v="0"/>
    <n v="20"/>
    <n v="19"/>
    <s v="Company Website"/>
    <n v="3250"/>
    <n v="1.7"/>
    <s v="35-39"/>
    <s v="Good"/>
  </r>
  <r>
    <x v="689"/>
    <x v="221"/>
    <x v="0"/>
    <n v="49"/>
    <x v="9"/>
    <x v="7"/>
    <s v="Intern"/>
    <s v="Part-Time"/>
    <x v="5"/>
    <x v="425"/>
    <x v="0"/>
    <s v="Onsite"/>
    <n v="18000"/>
    <n v="28"/>
    <n v="100"/>
    <n v="8"/>
    <n v="5"/>
    <n v="4"/>
    <n v="9"/>
    <n v="27"/>
    <s v="Employee Referral"/>
    <n v="1500"/>
    <n v="1.2"/>
    <s v="45+"/>
    <s v="Good"/>
  </r>
  <r>
    <x v="690"/>
    <x v="22"/>
    <x v="1"/>
    <n v="23"/>
    <x v="5"/>
    <x v="5"/>
    <s v="Senior"/>
    <s v="Intern"/>
    <x v="0"/>
    <x v="607"/>
    <x v="0"/>
    <s v="Onsite"/>
    <n v="83900"/>
    <n v="1"/>
    <n v="95.6"/>
    <n v="8"/>
    <n v="6"/>
    <n v="4"/>
    <n v="20"/>
    <n v="30"/>
    <s v="Indeed"/>
    <n v="6992"/>
    <n v="7"/>
    <s v="20-24"/>
    <s v="Average"/>
  </r>
  <r>
    <x v="691"/>
    <x v="215"/>
    <x v="0"/>
    <n v="35"/>
    <x v="0"/>
    <x v="0"/>
    <s v="Associate"/>
    <s v="Full-Time"/>
    <x v="7"/>
    <x v="608"/>
    <x v="0"/>
    <s v="Hybrid"/>
    <n v="44800"/>
    <n v="13"/>
    <n v="84"/>
    <n v="3"/>
    <n v="3"/>
    <n v="1"/>
    <n v="16"/>
    <n v="17"/>
    <s v="Employee Referral"/>
    <n v="3733"/>
    <n v="1.5"/>
    <s v="35-39"/>
    <s v="Excellent"/>
  </r>
  <r>
    <x v="692"/>
    <x v="50"/>
    <x v="0"/>
    <n v="49"/>
    <x v="0"/>
    <x v="3"/>
    <s v="Associate"/>
    <s v="Full-Time"/>
    <x v="5"/>
    <x v="609"/>
    <x v="0"/>
    <s v="Hybrid"/>
    <n v="58300"/>
    <n v="30"/>
    <n v="90.9"/>
    <n v="7"/>
    <n v="3"/>
    <n v="3"/>
    <n v="15"/>
    <n v="13"/>
    <s v="LinkedIn"/>
    <n v="4858"/>
    <n v="4.7"/>
    <s v="45+"/>
    <s v="Average"/>
  </r>
  <r>
    <x v="693"/>
    <x v="152"/>
    <x v="0"/>
    <n v="31"/>
    <x v="14"/>
    <x v="4"/>
    <s v="Senior"/>
    <s v="Full-Time"/>
    <x v="2"/>
    <x v="610"/>
    <x v="0"/>
    <s v="Hybrid"/>
    <n v="76700"/>
    <n v="8"/>
    <n v="95"/>
    <n v="1"/>
    <n v="0"/>
    <n v="4"/>
    <n v="30"/>
    <n v="8"/>
    <s v="Indeed"/>
    <n v="6392"/>
    <n v="7.7"/>
    <s v="30-34"/>
    <s v="Excellent"/>
  </r>
  <r>
    <x v="694"/>
    <x v="159"/>
    <x v="0"/>
    <n v="29"/>
    <x v="6"/>
    <x v="3"/>
    <s v="Lead"/>
    <s v="Full-Time"/>
    <x v="7"/>
    <x v="250"/>
    <x v="0"/>
    <s v="Remote"/>
    <n v="107700"/>
    <n v="10"/>
    <n v="93.8"/>
    <n v="1"/>
    <n v="10"/>
    <n v="2"/>
    <n v="24"/>
    <n v="24"/>
    <s v="Consultancy"/>
    <n v="8975"/>
    <n v="8"/>
    <s v="25-29"/>
    <s v="Good"/>
  </r>
  <r>
    <x v="695"/>
    <x v="40"/>
    <x v="1"/>
    <n v="44"/>
    <x v="1"/>
    <x v="3"/>
    <s v="Associate"/>
    <s v="Full-Time"/>
    <x v="2"/>
    <x v="611"/>
    <x v="0"/>
    <s v="Hybrid"/>
    <n v="66300"/>
    <n v="21"/>
    <n v="95"/>
    <n v="5"/>
    <n v="4"/>
    <n v="3"/>
    <n v="12"/>
    <n v="20"/>
    <s v="Company Website"/>
    <n v="5525"/>
    <n v="6.7"/>
    <s v="40-44"/>
    <s v="Good"/>
  </r>
  <r>
    <x v="696"/>
    <x v="163"/>
    <x v="0"/>
    <n v="30"/>
    <x v="8"/>
    <x v="0"/>
    <s v="Senior"/>
    <s v="Contract"/>
    <x v="7"/>
    <x v="612"/>
    <x v="1"/>
    <s v="Onsite"/>
    <n v="67000"/>
    <n v="7"/>
    <n v="96.1"/>
    <n v="1"/>
    <n v="1"/>
    <n v="3"/>
    <n v="30"/>
    <n v="25"/>
    <s v="Company Website"/>
    <n v="5583"/>
    <n v="4.5999999999999996"/>
    <s v="30-34"/>
    <s v="Excellent"/>
  </r>
  <r>
    <x v="697"/>
    <x v="146"/>
    <x v="0"/>
    <n v="21"/>
    <x v="7"/>
    <x v="5"/>
    <s v="Manager"/>
    <s v="Full-Time"/>
    <x v="3"/>
    <x v="613"/>
    <x v="0"/>
    <s v="Hybrid"/>
    <n v="160200"/>
    <n v="0"/>
    <n v="88"/>
    <n v="0"/>
    <n v="4"/>
    <n v="2"/>
    <n v="22"/>
    <n v="13"/>
    <s v="LinkedIn"/>
    <n v="13350"/>
    <n v="8.5"/>
    <s v="20-24"/>
    <s v="Average"/>
  </r>
  <r>
    <x v="698"/>
    <x v="20"/>
    <x v="1"/>
    <n v="35"/>
    <x v="13"/>
    <x v="2"/>
    <s v="Lead"/>
    <s v="Full-Time"/>
    <x v="6"/>
    <x v="614"/>
    <x v="0"/>
    <s v="Remote"/>
    <n v="102200"/>
    <n v="13"/>
    <n v="93.5"/>
    <n v="1"/>
    <n v="4"/>
    <n v="2"/>
    <n v="17"/>
    <n v="12"/>
    <s v="Company Website"/>
    <n v="8517"/>
    <n v="6.6"/>
    <s v="35-39"/>
    <s v="Excellent"/>
  </r>
  <r>
    <x v="699"/>
    <x v="209"/>
    <x v="0"/>
    <n v="42"/>
    <x v="4"/>
    <x v="1"/>
    <s v="Associate"/>
    <s v="Part-Time"/>
    <x v="1"/>
    <x v="615"/>
    <x v="0"/>
    <s v="Onsite"/>
    <n v="45400"/>
    <n v="20"/>
    <n v="92.1"/>
    <n v="1"/>
    <n v="3"/>
    <n v="2"/>
    <n v="26"/>
    <n v="13"/>
    <s v="LinkedIn"/>
    <n v="3783"/>
    <n v="0.9"/>
    <s v="40-44"/>
    <s v="Average"/>
  </r>
  <r>
    <x v="700"/>
    <x v="146"/>
    <x v="0"/>
    <n v="38"/>
    <x v="4"/>
    <x v="5"/>
    <s v="Senior"/>
    <s v="Full-Time"/>
    <x v="6"/>
    <x v="616"/>
    <x v="1"/>
    <s v="Onsite"/>
    <n v="106500"/>
    <n v="17"/>
    <n v="89.7"/>
    <n v="4"/>
    <n v="14"/>
    <n v="1"/>
    <n v="4"/>
    <n v="20"/>
    <s v="Campus Hiring"/>
    <n v="8875"/>
    <n v="5.7"/>
    <s v="35-39"/>
    <s v="Good"/>
  </r>
  <r>
    <x v="701"/>
    <x v="118"/>
    <x v="1"/>
    <n v="31"/>
    <x v="12"/>
    <x v="2"/>
    <s v="Junior"/>
    <s v="Part-Time"/>
    <x v="4"/>
    <x v="617"/>
    <x v="0"/>
    <s v="Hybrid"/>
    <n v="38800"/>
    <n v="9"/>
    <n v="95.2"/>
    <n v="5"/>
    <n v="12"/>
    <n v="4"/>
    <n v="7"/>
    <n v="22"/>
    <s v="Company Website"/>
    <n v="3233"/>
    <n v="7.5"/>
    <s v="30-34"/>
    <s v="Good"/>
  </r>
  <r>
    <x v="702"/>
    <x v="43"/>
    <x v="1"/>
    <n v="23"/>
    <x v="11"/>
    <x v="5"/>
    <s v="Senior"/>
    <s v="Full-Time"/>
    <x v="7"/>
    <x v="618"/>
    <x v="0"/>
    <s v="Onsite"/>
    <n v="98400"/>
    <n v="1"/>
    <n v="92"/>
    <n v="2"/>
    <n v="11"/>
    <n v="4"/>
    <n v="29"/>
    <n v="18"/>
    <s v="Indeed"/>
    <n v="8200"/>
    <n v="0.7"/>
    <s v="20-24"/>
    <s v="Excellent"/>
  </r>
  <r>
    <x v="703"/>
    <x v="109"/>
    <x v="1"/>
    <n v="36"/>
    <x v="11"/>
    <x v="3"/>
    <s v="Manager"/>
    <s v="Full-Time"/>
    <x v="7"/>
    <x v="619"/>
    <x v="0"/>
    <s v="Remote"/>
    <n v="138700"/>
    <n v="12"/>
    <n v="96.6"/>
    <n v="7"/>
    <n v="9"/>
    <n v="1"/>
    <n v="30"/>
    <n v="16"/>
    <s v="Consultancy"/>
    <n v="11558"/>
    <n v="2.5"/>
    <s v="35-39"/>
    <s v="Average"/>
  </r>
  <r>
    <x v="704"/>
    <x v="194"/>
    <x v="0"/>
    <n v="31"/>
    <x v="6"/>
    <x v="5"/>
    <s v="Associate"/>
    <s v="Contract"/>
    <x v="5"/>
    <x v="620"/>
    <x v="0"/>
    <s v="Hybrid"/>
    <n v="69700"/>
    <n v="12"/>
    <n v="92.6"/>
    <n v="1"/>
    <n v="12"/>
    <n v="3"/>
    <n v="26"/>
    <n v="11"/>
    <s v="Employee Referral"/>
    <n v="5808"/>
    <n v="6"/>
    <s v="30-34"/>
    <s v="Good"/>
  </r>
  <r>
    <x v="705"/>
    <x v="18"/>
    <x v="1"/>
    <n v="50"/>
    <x v="13"/>
    <x v="5"/>
    <s v="Lead"/>
    <s v="Full-Time"/>
    <x v="6"/>
    <x v="464"/>
    <x v="2"/>
    <s v="Hybrid"/>
    <n v="135700"/>
    <n v="27"/>
    <n v="89.4"/>
    <n v="2"/>
    <n v="8"/>
    <n v="1"/>
    <n v="6"/>
    <n v="5"/>
    <s v="Employee Referral"/>
    <n v="11308"/>
    <n v="5.5"/>
    <s v="45+"/>
    <s v="Good"/>
  </r>
  <r>
    <x v="706"/>
    <x v="81"/>
    <x v="1"/>
    <n v="35"/>
    <x v="13"/>
    <x v="5"/>
    <s v="Associate"/>
    <s v="Part-Time"/>
    <x v="0"/>
    <x v="621"/>
    <x v="0"/>
    <s v="Remote"/>
    <n v="58900"/>
    <n v="16"/>
    <n v="91.8"/>
    <n v="3"/>
    <n v="4"/>
    <n v="4"/>
    <n v="29"/>
    <n v="19"/>
    <s v="Consultancy"/>
    <n v="4908"/>
    <n v="4.9000000000000004"/>
    <s v="35-39"/>
    <s v="Average"/>
  </r>
  <r>
    <x v="707"/>
    <x v="16"/>
    <x v="1"/>
    <n v="22"/>
    <x v="14"/>
    <x v="3"/>
    <s v="Manager"/>
    <s v="Part-Time"/>
    <x v="3"/>
    <x v="622"/>
    <x v="0"/>
    <s v="Onsite"/>
    <n v="145600"/>
    <n v="0"/>
    <n v="94.4"/>
    <n v="4"/>
    <n v="5"/>
    <n v="0"/>
    <n v="17"/>
    <n v="29"/>
    <s v="Naukri"/>
    <n v="12133"/>
    <n v="6.6"/>
    <s v="20-24"/>
    <s v="Average"/>
  </r>
  <r>
    <x v="708"/>
    <x v="191"/>
    <x v="0"/>
    <n v="21"/>
    <x v="2"/>
    <x v="2"/>
    <s v="Senior"/>
    <s v="Full-Time"/>
    <x v="2"/>
    <x v="623"/>
    <x v="2"/>
    <s v="Remote"/>
    <n v="65100"/>
    <n v="1"/>
    <n v="91.2"/>
    <n v="4"/>
    <n v="15"/>
    <n v="1"/>
    <n v="22"/>
    <n v="14"/>
    <s v="Employee Referral"/>
    <n v="5425"/>
    <n v="0.3"/>
    <s v="20-24"/>
    <s v="Good"/>
  </r>
  <r>
    <x v="709"/>
    <x v="125"/>
    <x v="0"/>
    <n v="45"/>
    <x v="8"/>
    <x v="7"/>
    <s v="Intern"/>
    <s v="Full-Time"/>
    <x v="0"/>
    <x v="624"/>
    <x v="0"/>
    <s v="Onsite"/>
    <n v="18000"/>
    <n v="24"/>
    <n v="88.8"/>
    <n v="5"/>
    <n v="13"/>
    <n v="0"/>
    <n v="5"/>
    <n v="6"/>
    <s v="Company Website"/>
    <n v="1500"/>
    <n v="6.4"/>
    <s v="45+"/>
    <s v="Average"/>
  </r>
  <r>
    <x v="710"/>
    <x v="194"/>
    <x v="0"/>
    <n v="26"/>
    <x v="2"/>
    <x v="1"/>
    <s v="Senior"/>
    <s v="Full-Time"/>
    <x v="3"/>
    <x v="446"/>
    <x v="0"/>
    <s v="Hybrid"/>
    <n v="78900"/>
    <n v="5"/>
    <n v="91.8"/>
    <n v="3"/>
    <n v="0"/>
    <n v="0"/>
    <n v="27"/>
    <n v="21"/>
    <s v="Naukri"/>
    <n v="6575"/>
    <n v="5.3"/>
    <s v="25-29"/>
    <s v="Average"/>
  </r>
  <r>
    <x v="711"/>
    <x v="129"/>
    <x v="0"/>
    <n v="25"/>
    <x v="14"/>
    <x v="4"/>
    <s v="Associate"/>
    <s v="Contract"/>
    <x v="3"/>
    <x v="625"/>
    <x v="1"/>
    <s v="Hybrid"/>
    <n v="44500"/>
    <n v="4"/>
    <n v="98.1"/>
    <n v="6"/>
    <n v="11"/>
    <n v="2"/>
    <n v="12"/>
    <n v="21"/>
    <s v="Naukri"/>
    <n v="3708"/>
    <n v="2.6"/>
    <s v="25-29"/>
    <s v="Good"/>
  </r>
  <r>
    <x v="712"/>
    <x v="33"/>
    <x v="0"/>
    <n v="20"/>
    <x v="10"/>
    <x v="0"/>
    <s v="Intern"/>
    <s v="Full-Time"/>
    <x v="5"/>
    <x v="626"/>
    <x v="0"/>
    <s v="Hybrid"/>
    <n v="22500"/>
    <n v="1"/>
    <n v="94.3"/>
    <n v="7"/>
    <n v="4"/>
    <n v="2"/>
    <n v="23"/>
    <n v="5"/>
    <s v="Indeed"/>
    <n v="1875"/>
    <n v="1.2"/>
    <s v="20-24"/>
    <s v="Good"/>
  </r>
  <r>
    <x v="713"/>
    <x v="229"/>
    <x v="0"/>
    <n v="34"/>
    <x v="4"/>
    <x v="1"/>
    <s v="Lead"/>
    <s v="Full-Time"/>
    <x v="5"/>
    <x v="627"/>
    <x v="0"/>
    <s v="Hybrid"/>
    <n v="93200"/>
    <n v="11"/>
    <n v="92.8"/>
    <n v="3"/>
    <n v="11"/>
    <n v="2"/>
    <n v="8"/>
    <n v="17"/>
    <s v="Consultancy"/>
    <n v="7767"/>
    <n v="5.4"/>
    <s v="30-34"/>
    <s v="Good"/>
  </r>
  <r>
    <x v="714"/>
    <x v="115"/>
    <x v="0"/>
    <n v="46"/>
    <x v="5"/>
    <x v="6"/>
    <s v="Associate"/>
    <s v="Full-Time"/>
    <x v="0"/>
    <x v="628"/>
    <x v="0"/>
    <s v="Hybrid"/>
    <n v="46100"/>
    <n v="23"/>
    <n v="90.1"/>
    <n v="8"/>
    <n v="8"/>
    <n v="0"/>
    <n v="29"/>
    <n v="22"/>
    <s v="Indeed"/>
    <n v="3842"/>
    <n v="2"/>
    <s v="45+"/>
    <s v="Good"/>
  </r>
  <r>
    <x v="715"/>
    <x v="194"/>
    <x v="0"/>
    <n v="31"/>
    <x v="6"/>
    <x v="2"/>
    <s v="Senior"/>
    <s v="Full-Time"/>
    <x v="4"/>
    <x v="629"/>
    <x v="0"/>
    <s v="Onsite"/>
    <n v="63100"/>
    <n v="8"/>
    <n v="92.1"/>
    <n v="5"/>
    <n v="11"/>
    <n v="4"/>
    <n v="22"/>
    <n v="26"/>
    <s v="Consultancy"/>
    <n v="5258"/>
    <n v="5.0999999999999996"/>
    <s v="30-34"/>
    <s v="Excellent"/>
  </r>
  <r>
    <x v="716"/>
    <x v="183"/>
    <x v="0"/>
    <n v="32"/>
    <x v="5"/>
    <x v="0"/>
    <s v="Associate"/>
    <s v="Contract"/>
    <x v="4"/>
    <x v="630"/>
    <x v="0"/>
    <s v="Remote"/>
    <n v="53100"/>
    <n v="11"/>
    <n v="86.2"/>
    <n v="7"/>
    <n v="10"/>
    <n v="2"/>
    <n v="29"/>
    <n v="26"/>
    <s v="Indeed"/>
    <n v="4425"/>
    <n v="0.9"/>
    <s v="30-34"/>
    <s v="Good"/>
  </r>
  <r>
    <x v="717"/>
    <x v="0"/>
    <x v="1"/>
    <n v="27"/>
    <x v="7"/>
    <x v="3"/>
    <s v="Junior"/>
    <s v="Contract"/>
    <x v="2"/>
    <x v="631"/>
    <x v="0"/>
    <s v="Hybrid"/>
    <n v="42800"/>
    <n v="6"/>
    <n v="90.1"/>
    <n v="8"/>
    <n v="5"/>
    <n v="2"/>
    <n v="7"/>
    <n v="21"/>
    <s v="Campus Hiring"/>
    <n v="3567"/>
    <n v="8.1"/>
    <s v="25-29"/>
    <s v="Average"/>
  </r>
  <r>
    <x v="718"/>
    <x v="108"/>
    <x v="0"/>
    <n v="28"/>
    <x v="13"/>
    <x v="5"/>
    <s v="Manager"/>
    <s v="Intern"/>
    <x v="1"/>
    <x v="632"/>
    <x v="1"/>
    <s v="Hybrid"/>
    <n v="144700"/>
    <n v="9"/>
    <n v="93.7"/>
    <n v="0"/>
    <n v="8"/>
    <n v="3"/>
    <n v="11"/>
    <n v="28"/>
    <s v="Company Website"/>
    <n v="12058"/>
    <n v="1"/>
    <s v="25-29"/>
    <s v="Average"/>
  </r>
  <r>
    <x v="719"/>
    <x v="12"/>
    <x v="0"/>
    <n v="20"/>
    <x v="5"/>
    <x v="3"/>
    <s v="Associate"/>
    <s v="Full-Time"/>
    <x v="6"/>
    <x v="633"/>
    <x v="0"/>
    <s v="Hybrid"/>
    <n v="53800"/>
    <n v="1"/>
    <n v="91.6"/>
    <n v="4"/>
    <n v="11"/>
    <n v="0"/>
    <n v="9"/>
    <n v="10"/>
    <s v="Consultancy"/>
    <n v="4483"/>
    <n v="1.8"/>
    <s v="20-24"/>
    <s v="Poor"/>
  </r>
  <r>
    <x v="720"/>
    <x v="137"/>
    <x v="1"/>
    <n v="24"/>
    <x v="1"/>
    <x v="5"/>
    <s v="Senior"/>
    <s v="Full-Time"/>
    <x v="0"/>
    <x v="634"/>
    <x v="0"/>
    <s v="Hybrid"/>
    <n v="96300"/>
    <n v="3"/>
    <n v="89.1"/>
    <n v="6"/>
    <n v="12"/>
    <n v="0"/>
    <n v="6"/>
    <n v="25"/>
    <s v="Company Website"/>
    <n v="8025"/>
    <n v="1.1000000000000001"/>
    <s v="20-24"/>
    <s v="Good"/>
  </r>
  <r>
    <x v="721"/>
    <x v="12"/>
    <x v="0"/>
    <n v="26"/>
    <x v="11"/>
    <x v="1"/>
    <s v="Senior"/>
    <s v="Full-Time"/>
    <x v="7"/>
    <x v="635"/>
    <x v="0"/>
    <s v="Hybrid"/>
    <n v="77900"/>
    <n v="6"/>
    <n v="84.9"/>
    <n v="1"/>
    <n v="3"/>
    <n v="2"/>
    <n v="6"/>
    <n v="30"/>
    <s v="Campus Hiring"/>
    <n v="6492"/>
    <n v="1.6"/>
    <s v="25-29"/>
    <s v="Excellent"/>
  </r>
  <r>
    <x v="722"/>
    <x v="162"/>
    <x v="1"/>
    <n v="37"/>
    <x v="14"/>
    <x v="4"/>
    <s v="Senior"/>
    <s v="Full-Time"/>
    <x v="4"/>
    <x v="636"/>
    <x v="2"/>
    <s v="Onsite"/>
    <n v="73800"/>
    <n v="17"/>
    <n v="90.4"/>
    <n v="6"/>
    <n v="1"/>
    <n v="3"/>
    <n v="16"/>
    <n v="22"/>
    <s v="Consultancy"/>
    <n v="6150"/>
    <n v="8"/>
    <s v="35-39"/>
    <s v="Good"/>
  </r>
  <r>
    <x v="723"/>
    <x v="0"/>
    <x v="0"/>
    <n v="41"/>
    <x v="5"/>
    <x v="1"/>
    <s v="Lead"/>
    <s v="Full-Time"/>
    <x v="1"/>
    <x v="637"/>
    <x v="0"/>
    <s v="Remote"/>
    <n v="82400"/>
    <n v="22"/>
    <n v="87.3"/>
    <n v="6"/>
    <n v="14"/>
    <n v="3"/>
    <n v="4"/>
    <n v="25"/>
    <s v="Company Website"/>
    <n v="6867"/>
    <n v="3.2"/>
    <s v="40-44"/>
    <s v="Good"/>
  </r>
  <r>
    <x v="724"/>
    <x v="76"/>
    <x v="0"/>
    <n v="27"/>
    <x v="4"/>
    <x v="6"/>
    <s v="Senior"/>
    <s v="Contract"/>
    <x v="2"/>
    <x v="638"/>
    <x v="0"/>
    <s v="Remote"/>
    <n v="76000"/>
    <n v="6"/>
    <n v="90.9"/>
    <n v="2"/>
    <n v="8"/>
    <n v="1"/>
    <n v="9"/>
    <n v="30"/>
    <s v="Employee Referral"/>
    <n v="6333"/>
    <n v="6.5"/>
    <s v="25-29"/>
    <s v="Good"/>
  </r>
  <r>
    <x v="725"/>
    <x v="230"/>
    <x v="1"/>
    <n v="43"/>
    <x v="3"/>
    <x v="1"/>
    <s v="Associate"/>
    <s v="Part-Time"/>
    <x v="2"/>
    <x v="639"/>
    <x v="0"/>
    <s v="Onsite"/>
    <n v="54400"/>
    <n v="20"/>
    <n v="92.4"/>
    <n v="8"/>
    <n v="3"/>
    <n v="1"/>
    <n v="20"/>
    <n v="8"/>
    <s v="LinkedIn"/>
    <n v="4533"/>
    <n v="2.5"/>
    <s v="40-44"/>
    <s v="Good"/>
  </r>
  <r>
    <x v="726"/>
    <x v="212"/>
    <x v="0"/>
    <n v="45"/>
    <x v="2"/>
    <x v="1"/>
    <s v="Lead"/>
    <s v="Contract"/>
    <x v="0"/>
    <x v="640"/>
    <x v="0"/>
    <s v="Hybrid"/>
    <n v="87500"/>
    <n v="22"/>
    <n v="98.2"/>
    <n v="6"/>
    <n v="13"/>
    <n v="2"/>
    <n v="30"/>
    <n v="19"/>
    <s v="Indeed"/>
    <n v="7292"/>
    <n v="1.8"/>
    <s v="45+"/>
    <s v="Excellent"/>
  </r>
  <r>
    <x v="727"/>
    <x v="20"/>
    <x v="1"/>
    <n v="29"/>
    <x v="10"/>
    <x v="7"/>
    <s v="Junior"/>
    <s v="Contract"/>
    <x v="5"/>
    <x v="641"/>
    <x v="0"/>
    <s v="Hybrid"/>
    <n v="29200"/>
    <n v="9"/>
    <n v="95.7"/>
    <n v="4"/>
    <n v="10"/>
    <n v="0"/>
    <n v="19"/>
    <n v="11"/>
    <s v="Campus Hiring"/>
    <n v="2433"/>
    <n v="5.3"/>
    <s v="25-29"/>
    <s v="Good"/>
  </r>
  <r>
    <x v="728"/>
    <x v="222"/>
    <x v="0"/>
    <n v="48"/>
    <x v="14"/>
    <x v="2"/>
    <s v="Associate"/>
    <s v="Contract"/>
    <x v="0"/>
    <x v="208"/>
    <x v="1"/>
    <s v="Onsite"/>
    <n v="54000"/>
    <n v="28"/>
    <n v="92.2"/>
    <n v="6"/>
    <n v="13"/>
    <n v="3"/>
    <n v="14"/>
    <n v="16"/>
    <s v="Consultancy"/>
    <n v="4500"/>
    <n v="3.6"/>
    <s v="45+"/>
    <s v="Excellent"/>
  </r>
  <r>
    <x v="729"/>
    <x v="164"/>
    <x v="1"/>
    <n v="27"/>
    <x v="10"/>
    <x v="7"/>
    <s v="Manager"/>
    <s v="Full-Time"/>
    <x v="1"/>
    <x v="642"/>
    <x v="0"/>
    <s v="Hybrid"/>
    <n v="77700"/>
    <n v="6"/>
    <n v="100"/>
    <n v="6"/>
    <n v="1"/>
    <n v="3"/>
    <n v="12"/>
    <n v="30"/>
    <s v="Naukri"/>
    <n v="6475"/>
    <n v="0.7"/>
    <s v="25-29"/>
    <s v="Good"/>
  </r>
  <r>
    <x v="730"/>
    <x v="180"/>
    <x v="0"/>
    <n v="31"/>
    <x v="6"/>
    <x v="0"/>
    <s v="Senior"/>
    <s v="Part-Time"/>
    <x v="5"/>
    <x v="643"/>
    <x v="0"/>
    <s v="Hybrid"/>
    <n v="70500"/>
    <n v="10"/>
    <n v="93"/>
    <n v="5"/>
    <n v="0"/>
    <n v="3"/>
    <n v="13"/>
    <n v="25"/>
    <s v="Naukri"/>
    <n v="5875"/>
    <n v="6.8"/>
    <s v="30-34"/>
    <s v="Good"/>
  </r>
  <r>
    <x v="731"/>
    <x v="39"/>
    <x v="0"/>
    <n v="35"/>
    <x v="6"/>
    <x v="2"/>
    <s v="Lead"/>
    <s v="Full-Time"/>
    <x v="1"/>
    <x v="644"/>
    <x v="0"/>
    <s v="Onsite"/>
    <n v="79100"/>
    <n v="12"/>
    <n v="87.4"/>
    <n v="3"/>
    <n v="1"/>
    <n v="0"/>
    <n v="16"/>
    <n v="10"/>
    <s v="Naukri"/>
    <n v="6592"/>
    <n v="4"/>
    <s v="35-39"/>
    <s v="Good"/>
  </r>
  <r>
    <x v="732"/>
    <x v="156"/>
    <x v="0"/>
    <n v="31"/>
    <x v="6"/>
    <x v="2"/>
    <s v="Senior"/>
    <s v="Full-Time"/>
    <x v="7"/>
    <x v="645"/>
    <x v="0"/>
    <s v="Onsite"/>
    <n v="62300"/>
    <n v="12"/>
    <n v="89.9"/>
    <n v="7"/>
    <n v="4"/>
    <n v="1"/>
    <n v="6"/>
    <n v="19"/>
    <s v="LinkedIn"/>
    <n v="5192"/>
    <n v="2.1"/>
    <s v="30-34"/>
    <s v="Excellent"/>
  </r>
  <r>
    <x v="733"/>
    <x v="95"/>
    <x v="0"/>
    <n v="41"/>
    <x v="4"/>
    <x v="4"/>
    <s v="Lead"/>
    <s v="Full-Time"/>
    <x v="5"/>
    <x v="646"/>
    <x v="0"/>
    <s v="Hybrid"/>
    <n v="95700"/>
    <n v="19"/>
    <n v="100"/>
    <n v="1"/>
    <n v="2"/>
    <n v="2"/>
    <n v="23"/>
    <n v="12"/>
    <s v="Consultancy"/>
    <n v="7975"/>
    <n v="3.5"/>
    <s v="40-44"/>
    <s v="Excellent"/>
  </r>
  <r>
    <x v="734"/>
    <x v="90"/>
    <x v="0"/>
    <n v="41"/>
    <x v="1"/>
    <x v="1"/>
    <s v="Manager"/>
    <s v="Full-Time"/>
    <x v="7"/>
    <x v="647"/>
    <x v="1"/>
    <s v="Hybrid"/>
    <n v="130500"/>
    <n v="22"/>
    <n v="87.4"/>
    <n v="7"/>
    <n v="12"/>
    <n v="1"/>
    <n v="20"/>
    <n v="13"/>
    <s v="Company Website"/>
    <n v="10875"/>
    <n v="8.1999999999999993"/>
    <s v="40-44"/>
    <s v="Good"/>
  </r>
  <r>
    <x v="735"/>
    <x v="80"/>
    <x v="1"/>
    <n v="46"/>
    <x v="14"/>
    <x v="4"/>
    <s v="Associate"/>
    <s v="Full-Time"/>
    <x v="4"/>
    <x v="96"/>
    <x v="0"/>
    <s v="Remote"/>
    <n v="39000"/>
    <n v="23"/>
    <n v="89.5"/>
    <n v="4"/>
    <n v="5"/>
    <n v="3"/>
    <n v="3"/>
    <n v="3"/>
    <s v="Campus Hiring"/>
    <n v="3250"/>
    <n v="7.6"/>
    <s v="45+"/>
    <s v="Good"/>
  </r>
  <r>
    <x v="736"/>
    <x v="34"/>
    <x v="0"/>
    <n v="22"/>
    <x v="0"/>
    <x v="5"/>
    <s v="Junior"/>
    <s v="Full-Time"/>
    <x v="7"/>
    <x v="648"/>
    <x v="0"/>
    <s v="Remote"/>
    <n v="47600"/>
    <n v="3"/>
    <n v="96"/>
    <n v="6"/>
    <n v="13"/>
    <n v="3"/>
    <n v="27"/>
    <n v="27"/>
    <s v="Company Website"/>
    <n v="3967"/>
    <n v="8"/>
    <s v="20-24"/>
    <s v="Excellent"/>
  </r>
  <r>
    <x v="737"/>
    <x v="231"/>
    <x v="0"/>
    <n v="37"/>
    <x v="7"/>
    <x v="0"/>
    <s v="Associate"/>
    <s v="Full-Time"/>
    <x v="1"/>
    <x v="649"/>
    <x v="0"/>
    <s v="Onsite"/>
    <n v="53900"/>
    <n v="14"/>
    <n v="86.6"/>
    <n v="2"/>
    <n v="3"/>
    <n v="0"/>
    <n v="8"/>
    <n v="10"/>
    <s v="Company Website"/>
    <n v="4492"/>
    <n v="0.1"/>
    <s v="35-39"/>
    <s v="Good"/>
  </r>
  <r>
    <x v="738"/>
    <x v="0"/>
    <x v="0"/>
    <n v="24"/>
    <x v="7"/>
    <x v="5"/>
    <s v="Senior"/>
    <s v="Contract"/>
    <x v="3"/>
    <x v="650"/>
    <x v="2"/>
    <s v="Hybrid"/>
    <n v="92300"/>
    <n v="3"/>
    <n v="96.1"/>
    <n v="6"/>
    <n v="1"/>
    <n v="0"/>
    <n v="18"/>
    <n v="18"/>
    <s v="Campus Hiring"/>
    <n v="7692"/>
    <n v="7.2"/>
    <s v="20-24"/>
    <s v="Excellent"/>
  </r>
  <r>
    <x v="739"/>
    <x v="173"/>
    <x v="0"/>
    <n v="33"/>
    <x v="5"/>
    <x v="2"/>
    <s v="Junior"/>
    <s v="Part-Time"/>
    <x v="1"/>
    <x v="651"/>
    <x v="0"/>
    <s v="Hybrid"/>
    <n v="34800"/>
    <n v="11"/>
    <n v="96.8"/>
    <n v="8"/>
    <n v="12"/>
    <n v="0"/>
    <n v="13"/>
    <n v="4"/>
    <s v="Naukri"/>
    <n v="2900"/>
    <n v="3.1"/>
    <s v="30-34"/>
    <s v="Good"/>
  </r>
  <r>
    <x v="740"/>
    <x v="29"/>
    <x v="0"/>
    <n v="44"/>
    <x v="11"/>
    <x v="2"/>
    <s v="Intern"/>
    <s v="Full-Time"/>
    <x v="7"/>
    <x v="652"/>
    <x v="0"/>
    <s v="Hybrid"/>
    <n v="24600"/>
    <n v="22"/>
    <n v="92.4"/>
    <n v="6"/>
    <n v="6"/>
    <n v="2"/>
    <n v="2"/>
    <n v="15"/>
    <s v="LinkedIn"/>
    <n v="2050"/>
    <n v="7.3"/>
    <s v="40-44"/>
    <s v="Good"/>
  </r>
  <r>
    <x v="741"/>
    <x v="136"/>
    <x v="1"/>
    <n v="39"/>
    <x v="9"/>
    <x v="3"/>
    <s v="Associate"/>
    <s v="Full-Time"/>
    <x v="3"/>
    <x v="653"/>
    <x v="0"/>
    <s v="Onsite"/>
    <n v="56200"/>
    <n v="18"/>
    <n v="99.3"/>
    <n v="0"/>
    <n v="11"/>
    <n v="4"/>
    <n v="28"/>
    <n v="4"/>
    <s v="Employee Referral"/>
    <n v="4683"/>
    <n v="3.4"/>
    <s v="35-39"/>
    <s v="Excellent"/>
  </r>
  <r>
    <x v="742"/>
    <x v="231"/>
    <x v="0"/>
    <n v="50"/>
    <x v="11"/>
    <x v="2"/>
    <s v="Manager"/>
    <s v="Full-Time"/>
    <x v="7"/>
    <x v="654"/>
    <x v="0"/>
    <s v="Hybrid"/>
    <n v="98300"/>
    <n v="26"/>
    <n v="90.2"/>
    <n v="8"/>
    <n v="10"/>
    <n v="4"/>
    <n v="3"/>
    <n v="7"/>
    <s v="Campus Hiring"/>
    <n v="8192"/>
    <n v="5.4"/>
    <s v="45+"/>
    <s v="Average"/>
  </r>
  <r>
    <x v="743"/>
    <x v="203"/>
    <x v="0"/>
    <n v="40"/>
    <x v="1"/>
    <x v="5"/>
    <s v="Senior"/>
    <s v="Full-Time"/>
    <x v="6"/>
    <x v="655"/>
    <x v="0"/>
    <s v="Remote"/>
    <n v="81200"/>
    <n v="19"/>
    <n v="95.7"/>
    <n v="6"/>
    <n v="5"/>
    <n v="2"/>
    <n v="22"/>
    <n v="12"/>
    <s v="Campus Hiring"/>
    <n v="6767"/>
    <n v="1.7"/>
    <s v="40-44"/>
    <s v="Good"/>
  </r>
  <r>
    <x v="744"/>
    <x v="113"/>
    <x v="0"/>
    <n v="35"/>
    <x v="4"/>
    <x v="3"/>
    <s v="Associate"/>
    <s v="Full-Time"/>
    <x v="3"/>
    <x v="656"/>
    <x v="2"/>
    <s v="Onsite"/>
    <n v="60100"/>
    <n v="15"/>
    <n v="79.2"/>
    <n v="1"/>
    <n v="7"/>
    <n v="2"/>
    <n v="1"/>
    <n v="24"/>
    <s v="Campus Hiring"/>
    <n v="5008"/>
    <n v="8"/>
    <s v="35-39"/>
    <s v="Good"/>
  </r>
  <r>
    <x v="745"/>
    <x v="188"/>
    <x v="0"/>
    <n v="41"/>
    <x v="10"/>
    <x v="3"/>
    <s v="Junior"/>
    <s v="Intern"/>
    <x v="2"/>
    <x v="657"/>
    <x v="2"/>
    <s v="Hybrid"/>
    <n v="41700"/>
    <n v="22"/>
    <n v="94.4"/>
    <n v="4"/>
    <n v="12"/>
    <n v="2"/>
    <n v="7"/>
    <n v="4"/>
    <s v="Consultancy"/>
    <n v="3475"/>
    <n v="8"/>
    <s v="40-44"/>
    <s v="Good"/>
  </r>
  <r>
    <x v="746"/>
    <x v="132"/>
    <x v="0"/>
    <n v="46"/>
    <x v="3"/>
    <x v="1"/>
    <s v="Associate"/>
    <s v="Full-Time"/>
    <x v="1"/>
    <x v="658"/>
    <x v="0"/>
    <s v="Onsite"/>
    <n v="47600"/>
    <n v="24"/>
    <n v="97.8"/>
    <n v="1"/>
    <n v="9"/>
    <n v="1"/>
    <n v="1"/>
    <n v="16"/>
    <s v="LinkedIn"/>
    <n v="3967"/>
    <n v="2.4"/>
    <s v="45+"/>
    <s v="Good"/>
  </r>
  <r>
    <x v="747"/>
    <x v="208"/>
    <x v="0"/>
    <n v="25"/>
    <x v="2"/>
    <x v="2"/>
    <s v="Junior"/>
    <s v="Full-Time"/>
    <x v="6"/>
    <x v="659"/>
    <x v="0"/>
    <s v="Onsite"/>
    <n v="33400"/>
    <n v="4"/>
    <n v="95"/>
    <n v="6"/>
    <n v="4"/>
    <n v="2"/>
    <n v="3"/>
    <n v="9"/>
    <s v="LinkedIn"/>
    <n v="2783"/>
    <n v="7.6"/>
    <s v="25-29"/>
    <s v="Average"/>
  </r>
  <r>
    <x v="748"/>
    <x v="167"/>
    <x v="0"/>
    <n v="35"/>
    <x v="10"/>
    <x v="3"/>
    <s v="Junior"/>
    <s v="Full-Time"/>
    <x v="2"/>
    <x v="660"/>
    <x v="1"/>
    <s v="Onsite"/>
    <n v="47700"/>
    <n v="12"/>
    <n v="89.1"/>
    <n v="8"/>
    <n v="2"/>
    <n v="1"/>
    <n v="1"/>
    <n v="3"/>
    <s v="Indeed"/>
    <n v="3975"/>
    <n v="1"/>
    <s v="35-39"/>
    <s v="Average"/>
  </r>
  <r>
    <x v="749"/>
    <x v="149"/>
    <x v="0"/>
    <n v="39"/>
    <x v="13"/>
    <x v="6"/>
    <s v="Lead"/>
    <s v="Full-Time"/>
    <x v="0"/>
    <x v="661"/>
    <x v="0"/>
    <s v="Onsite"/>
    <n v="90600"/>
    <n v="16"/>
    <n v="83.5"/>
    <n v="3"/>
    <n v="3"/>
    <n v="0"/>
    <n v="29"/>
    <n v="12"/>
    <s v="Employee Referral"/>
    <n v="7550"/>
    <n v="4.3"/>
    <s v="35-39"/>
    <s v="Good"/>
  </r>
  <r>
    <x v="750"/>
    <x v="13"/>
    <x v="0"/>
    <n v="33"/>
    <x v="3"/>
    <x v="3"/>
    <s v="Manager"/>
    <s v="Full-Time"/>
    <x v="2"/>
    <x v="662"/>
    <x v="0"/>
    <s v="Remote"/>
    <n v="139700"/>
    <n v="14"/>
    <n v="96.8"/>
    <n v="2"/>
    <n v="4"/>
    <n v="3"/>
    <n v="24"/>
    <n v="15"/>
    <s v="LinkedIn"/>
    <n v="11642"/>
    <n v="1.9"/>
    <s v="30-34"/>
    <s v="Average"/>
  </r>
  <r>
    <x v="751"/>
    <x v="92"/>
    <x v="1"/>
    <n v="39"/>
    <x v="10"/>
    <x v="5"/>
    <s v="Junior"/>
    <s v="Full-Time"/>
    <x v="2"/>
    <x v="663"/>
    <x v="0"/>
    <s v="Hybrid"/>
    <n v="51100"/>
    <n v="16"/>
    <n v="86.9"/>
    <n v="5"/>
    <n v="4"/>
    <n v="4"/>
    <n v="28"/>
    <n v="4"/>
    <s v="Employee Referral"/>
    <n v="4258"/>
    <n v="4.3"/>
    <s v="35-39"/>
    <s v="Good"/>
  </r>
  <r>
    <x v="752"/>
    <x v="100"/>
    <x v="0"/>
    <n v="43"/>
    <x v="4"/>
    <x v="5"/>
    <s v="Junior"/>
    <s v="Intern"/>
    <x v="0"/>
    <x v="664"/>
    <x v="0"/>
    <s v="Remote"/>
    <n v="51400"/>
    <n v="22"/>
    <n v="87.5"/>
    <n v="7"/>
    <n v="5"/>
    <n v="3"/>
    <n v="3"/>
    <n v="30"/>
    <s v="LinkedIn"/>
    <n v="4283"/>
    <n v="1.4"/>
    <s v="40-44"/>
    <s v="Average"/>
  </r>
  <r>
    <x v="753"/>
    <x v="43"/>
    <x v="1"/>
    <n v="24"/>
    <x v="4"/>
    <x v="1"/>
    <s v="Associate"/>
    <s v="Full-Time"/>
    <x v="6"/>
    <x v="665"/>
    <x v="0"/>
    <s v="Remote"/>
    <n v="44500"/>
    <n v="0"/>
    <n v="89.7"/>
    <n v="7"/>
    <n v="8"/>
    <n v="4"/>
    <n v="20"/>
    <n v="11"/>
    <s v="Employee Referral"/>
    <n v="3708"/>
    <n v="8"/>
    <s v="20-24"/>
    <s v="Good"/>
  </r>
  <r>
    <x v="754"/>
    <x v="44"/>
    <x v="1"/>
    <n v="33"/>
    <x v="1"/>
    <x v="2"/>
    <s v="Associate"/>
    <s v="Full-Time"/>
    <x v="1"/>
    <x v="12"/>
    <x v="0"/>
    <s v="Onsite"/>
    <n v="44800"/>
    <n v="13"/>
    <n v="94.4"/>
    <n v="7"/>
    <n v="3"/>
    <n v="0"/>
    <n v="8"/>
    <n v="19"/>
    <s v="Campus Hiring"/>
    <n v="3733"/>
    <n v="2"/>
    <s v="30-34"/>
    <s v="Average"/>
  </r>
  <r>
    <x v="755"/>
    <x v="69"/>
    <x v="0"/>
    <n v="49"/>
    <x v="6"/>
    <x v="7"/>
    <s v="Junior"/>
    <s v="Full-Time"/>
    <x v="7"/>
    <x v="42"/>
    <x v="0"/>
    <s v="Hybrid"/>
    <n v="28300"/>
    <n v="26"/>
    <n v="97.1"/>
    <n v="4"/>
    <n v="6"/>
    <n v="4"/>
    <n v="1"/>
    <n v="19"/>
    <s v="Employee Referral"/>
    <n v="2358"/>
    <n v="0.4"/>
    <s v="45+"/>
    <s v="Average"/>
  </r>
  <r>
    <x v="756"/>
    <x v="176"/>
    <x v="1"/>
    <n v="30"/>
    <x v="13"/>
    <x v="3"/>
    <s v="Associate"/>
    <s v="Full-Time"/>
    <x v="1"/>
    <x v="467"/>
    <x v="0"/>
    <s v="Onsite"/>
    <n v="54300"/>
    <n v="9"/>
    <n v="100"/>
    <n v="5"/>
    <n v="6"/>
    <n v="0"/>
    <n v="19"/>
    <n v="13"/>
    <s v="Employee Referral"/>
    <n v="4525"/>
    <n v="8.3000000000000007"/>
    <s v="30-34"/>
    <s v="Good"/>
  </r>
  <r>
    <x v="757"/>
    <x v="72"/>
    <x v="0"/>
    <n v="40"/>
    <x v="3"/>
    <x v="4"/>
    <s v="Junior"/>
    <s v="Full-Time"/>
    <x v="5"/>
    <x v="666"/>
    <x v="0"/>
    <s v="Onsite"/>
    <n v="30200"/>
    <n v="16"/>
    <n v="91.8"/>
    <n v="1"/>
    <n v="15"/>
    <n v="3"/>
    <n v="21"/>
    <n v="28"/>
    <s v="Indeed"/>
    <n v="2517"/>
    <n v="3.9"/>
    <s v="40-44"/>
    <s v="Average"/>
  </r>
  <r>
    <x v="758"/>
    <x v="102"/>
    <x v="1"/>
    <n v="28"/>
    <x v="1"/>
    <x v="5"/>
    <s v="Senior"/>
    <s v="Full-Time"/>
    <x v="5"/>
    <x v="667"/>
    <x v="0"/>
    <s v="Onsite"/>
    <n v="94100"/>
    <n v="6"/>
    <n v="92.7"/>
    <n v="5"/>
    <n v="15"/>
    <n v="1"/>
    <n v="16"/>
    <n v="23"/>
    <s v="Company Website"/>
    <n v="7842"/>
    <n v="0.7"/>
    <s v="25-29"/>
    <s v="Good"/>
  </r>
  <r>
    <x v="759"/>
    <x v="115"/>
    <x v="1"/>
    <n v="39"/>
    <x v="4"/>
    <x v="7"/>
    <s v="Senior"/>
    <s v="Full-Time"/>
    <x v="7"/>
    <x v="430"/>
    <x v="1"/>
    <s v="Hybrid"/>
    <n v="47600"/>
    <n v="17"/>
    <n v="93.5"/>
    <n v="4"/>
    <n v="14"/>
    <n v="4"/>
    <n v="0"/>
    <n v="20"/>
    <s v="LinkedIn"/>
    <n v="3967"/>
    <n v="6.3"/>
    <s v="35-39"/>
    <s v="Average"/>
  </r>
  <r>
    <x v="760"/>
    <x v="232"/>
    <x v="0"/>
    <n v="26"/>
    <x v="10"/>
    <x v="2"/>
    <s v="Senior"/>
    <s v="Full-Time"/>
    <x v="6"/>
    <x v="668"/>
    <x v="0"/>
    <s v="Onsite"/>
    <n v="62000"/>
    <n v="7"/>
    <n v="88.8"/>
    <n v="2"/>
    <n v="5"/>
    <n v="2"/>
    <n v="22"/>
    <n v="20"/>
    <s v="Indeed"/>
    <n v="5167"/>
    <n v="0.6"/>
    <s v="25-29"/>
    <s v="Average"/>
  </r>
  <r>
    <x v="761"/>
    <x v="183"/>
    <x v="1"/>
    <n v="50"/>
    <x v="11"/>
    <x v="5"/>
    <s v="Associate"/>
    <s v="Full-Time"/>
    <x v="0"/>
    <x v="234"/>
    <x v="0"/>
    <s v="Remote"/>
    <n v="64400"/>
    <n v="30"/>
    <n v="94.7"/>
    <n v="7"/>
    <n v="0"/>
    <n v="1"/>
    <n v="5"/>
    <n v="10"/>
    <s v="LinkedIn"/>
    <n v="5367"/>
    <n v="4"/>
    <s v="45+"/>
    <s v="Average"/>
  </r>
  <r>
    <x v="762"/>
    <x v="157"/>
    <x v="0"/>
    <n v="24"/>
    <x v="9"/>
    <x v="6"/>
    <s v="Lead"/>
    <s v="Full-Time"/>
    <x v="3"/>
    <x v="669"/>
    <x v="0"/>
    <s v="Onsite"/>
    <n v="101700"/>
    <n v="3"/>
    <n v="88.3"/>
    <n v="3"/>
    <n v="8"/>
    <n v="1"/>
    <n v="28"/>
    <n v="2"/>
    <s v="LinkedIn"/>
    <n v="8475"/>
    <n v="5.3"/>
    <s v="20-24"/>
    <s v="Excellent"/>
  </r>
  <r>
    <x v="763"/>
    <x v="10"/>
    <x v="1"/>
    <n v="50"/>
    <x v="14"/>
    <x v="7"/>
    <s v="Manager"/>
    <s v="Full-Time"/>
    <x v="0"/>
    <x v="670"/>
    <x v="0"/>
    <s v="Onsite"/>
    <n v="95400"/>
    <n v="29"/>
    <n v="96.8"/>
    <n v="1"/>
    <n v="5"/>
    <n v="0"/>
    <n v="15"/>
    <n v="26"/>
    <s v="Naukri"/>
    <n v="7950"/>
    <n v="4.5999999999999996"/>
    <s v="45+"/>
    <s v="Good"/>
  </r>
  <r>
    <x v="764"/>
    <x v="162"/>
    <x v="0"/>
    <n v="48"/>
    <x v="9"/>
    <x v="7"/>
    <s v="Junior"/>
    <s v="Full-Time"/>
    <x v="1"/>
    <x v="84"/>
    <x v="0"/>
    <s v="Hybrid"/>
    <n v="29600"/>
    <n v="25"/>
    <n v="86.4"/>
    <n v="2"/>
    <n v="2"/>
    <n v="3"/>
    <n v="3"/>
    <n v="13"/>
    <s v="Consultancy"/>
    <n v="2467"/>
    <n v="3.8"/>
    <s v="45+"/>
    <s v="Average"/>
  </r>
  <r>
    <x v="765"/>
    <x v="191"/>
    <x v="0"/>
    <n v="34"/>
    <x v="14"/>
    <x v="6"/>
    <s v="Junior"/>
    <s v="Full-Time"/>
    <x v="6"/>
    <x v="671"/>
    <x v="0"/>
    <s v="Remote"/>
    <n v="30600"/>
    <n v="10"/>
    <n v="95.7"/>
    <n v="1"/>
    <n v="10"/>
    <n v="2"/>
    <n v="4"/>
    <n v="28"/>
    <s v="Campus Hiring"/>
    <n v="2550"/>
    <n v="6"/>
    <s v="30-34"/>
    <s v="Average"/>
  </r>
  <r>
    <x v="766"/>
    <x v="201"/>
    <x v="1"/>
    <n v="44"/>
    <x v="4"/>
    <x v="4"/>
    <s v="Associate"/>
    <s v="Full-Time"/>
    <x v="3"/>
    <x v="672"/>
    <x v="0"/>
    <s v="Hybrid"/>
    <n v="41500"/>
    <n v="24"/>
    <n v="95.8"/>
    <n v="1"/>
    <n v="1"/>
    <n v="3"/>
    <n v="4"/>
    <n v="3"/>
    <s v="Naukri"/>
    <n v="3458"/>
    <n v="1.9"/>
    <s v="40-44"/>
    <s v="Excellent"/>
  </r>
  <r>
    <x v="767"/>
    <x v="8"/>
    <x v="0"/>
    <n v="32"/>
    <x v="7"/>
    <x v="3"/>
    <s v="Junior"/>
    <s v="Full-Time"/>
    <x v="4"/>
    <x v="673"/>
    <x v="0"/>
    <s v="Onsite"/>
    <n v="47700"/>
    <n v="8"/>
    <n v="83.5"/>
    <n v="2"/>
    <n v="13"/>
    <n v="3"/>
    <n v="8"/>
    <n v="3"/>
    <s v="Indeed"/>
    <n v="3975"/>
    <n v="0.6"/>
    <s v="30-34"/>
    <s v="Good"/>
  </r>
  <r>
    <x v="768"/>
    <x v="126"/>
    <x v="0"/>
    <n v="31"/>
    <x v="0"/>
    <x v="2"/>
    <s v="Associate"/>
    <s v="Full-Time"/>
    <x v="0"/>
    <x v="674"/>
    <x v="0"/>
    <s v="Onsite"/>
    <n v="48300"/>
    <n v="11"/>
    <n v="93"/>
    <n v="6"/>
    <n v="11"/>
    <n v="1"/>
    <n v="4"/>
    <n v="6"/>
    <s v="LinkedIn"/>
    <n v="4025"/>
    <n v="7"/>
    <s v="30-34"/>
    <s v="Good"/>
  </r>
  <r>
    <x v="769"/>
    <x v="106"/>
    <x v="1"/>
    <n v="43"/>
    <x v="14"/>
    <x v="1"/>
    <s v="Senior"/>
    <s v="Full-Time"/>
    <x v="1"/>
    <x v="14"/>
    <x v="0"/>
    <s v="Remote"/>
    <n v="66700"/>
    <n v="22"/>
    <n v="99.1"/>
    <n v="0"/>
    <n v="11"/>
    <n v="2"/>
    <n v="1"/>
    <n v="23"/>
    <s v="Indeed"/>
    <n v="5558"/>
    <n v="1.8"/>
    <s v="40-44"/>
    <s v="Good"/>
  </r>
  <r>
    <x v="770"/>
    <x v="46"/>
    <x v="1"/>
    <n v="34"/>
    <x v="7"/>
    <x v="0"/>
    <s v="Associate"/>
    <s v="Full-Time"/>
    <x v="3"/>
    <x v="675"/>
    <x v="0"/>
    <s v="Onsite"/>
    <n v="47700"/>
    <n v="13"/>
    <n v="92.5"/>
    <n v="5"/>
    <n v="2"/>
    <n v="4"/>
    <n v="6"/>
    <n v="25"/>
    <s v="Company Website"/>
    <n v="3975"/>
    <n v="8.3000000000000007"/>
    <s v="30-34"/>
    <s v="Good"/>
  </r>
  <r>
    <x v="771"/>
    <x v="114"/>
    <x v="0"/>
    <n v="43"/>
    <x v="7"/>
    <x v="7"/>
    <s v="Associate"/>
    <s v="Full-Time"/>
    <x v="6"/>
    <x v="676"/>
    <x v="0"/>
    <s v="Onsite"/>
    <n v="33900"/>
    <n v="23"/>
    <n v="91.7"/>
    <n v="0"/>
    <n v="10"/>
    <n v="2"/>
    <n v="30"/>
    <n v="2"/>
    <s v="Company Website"/>
    <n v="2825"/>
    <n v="7.6"/>
    <s v="40-44"/>
    <s v="Good"/>
  </r>
  <r>
    <x v="772"/>
    <x v="107"/>
    <x v="0"/>
    <n v="45"/>
    <x v="5"/>
    <x v="0"/>
    <s v="Associate"/>
    <s v="Contract"/>
    <x v="5"/>
    <x v="677"/>
    <x v="0"/>
    <s v="Onsite"/>
    <n v="51600"/>
    <n v="21"/>
    <n v="88.9"/>
    <n v="2"/>
    <n v="0"/>
    <n v="0"/>
    <n v="14"/>
    <n v="13"/>
    <s v="Consultancy"/>
    <n v="4300"/>
    <n v="5.5"/>
    <s v="45+"/>
    <s v="Average"/>
  </r>
  <r>
    <x v="773"/>
    <x v="233"/>
    <x v="1"/>
    <n v="45"/>
    <x v="6"/>
    <x v="5"/>
    <s v="Manager"/>
    <s v="Full-Time"/>
    <x v="1"/>
    <x v="678"/>
    <x v="1"/>
    <s v="Hybrid"/>
    <n v="138800"/>
    <n v="26"/>
    <n v="93.9"/>
    <n v="3"/>
    <n v="2"/>
    <n v="1"/>
    <n v="25"/>
    <n v="6"/>
    <s v="Naukri"/>
    <n v="11567"/>
    <n v="1.3"/>
    <s v="45+"/>
    <s v="Average"/>
  </r>
  <r>
    <x v="774"/>
    <x v="76"/>
    <x v="0"/>
    <n v="38"/>
    <x v="14"/>
    <x v="6"/>
    <s v="Junior"/>
    <s v="Part-Time"/>
    <x v="0"/>
    <x v="679"/>
    <x v="0"/>
    <s v="Hybrid"/>
    <n v="40900"/>
    <n v="16"/>
    <n v="89.6"/>
    <n v="7"/>
    <n v="14"/>
    <n v="2"/>
    <n v="24"/>
    <n v="29"/>
    <s v="Naukri"/>
    <n v="3408"/>
    <n v="3.3"/>
    <s v="35-39"/>
    <s v="Good"/>
  </r>
  <r>
    <x v="775"/>
    <x v="207"/>
    <x v="0"/>
    <n v="44"/>
    <x v="13"/>
    <x v="0"/>
    <s v="Senior"/>
    <s v="Contract"/>
    <x v="2"/>
    <x v="142"/>
    <x v="0"/>
    <s v="Onsite"/>
    <n v="66800"/>
    <n v="22"/>
    <n v="93.8"/>
    <n v="1"/>
    <n v="4"/>
    <n v="0"/>
    <n v="22"/>
    <n v="27"/>
    <s v="Indeed"/>
    <n v="5567"/>
    <n v="2.6"/>
    <s v="40-44"/>
    <s v="Average"/>
  </r>
  <r>
    <x v="776"/>
    <x v="56"/>
    <x v="1"/>
    <n v="43"/>
    <x v="3"/>
    <x v="2"/>
    <s v="Intern"/>
    <s v="Intern"/>
    <x v="6"/>
    <x v="680"/>
    <x v="0"/>
    <s v="Onsite"/>
    <n v="24900"/>
    <n v="20"/>
    <n v="95.2"/>
    <n v="6"/>
    <n v="3"/>
    <n v="4"/>
    <n v="7"/>
    <n v="15"/>
    <s v="Consultancy"/>
    <n v="2075"/>
    <n v="3.4"/>
    <s v="40-44"/>
    <s v="Good"/>
  </r>
  <r>
    <x v="777"/>
    <x v="113"/>
    <x v="1"/>
    <n v="38"/>
    <x v="9"/>
    <x v="5"/>
    <s v="Junior"/>
    <s v="Full-Time"/>
    <x v="6"/>
    <x v="681"/>
    <x v="0"/>
    <s v="Hybrid"/>
    <n v="51300"/>
    <n v="15"/>
    <n v="92.8"/>
    <n v="2"/>
    <n v="9"/>
    <n v="3"/>
    <n v="28"/>
    <n v="9"/>
    <s v="Company Website"/>
    <n v="4275"/>
    <n v="2.6"/>
    <s v="35-39"/>
    <s v="Good"/>
  </r>
  <r>
    <x v="778"/>
    <x v="182"/>
    <x v="1"/>
    <n v="29"/>
    <x v="3"/>
    <x v="2"/>
    <s v="Senior"/>
    <s v="Full-Time"/>
    <x v="2"/>
    <x v="682"/>
    <x v="0"/>
    <s v="Onsite"/>
    <n v="67400"/>
    <n v="10"/>
    <n v="97"/>
    <n v="0"/>
    <n v="0"/>
    <n v="3"/>
    <n v="30"/>
    <n v="12"/>
    <s v="Campus Hiring"/>
    <n v="5617"/>
    <n v="6.3"/>
    <s v="25-29"/>
    <s v="Average"/>
  </r>
  <r>
    <x v="779"/>
    <x v="106"/>
    <x v="1"/>
    <n v="36"/>
    <x v="0"/>
    <x v="0"/>
    <s v="Junior"/>
    <s v="Full-Time"/>
    <x v="0"/>
    <x v="683"/>
    <x v="0"/>
    <s v="Hybrid"/>
    <n v="39800"/>
    <n v="12"/>
    <n v="93.4"/>
    <n v="5"/>
    <n v="4"/>
    <n v="0"/>
    <n v="25"/>
    <n v="19"/>
    <s v="Consultancy"/>
    <n v="3317"/>
    <n v="2.2999999999999998"/>
    <s v="35-39"/>
    <s v="Good"/>
  </r>
  <r>
    <x v="780"/>
    <x v="228"/>
    <x v="0"/>
    <n v="35"/>
    <x v="14"/>
    <x v="5"/>
    <s v="Intern"/>
    <s v="Full-Time"/>
    <x v="6"/>
    <x v="18"/>
    <x v="0"/>
    <s v="Onsite"/>
    <n v="31300"/>
    <n v="16"/>
    <n v="89.6"/>
    <n v="1"/>
    <n v="2"/>
    <n v="1"/>
    <n v="2"/>
    <n v="11"/>
    <s v="Company Website"/>
    <n v="2608"/>
    <n v="2.8"/>
    <s v="35-39"/>
    <s v="Good"/>
  </r>
  <r>
    <x v="781"/>
    <x v="69"/>
    <x v="1"/>
    <n v="24"/>
    <x v="11"/>
    <x v="5"/>
    <s v="Junior"/>
    <s v="Full-Time"/>
    <x v="4"/>
    <x v="684"/>
    <x v="0"/>
    <s v="Onsite"/>
    <n v="41900"/>
    <n v="3"/>
    <n v="82.3"/>
    <n v="2"/>
    <n v="9"/>
    <n v="3"/>
    <n v="10"/>
    <n v="10"/>
    <s v="Indeed"/>
    <n v="3492"/>
    <n v="2.9"/>
    <s v="20-24"/>
    <s v="Good"/>
  </r>
  <r>
    <x v="782"/>
    <x v="163"/>
    <x v="1"/>
    <n v="48"/>
    <x v="5"/>
    <x v="3"/>
    <s v="Senior"/>
    <s v="Intern"/>
    <x v="7"/>
    <x v="416"/>
    <x v="0"/>
    <s v="Hybrid"/>
    <n v="86500"/>
    <n v="24"/>
    <n v="89.1"/>
    <n v="5"/>
    <n v="10"/>
    <n v="1"/>
    <n v="28"/>
    <n v="16"/>
    <s v="Company Website"/>
    <n v="7208"/>
    <n v="6.1"/>
    <s v="45+"/>
    <s v="Average"/>
  </r>
  <r>
    <x v="783"/>
    <x v="45"/>
    <x v="1"/>
    <n v="23"/>
    <x v="11"/>
    <x v="3"/>
    <s v="Senior"/>
    <s v="Full-Time"/>
    <x v="1"/>
    <x v="685"/>
    <x v="0"/>
    <s v="Onsite"/>
    <n v="91600"/>
    <n v="3"/>
    <n v="90.6"/>
    <n v="2"/>
    <n v="13"/>
    <n v="1"/>
    <n v="24"/>
    <n v="11"/>
    <s v="Naukri"/>
    <n v="7633"/>
    <n v="8.1"/>
    <s v="20-24"/>
    <s v="Good"/>
  </r>
  <r>
    <x v="784"/>
    <x v="94"/>
    <x v="0"/>
    <n v="43"/>
    <x v="5"/>
    <x v="0"/>
    <s v="Junior"/>
    <s v="Full-Time"/>
    <x v="4"/>
    <x v="109"/>
    <x v="0"/>
    <s v="Onsite"/>
    <n v="38600"/>
    <n v="21"/>
    <n v="94.2"/>
    <n v="4"/>
    <n v="12"/>
    <n v="3"/>
    <n v="22"/>
    <n v="5"/>
    <s v="Indeed"/>
    <n v="3217"/>
    <n v="1"/>
    <s v="40-44"/>
    <s v="Excellent"/>
  </r>
  <r>
    <x v="785"/>
    <x v="154"/>
    <x v="0"/>
    <n v="41"/>
    <x v="6"/>
    <x v="7"/>
    <s v="Senior"/>
    <s v="Full-Time"/>
    <x v="0"/>
    <x v="590"/>
    <x v="0"/>
    <s v="Onsite"/>
    <n v="53700"/>
    <n v="18"/>
    <n v="82"/>
    <n v="2"/>
    <n v="13"/>
    <n v="4"/>
    <n v="9"/>
    <n v="12"/>
    <s v="Employee Referral"/>
    <n v="4475"/>
    <n v="5.6"/>
    <s v="40-44"/>
    <s v="Good"/>
  </r>
  <r>
    <x v="786"/>
    <x v="38"/>
    <x v="0"/>
    <n v="29"/>
    <x v="9"/>
    <x v="2"/>
    <s v="Junior"/>
    <s v="Full-Time"/>
    <x v="2"/>
    <x v="388"/>
    <x v="0"/>
    <s v="Hybrid"/>
    <n v="33100"/>
    <n v="5"/>
    <n v="82.5"/>
    <n v="6"/>
    <n v="6"/>
    <n v="2"/>
    <n v="3"/>
    <n v="24"/>
    <s v="Consultancy"/>
    <n v="2758"/>
    <n v="5.6"/>
    <s v="25-29"/>
    <s v="Excellent"/>
  </r>
  <r>
    <x v="787"/>
    <x v="31"/>
    <x v="0"/>
    <n v="40"/>
    <x v="0"/>
    <x v="3"/>
    <s v="Senior"/>
    <s v="Full-Time"/>
    <x v="1"/>
    <x v="686"/>
    <x v="0"/>
    <s v="Hybrid"/>
    <n v="89600"/>
    <n v="16"/>
    <n v="81.900000000000006"/>
    <n v="6"/>
    <n v="13"/>
    <n v="3"/>
    <n v="11"/>
    <n v="18"/>
    <s v="Employee Referral"/>
    <n v="7467"/>
    <n v="0.3"/>
    <s v="40-44"/>
    <s v="Good"/>
  </r>
  <r>
    <x v="788"/>
    <x v="64"/>
    <x v="1"/>
    <n v="44"/>
    <x v="6"/>
    <x v="4"/>
    <s v="Associate"/>
    <s v="Full-Time"/>
    <x v="6"/>
    <x v="687"/>
    <x v="0"/>
    <s v="Hybrid"/>
    <n v="45600"/>
    <n v="24"/>
    <n v="91"/>
    <n v="0"/>
    <n v="9"/>
    <n v="2"/>
    <n v="25"/>
    <n v="30"/>
    <s v="Consultancy"/>
    <n v="3800"/>
    <n v="6"/>
    <s v="40-44"/>
    <s v="Good"/>
  </r>
  <r>
    <x v="789"/>
    <x v="159"/>
    <x v="0"/>
    <n v="25"/>
    <x v="8"/>
    <x v="2"/>
    <s v="Senior"/>
    <s v="Full-Time"/>
    <x v="4"/>
    <x v="688"/>
    <x v="2"/>
    <s v="Hybrid"/>
    <n v="67700"/>
    <n v="4"/>
    <n v="84.8"/>
    <n v="5"/>
    <n v="13"/>
    <n v="1"/>
    <n v="12"/>
    <n v="19"/>
    <s v="Campus Hiring"/>
    <n v="5642"/>
    <n v="1.5"/>
    <s v="25-29"/>
    <s v="Excellent"/>
  </r>
  <r>
    <x v="790"/>
    <x v="213"/>
    <x v="0"/>
    <n v="49"/>
    <x v="2"/>
    <x v="5"/>
    <s v="Manager"/>
    <s v="Full-Time"/>
    <x v="6"/>
    <x v="486"/>
    <x v="1"/>
    <s v="Hybrid"/>
    <n v="157100"/>
    <n v="28"/>
    <n v="93.6"/>
    <n v="2"/>
    <n v="10"/>
    <n v="4"/>
    <n v="6"/>
    <n v="18"/>
    <s v="Employee Referral"/>
    <n v="13092"/>
    <n v="2"/>
    <s v="45+"/>
    <s v="Good"/>
  </r>
  <r>
    <x v="791"/>
    <x v="4"/>
    <x v="0"/>
    <n v="48"/>
    <x v="5"/>
    <x v="1"/>
    <s v="Manager"/>
    <s v="Contract"/>
    <x v="7"/>
    <x v="689"/>
    <x v="0"/>
    <s v="Hybrid"/>
    <n v="128900"/>
    <n v="26"/>
    <n v="89.4"/>
    <n v="6"/>
    <n v="12"/>
    <n v="1"/>
    <n v="18"/>
    <n v="25"/>
    <s v="Company Website"/>
    <n v="10742"/>
    <n v="1.9"/>
    <s v="45+"/>
    <s v="Average"/>
  </r>
  <r>
    <x v="792"/>
    <x v="135"/>
    <x v="0"/>
    <n v="30"/>
    <x v="3"/>
    <x v="3"/>
    <s v="Intern"/>
    <s v="Contract"/>
    <x v="2"/>
    <x v="690"/>
    <x v="0"/>
    <s v="Hybrid"/>
    <n v="29500"/>
    <n v="11"/>
    <n v="83.6"/>
    <n v="0"/>
    <n v="7"/>
    <n v="4"/>
    <n v="26"/>
    <n v="2"/>
    <s v="Naukri"/>
    <n v="2458"/>
    <n v="6"/>
    <s v="30-34"/>
    <s v="Good"/>
  </r>
  <r>
    <x v="793"/>
    <x v="178"/>
    <x v="0"/>
    <n v="30"/>
    <x v="3"/>
    <x v="6"/>
    <s v="Lead"/>
    <s v="Full-Time"/>
    <x v="5"/>
    <x v="691"/>
    <x v="0"/>
    <s v="Onsite"/>
    <n v="100700"/>
    <n v="11"/>
    <n v="96.5"/>
    <n v="2"/>
    <n v="4"/>
    <n v="0"/>
    <n v="15"/>
    <n v="26"/>
    <s v="Consultancy"/>
    <n v="8392"/>
    <n v="7.9"/>
    <s v="30-34"/>
    <s v="Excellent"/>
  </r>
  <r>
    <x v="794"/>
    <x v="75"/>
    <x v="1"/>
    <n v="46"/>
    <x v="11"/>
    <x v="0"/>
    <s v="Junior"/>
    <s v="Contract"/>
    <x v="5"/>
    <x v="692"/>
    <x v="0"/>
    <s v="Onsite"/>
    <n v="38100"/>
    <n v="23"/>
    <n v="91.3"/>
    <n v="1"/>
    <n v="9"/>
    <n v="4"/>
    <n v="9"/>
    <n v="13"/>
    <s v="Naukri"/>
    <n v="3175"/>
    <n v="5.2"/>
    <s v="45+"/>
    <s v="Average"/>
  </r>
  <r>
    <x v="795"/>
    <x v="28"/>
    <x v="0"/>
    <n v="35"/>
    <x v="14"/>
    <x v="5"/>
    <s v="Manager"/>
    <s v="Full-Time"/>
    <x v="3"/>
    <x v="693"/>
    <x v="0"/>
    <s v="Hybrid"/>
    <n v="162300"/>
    <n v="14"/>
    <n v="96.8"/>
    <n v="7"/>
    <n v="7"/>
    <n v="4"/>
    <n v="29"/>
    <n v="24"/>
    <s v="Company Website"/>
    <n v="13525"/>
    <n v="2.8"/>
    <s v="35-39"/>
    <s v="Good"/>
  </r>
  <r>
    <x v="796"/>
    <x v="122"/>
    <x v="1"/>
    <n v="33"/>
    <x v="14"/>
    <x v="2"/>
    <s v="Associate"/>
    <s v="Full-Time"/>
    <x v="5"/>
    <x v="694"/>
    <x v="0"/>
    <s v="Hybrid"/>
    <n v="48900"/>
    <n v="12"/>
    <n v="91.6"/>
    <n v="7"/>
    <n v="5"/>
    <n v="1"/>
    <n v="6"/>
    <n v="16"/>
    <s v="Naukri"/>
    <n v="4075"/>
    <n v="6.8"/>
    <s v="30-34"/>
    <s v="Good"/>
  </r>
  <r>
    <x v="797"/>
    <x v="75"/>
    <x v="0"/>
    <n v="46"/>
    <x v="4"/>
    <x v="2"/>
    <s v="Associate"/>
    <s v="Full-Time"/>
    <x v="7"/>
    <x v="587"/>
    <x v="0"/>
    <s v="Hybrid"/>
    <n v="40400"/>
    <n v="25"/>
    <n v="99.1"/>
    <n v="8"/>
    <n v="5"/>
    <n v="3"/>
    <n v="2"/>
    <n v="22"/>
    <s v="Consultancy"/>
    <n v="3367"/>
    <n v="2.2000000000000002"/>
    <s v="45+"/>
    <s v="Average"/>
  </r>
  <r>
    <x v="798"/>
    <x v="154"/>
    <x v="1"/>
    <n v="38"/>
    <x v="8"/>
    <x v="4"/>
    <s v="Junior"/>
    <s v="Full-Time"/>
    <x v="5"/>
    <x v="658"/>
    <x v="0"/>
    <s v="Hybrid"/>
    <n v="37200"/>
    <n v="19"/>
    <n v="94.6"/>
    <n v="8"/>
    <n v="4"/>
    <n v="3"/>
    <n v="1"/>
    <n v="18"/>
    <s v="Consultancy"/>
    <n v="3100"/>
    <n v="2.4"/>
    <s v="35-39"/>
    <s v="Good"/>
  </r>
  <r>
    <x v="799"/>
    <x v="167"/>
    <x v="1"/>
    <n v="41"/>
    <x v="5"/>
    <x v="3"/>
    <s v="Junior"/>
    <s v="Full-Time"/>
    <x v="5"/>
    <x v="695"/>
    <x v="0"/>
    <s v="Onsite"/>
    <n v="37400"/>
    <n v="17"/>
    <n v="84.6"/>
    <n v="1"/>
    <n v="10"/>
    <n v="2"/>
    <n v="0"/>
    <n v="21"/>
    <s v="Indeed"/>
    <n v="3117"/>
    <n v="7.5"/>
    <s v="40-44"/>
    <s v="Averag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x v="0"/>
    <x v="0"/>
    <n v="30"/>
    <x v="0"/>
    <x v="0"/>
    <x v="0"/>
    <x v="0"/>
    <x v="0"/>
    <x v="0"/>
    <s v="Active"/>
    <x v="0"/>
    <n v="91200"/>
    <x v="0"/>
    <n v="93.9"/>
    <n v="0"/>
    <x v="0"/>
    <n v="1"/>
    <n v="12"/>
    <n v="28"/>
    <x v="0"/>
    <n v="7600"/>
    <n v="6.6"/>
    <s v="30-34"/>
    <x v="0"/>
  </r>
  <r>
    <x v="1"/>
    <x v="1"/>
    <x v="0"/>
    <n v="30"/>
    <x v="1"/>
    <x v="1"/>
    <x v="1"/>
    <x v="0"/>
    <x v="1"/>
    <x v="1"/>
    <s v="Active"/>
    <x v="0"/>
    <n v="33800"/>
    <x v="1"/>
    <n v="92.1"/>
    <n v="5"/>
    <x v="1"/>
    <n v="1"/>
    <n v="14"/>
    <n v="28"/>
    <x v="1"/>
    <n v="2817"/>
    <n v="5.3"/>
    <s v="30-34"/>
    <x v="1"/>
  </r>
  <r>
    <x v="2"/>
    <x v="2"/>
    <x v="0"/>
    <n v="22"/>
    <x v="2"/>
    <x v="1"/>
    <x v="2"/>
    <x v="0"/>
    <x v="2"/>
    <x v="2"/>
    <s v="Active"/>
    <x v="0"/>
    <n v="61600"/>
    <x v="2"/>
    <n v="82.4"/>
    <n v="1"/>
    <x v="2"/>
    <n v="2"/>
    <n v="20"/>
    <n v="30"/>
    <x v="0"/>
    <n v="5133"/>
    <n v="7.1"/>
    <s v="20-24"/>
    <x v="1"/>
  </r>
  <r>
    <x v="3"/>
    <x v="3"/>
    <x v="0"/>
    <n v="47"/>
    <x v="3"/>
    <x v="2"/>
    <x v="1"/>
    <x v="0"/>
    <x v="1"/>
    <x v="3"/>
    <s v="Active"/>
    <x v="1"/>
    <n v="29300"/>
    <x v="3"/>
    <n v="95.6"/>
    <n v="1"/>
    <x v="3"/>
    <n v="4"/>
    <n v="9"/>
    <n v="3"/>
    <x v="0"/>
    <n v="2442"/>
    <n v="1.1000000000000001"/>
    <s v="45+"/>
    <x v="2"/>
  </r>
  <r>
    <x v="4"/>
    <x v="4"/>
    <x v="1"/>
    <n v="42"/>
    <x v="4"/>
    <x v="3"/>
    <x v="1"/>
    <x v="0"/>
    <x v="2"/>
    <x v="4"/>
    <s v="Resigned"/>
    <x v="0"/>
    <n v="43500"/>
    <x v="4"/>
    <n v="87.7"/>
    <n v="0"/>
    <x v="4"/>
    <n v="4"/>
    <n v="2"/>
    <n v="21"/>
    <x v="0"/>
    <n v="3625"/>
    <n v="0.6"/>
    <s v="40-44"/>
    <x v="2"/>
  </r>
  <r>
    <x v="5"/>
    <x v="5"/>
    <x v="1"/>
    <n v="20"/>
    <x v="5"/>
    <x v="4"/>
    <x v="2"/>
    <x v="1"/>
    <x v="3"/>
    <x v="5"/>
    <s v="Active"/>
    <x v="1"/>
    <n v="71200"/>
    <x v="5"/>
    <n v="87.1"/>
    <n v="0"/>
    <x v="3"/>
    <n v="2"/>
    <n v="26"/>
    <n v="29"/>
    <x v="0"/>
    <n v="5933"/>
    <n v="8.4"/>
    <s v="20-24"/>
    <x v="2"/>
  </r>
  <r>
    <x v="6"/>
    <x v="6"/>
    <x v="0"/>
    <n v="50"/>
    <x v="6"/>
    <x v="5"/>
    <x v="0"/>
    <x v="0"/>
    <x v="4"/>
    <x v="6"/>
    <s v="Active"/>
    <x v="0"/>
    <n v="135300"/>
    <x v="6"/>
    <n v="83.5"/>
    <n v="3"/>
    <x v="5"/>
    <n v="4"/>
    <n v="17"/>
    <n v="25"/>
    <x v="2"/>
    <n v="11275"/>
    <n v="1.4"/>
    <s v="45+"/>
    <x v="3"/>
  </r>
  <r>
    <x v="7"/>
    <x v="7"/>
    <x v="0"/>
    <n v="42"/>
    <x v="7"/>
    <x v="6"/>
    <x v="3"/>
    <x v="0"/>
    <x v="0"/>
    <x v="7"/>
    <s v="Active"/>
    <x v="1"/>
    <n v="51500"/>
    <x v="7"/>
    <n v="89.3"/>
    <n v="4"/>
    <x v="6"/>
    <n v="3"/>
    <n v="18"/>
    <n v="15"/>
    <x v="2"/>
    <n v="4292"/>
    <n v="6.3"/>
    <s v="40-44"/>
    <x v="1"/>
  </r>
  <r>
    <x v="8"/>
    <x v="8"/>
    <x v="0"/>
    <n v="41"/>
    <x v="8"/>
    <x v="6"/>
    <x v="3"/>
    <x v="0"/>
    <x v="3"/>
    <x v="8"/>
    <s v="Active"/>
    <x v="1"/>
    <n v="50300"/>
    <x v="8"/>
    <n v="88.2"/>
    <n v="3"/>
    <x v="7"/>
    <n v="0"/>
    <n v="20"/>
    <n v="6"/>
    <x v="2"/>
    <n v="4192"/>
    <n v="8.4"/>
    <s v="40-44"/>
    <x v="1"/>
  </r>
  <r>
    <x v="9"/>
    <x v="9"/>
    <x v="0"/>
    <n v="46"/>
    <x v="7"/>
    <x v="5"/>
    <x v="3"/>
    <x v="0"/>
    <x v="5"/>
    <x v="9"/>
    <s v="On Leave"/>
    <x v="0"/>
    <n v="63500"/>
    <x v="7"/>
    <n v="97.7"/>
    <n v="5"/>
    <x v="2"/>
    <n v="3"/>
    <n v="4"/>
    <n v="2"/>
    <x v="1"/>
    <n v="5292"/>
    <n v="2.1"/>
    <s v="45+"/>
    <x v="3"/>
  </r>
  <r>
    <x v="10"/>
    <x v="10"/>
    <x v="1"/>
    <n v="29"/>
    <x v="9"/>
    <x v="7"/>
    <x v="1"/>
    <x v="0"/>
    <x v="6"/>
    <x v="10"/>
    <s v="Active"/>
    <x v="2"/>
    <n v="23000"/>
    <x v="9"/>
    <n v="86"/>
    <n v="7"/>
    <x v="3"/>
    <n v="0"/>
    <n v="9"/>
    <n v="13"/>
    <x v="3"/>
    <n v="1917"/>
    <n v="1.9"/>
    <s v="25-29"/>
    <x v="1"/>
  </r>
  <r>
    <x v="11"/>
    <x v="11"/>
    <x v="0"/>
    <n v="49"/>
    <x v="10"/>
    <x v="3"/>
    <x v="0"/>
    <x v="0"/>
    <x v="6"/>
    <x v="11"/>
    <s v="Active"/>
    <x v="0"/>
    <n v="103000"/>
    <x v="6"/>
    <n v="87.4"/>
    <n v="1"/>
    <x v="6"/>
    <n v="2"/>
    <n v="23"/>
    <n v="13"/>
    <x v="3"/>
    <n v="8583"/>
    <n v="1.9"/>
    <s v="45+"/>
    <x v="1"/>
  </r>
  <r>
    <x v="12"/>
    <x v="12"/>
    <x v="0"/>
    <n v="21"/>
    <x v="11"/>
    <x v="3"/>
    <x v="2"/>
    <x v="0"/>
    <x v="0"/>
    <x v="12"/>
    <s v="Active"/>
    <x v="0"/>
    <n v="99900"/>
    <x v="10"/>
    <n v="88"/>
    <n v="0"/>
    <x v="4"/>
    <n v="2"/>
    <n v="15"/>
    <n v="20"/>
    <x v="0"/>
    <n v="8325"/>
    <n v="2"/>
    <s v="20-24"/>
    <x v="1"/>
  </r>
  <r>
    <x v="13"/>
    <x v="13"/>
    <x v="0"/>
    <n v="45"/>
    <x v="5"/>
    <x v="5"/>
    <x v="1"/>
    <x v="1"/>
    <x v="5"/>
    <x v="13"/>
    <s v="Active"/>
    <x v="1"/>
    <n v="45700"/>
    <x v="11"/>
    <n v="86.9"/>
    <n v="1"/>
    <x v="8"/>
    <n v="0"/>
    <n v="19"/>
    <n v="22"/>
    <x v="4"/>
    <n v="3808"/>
    <n v="5.3"/>
    <s v="45+"/>
    <x v="1"/>
  </r>
  <r>
    <x v="14"/>
    <x v="14"/>
    <x v="1"/>
    <n v="36"/>
    <x v="7"/>
    <x v="3"/>
    <x v="3"/>
    <x v="0"/>
    <x v="7"/>
    <x v="14"/>
    <s v="On Leave"/>
    <x v="1"/>
    <n v="68900"/>
    <x v="12"/>
    <n v="84.4"/>
    <n v="5"/>
    <x v="5"/>
    <n v="0"/>
    <n v="17"/>
    <n v="23"/>
    <x v="4"/>
    <n v="5742"/>
    <n v="1.8"/>
    <s v="35-39"/>
    <x v="2"/>
  </r>
  <r>
    <x v="15"/>
    <x v="15"/>
    <x v="0"/>
    <n v="28"/>
    <x v="0"/>
    <x v="2"/>
    <x v="2"/>
    <x v="0"/>
    <x v="0"/>
    <x v="15"/>
    <s v="Active"/>
    <x v="1"/>
    <n v="73800"/>
    <x v="0"/>
    <n v="94.2"/>
    <n v="3"/>
    <x v="4"/>
    <n v="0"/>
    <n v="7"/>
    <n v="3"/>
    <x v="1"/>
    <n v="6150"/>
    <n v="3.1"/>
    <s v="25-29"/>
    <x v="3"/>
  </r>
  <r>
    <x v="16"/>
    <x v="16"/>
    <x v="0"/>
    <n v="37"/>
    <x v="4"/>
    <x v="1"/>
    <x v="3"/>
    <x v="0"/>
    <x v="0"/>
    <x v="16"/>
    <s v="Active"/>
    <x v="2"/>
    <n v="43900"/>
    <x v="13"/>
    <n v="90.1"/>
    <n v="6"/>
    <x v="9"/>
    <n v="0"/>
    <n v="12"/>
    <n v="30"/>
    <x v="4"/>
    <n v="3658"/>
    <n v="2.5"/>
    <s v="35-39"/>
    <x v="2"/>
  </r>
  <r>
    <x v="17"/>
    <x v="17"/>
    <x v="1"/>
    <n v="39"/>
    <x v="11"/>
    <x v="6"/>
    <x v="2"/>
    <x v="2"/>
    <x v="0"/>
    <x v="17"/>
    <s v="Active"/>
    <x v="2"/>
    <n v="73800"/>
    <x v="14"/>
    <n v="88.3"/>
    <n v="1"/>
    <x v="10"/>
    <n v="1"/>
    <n v="30"/>
    <n v="25"/>
    <x v="2"/>
    <n v="6150"/>
    <n v="7.5"/>
    <s v="35-39"/>
    <x v="1"/>
  </r>
  <r>
    <x v="18"/>
    <x v="18"/>
    <x v="0"/>
    <n v="28"/>
    <x v="12"/>
    <x v="7"/>
    <x v="1"/>
    <x v="0"/>
    <x v="2"/>
    <x v="18"/>
    <s v="Active"/>
    <x v="0"/>
    <n v="25100"/>
    <x v="9"/>
    <n v="87.7"/>
    <n v="0"/>
    <x v="0"/>
    <n v="4"/>
    <n v="7"/>
    <n v="14"/>
    <x v="1"/>
    <n v="2092"/>
    <n v="2.8"/>
    <s v="25-29"/>
    <x v="3"/>
  </r>
  <r>
    <x v="19"/>
    <x v="4"/>
    <x v="1"/>
    <n v="44"/>
    <x v="9"/>
    <x v="1"/>
    <x v="2"/>
    <x v="1"/>
    <x v="7"/>
    <x v="19"/>
    <s v="Active"/>
    <x v="1"/>
    <n v="68900"/>
    <x v="11"/>
    <n v="91.6"/>
    <n v="4"/>
    <x v="4"/>
    <n v="4"/>
    <n v="25"/>
    <n v="13"/>
    <x v="1"/>
    <n v="5742"/>
    <n v="8.5"/>
    <s v="40-44"/>
    <x v="1"/>
  </r>
  <r>
    <x v="20"/>
    <x v="19"/>
    <x v="1"/>
    <n v="47"/>
    <x v="2"/>
    <x v="4"/>
    <x v="1"/>
    <x v="3"/>
    <x v="2"/>
    <x v="20"/>
    <s v="Active"/>
    <x v="0"/>
    <n v="32400"/>
    <x v="3"/>
    <n v="87.8"/>
    <n v="8"/>
    <x v="0"/>
    <n v="2"/>
    <n v="12"/>
    <n v="24"/>
    <x v="5"/>
    <n v="2700"/>
    <n v="1.1000000000000001"/>
    <s v="45+"/>
    <x v="2"/>
  </r>
  <r>
    <x v="21"/>
    <x v="20"/>
    <x v="0"/>
    <n v="30"/>
    <x v="8"/>
    <x v="6"/>
    <x v="0"/>
    <x v="0"/>
    <x v="5"/>
    <x v="21"/>
    <s v="Active"/>
    <x v="0"/>
    <n v="108600"/>
    <x v="15"/>
    <n v="90.7"/>
    <n v="5"/>
    <x v="0"/>
    <n v="1"/>
    <n v="23"/>
    <n v="24"/>
    <x v="1"/>
    <n v="9050"/>
    <n v="0.2"/>
    <s v="30-34"/>
    <x v="3"/>
  </r>
  <r>
    <x v="22"/>
    <x v="21"/>
    <x v="0"/>
    <n v="36"/>
    <x v="7"/>
    <x v="6"/>
    <x v="3"/>
    <x v="3"/>
    <x v="6"/>
    <x v="22"/>
    <s v="Active"/>
    <x v="0"/>
    <n v="55900"/>
    <x v="16"/>
    <n v="93.4"/>
    <n v="5"/>
    <x v="0"/>
    <n v="0"/>
    <n v="11"/>
    <n v="28"/>
    <x v="5"/>
    <n v="4658"/>
    <n v="7.5"/>
    <s v="35-39"/>
    <x v="1"/>
  </r>
  <r>
    <x v="23"/>
    <x v="22"/>
    <x v="1"/>
    <n v="33"/>
    <x v="6"/>
    <x v="5"/>
    <x v="3"/>
    <x v="0"/>
    <x v="1"/>
    <x v="9"/>
    <s v="Active"/>
    <x v="0"/>
    <n v="74600"/>
    <x v="17"/>
    <n v="92.7"/>
    <n v="0"/>
    <x v="11"/>
    <n v="1"/>
    <n v="12"/>
    <n v="8"/>
    <x v="6"/>
    <n v="6217"/>
    <n v="2.1"/>
    <s v="30-34"/>
    <x v="1"/>
  </r>
  <r>
    <x v="24"/>
    <x v="23"/>
    <x v="1"/>
    <n v="37"/>
    <x v="12"/>
    <x v="3"/>
    <x v="0"/>
    <x v="0"/>
    <x v="1"/>
    <x v="23"/>
    <s v="Active"/>
    <x v="1"/>
    <n v="98600"/>
    <x v="12"/>
    <n v="98.2"/>
    <n v="0"/>
    <x v="4"/>
    <n v="0"/>
    <n v="29"/>
    <n v="22"/>
    <x v="6"/>
    <n v="8217"/>
    <n v="2.4"/>
    <s v="35-39"/>
    <x v="1"/>
  </r>
  <r>
    <x v="25"/>
    <x v="24"/>
    <x v="0"/>
    <n v="37"/>
    <x v="9"/>
    <x v="2"/>
    <x v="1"/>
    <x v="0"/>
    <x v="7"/>
    <x v="24"/>
    <s v="Active"/>
    <x v="1"/>
    <n v="29500"/>
    <x v="16"/>
    <n v="95.9"/>
    <n v="3"/>
    <x v="10"/>
    <n v="4"/>
    <n v="26"/>
    <n v="3"/>
    <x v="0"/>
    <n v="2458"/>
    <n v="3.7"/>
    <s v="35-39"/>
    <x v="1"/>
  </r>
  <r>
    <x v="26"/>
    <x v="25"/>
    <x v="0"/>
    <n v="31"/>
    <x v="13"/>
    <x v="2"/>
    <x v="3"/>
    <x v="0"/>
    <x v="6"/>
    <x v="25"/>
    <s v="Active"/>
    <x v="1"/>
    <n v="41300"/>
    <x v="18"/>
    <n v="92.7"/>
    <n v="1"/>
    <x v="7"/>
    <n v="0"/>
    <n v="16"/>
    <n v="9"/>
    <x v="0"/>
    <n v="3442"/>
    <n v="0.8"/>
    <s v="30-34"/>
    <x v="2"/>
  </r>
  <r>
    <x v="27"/>
    <x v="26"/>
    <x v="1"/>
    <n v="37"/>
    <x v="11"/>
    <x v="5"/>
    <x v="3"/>
    <x v="0"/>
    <x v="5"/>
    <x v="26"/>
    <s v="Active"/>
    <x v="0"/>
    <n v="60900"/>
    <x v="17"/>
    <n v="92.9"/>
    <n v="2"/>
    <x v="8"/>
    <n v="4"/>
    <n v="14"/>
    <n v="20"/>
    <x v="2"/>
    <n v="5075"/>
    <n v="3.6"/>
    <s v="35-39"/>
    <x v="1"/>
  </r>
  <r>
    <x v="28"/>
    <x v="27"/>
    <x v="0"/>
    <n v="50"/>
    <x v="10"/>
    <x v="2"/>
    <x v="3"/>
    <x v="0"/>
    <x v="1"/>
    <x v="27"/>
    <s v="Active"/>
    <x v="1"/>
    <n v="46800"/>
    <x v="19"/>
    <n v="100"/>
    <n v="5"/>
    <x v="4"/>
    <n v="0"/>
    <n v="27"/>
    <n v="20"/>
    <x v="6"/>
    <n v="3900"/>
    <n v="6.1"/>
    <s v="45+"/>
    <x v="1"/>
  </r>
  <r>
    <x v="29"/>
    <x v="28"/>
    <x v="1"/>
    <n v="27"/>
    <x v="5"/>
    <x v="5"/>
    <x v="0"/>
    <x v="0"/>
    <x v="3"/>
    <x v="28"/>
    <s v="Active"/>
    <x v="2"/>
    <n v="127700"/>
    <x v="20"/>
    <n v="87"/>
    <n v="0"/>
    <x v="3"/>
    <n v="2"/>
    <n v="8"/>
    <n v="19"/>
    <x v="1"/>
    <n v="10642"/>
    <n v="3.3"/>
    <s v="25-29"/>
    <x v="2"/>
  </r>
  <r>
    <x v="30"/>
    <x v="29"/>
    <x v="1"/>
    <n v="48"/>
    <x v="6"/>
    <x v="5"/>
    <x v="2"/>
    <x v="1"/>
    <x v="2"/>
    <x v="29"/>
    <s v="Active"/>
    <x v="1"/>
    <n v="95700"/>
    <x v="3"/>
    <n v="93.5"/>
    <n v="1"/>
    <x v="2"/>
    <n v="4"/>
    <n v="19"/>
    <n v="3"/>
    <x v="1"/>
    <n v="7975"/>
    <n v="7.4"/>
    <s v="45+"/>
    <x v="3"/>
  </r>
  <r>
    <x v="31"/>
    <x v="30"/>
    <x v="0"/>
    <n v="27"/>
    <x v="7"/>
    <x v="6"/>
    <x v="1"/>
    <x v="0"/>
    <x v="6"/>
    <x v="30"/>
    <s v="Active"/>
    <x v="2"/>
    <n v="40200"/>
    <x v="2"/>
    <n v="86.7"/>
    <n v="3"/>
    <x v="6"/>
    <n v="2"/>
    <n v="3"/>
    <n v="3"/>
    <x v="5"/>
    <n v="3350"/>
    <n v="5"/>
    <s v="25-29"/>
    <x v="1"/>
  </r>
  <r>
    <x v="32"/>
    <x v="31"/>
    <x v="0"/>
    <n v="45"/>
    <x v="7"/>
    <x v="1"/>
    <x v="2"/>
    <x v="0"/>
    <x v="0"/>
    <x v="31"/>
    <s v="Active"/>
    <x v="0"/>
    <n v="80700"/>
    <x v="8"/>
    <n v="95.2"/>
    <n v="5"/>
    <x v="6"/>
    <n v="1"/>
    <n v="23"/>
    <n v="14"/>
    <x v="3"/>
    <n v="6725"/>
    <n v="5"/>
    <s v="45+"/>
    <x v="3"/>
  </r>
  <r>
    <x v="33"/>
    <x v="32"/>
    <x v="1"/>
    <n v="47"/>
    <x v="7"/>
    <x v="2"/>
    <x v="3"/>
    <x v="3"/>
    <x v="3"/>
    <x v="32"/>
    <s v="Resigned"/>
    <x v="0"/>
    <n v="42500"/>
    <x v="21"/>
    <n v="94.2"/>
    <n v="2"/>
    <x v="1"/>
    <n v="0"/>
    <n v="11"/>
    <n v="7"/>
    <x v="2"/>
    <n v="3542"/>
    <n v="8"/>
    <s v="45+"/>
    <x v="1"/>
  </r>
  <r>
    <x v="34"/>
    <x v="33"/>
    <x v="0"/>
    <n v="27"/>
    <x v="11"/>
    <x v="5"/>
    <x v="0"/>
    <x v="0"/>
    <x v="0"/>
    <x v="33"/>
    <s v="Active"/>
    <x v="0"/>
    <n v="136100"/>
    <x v="2"/>
    <n v="89.8"/>
    <n v="8"/>
    <x v="8"/>
    <n v="1"/>
    <n v="23"/>
    <n v="9"/>
    <x v="3"/>
    <n v="11342"/>
    <n v="4.2"/>
    <s v="25-29"/>
    <x v="1"/>
  </r>
  <r>
    <x v="35"/>
    <x v="31"/>
    <x v="1"/>
    <n v="47"/>
    <x v="12"/>
    <x v="1"/>
    <x v="3"/>
    <x v="0"/>
    <x v="1"/>
    <x v="34"/>
    <s v="Resigned"/>
    <x v="0"/>
    <n v="48400"/>
    <x v="22"/>
    <n v="97.5"/>
    <n v="3"/>
    <x v="11"/>
    <n v="0"/>
    <n v="21"/>
    <n v="20"/>
    <x v="6"/>
    <n v="4033"/>
    <n v="3.2"/>
    <s v="45+"/>
    <x v="1"/>
  </r>
  <r>
    <x v="36"/>
    <x v="34"/>
    <x v="0"/>
    <n v="39"/>
    <x v="4"/>
    <x v="5"/>
    <x v="2"/>
    <x v="0"/>
    <x v="6"/>
    <x v="35"/>
    <s v="Active"/>
    <x v="1"/>
    <n v="94200"/>
    <x v="23"/>
    <n v="91.3"/>
    <n v="6"/>
    <x v="1"/>
    <n v="4"/>
    <n v="3"/>
    <n v="7"/>
    <x v="3"/>
    <n v="7850"/>
    <n v="7.2"/>
    <s v="35-39"/>
    <x v="3"/>
  </r>
  <r>
    <x v="37"/>
    <x v="35"/>
    <x v="1"/>
    <n v="34"/>
    <x v="10"/>
    <x v="3"/>
    <x v="3"/>
    <x v="0"/>
    <x v="6"/>
    <x v="36"/>
    <s v="Active"/>
    <x v="2"/>
    <n v="68800"/>
    <x v="13"/>
    <n v="92.7"/>
    <n v="4"/>
    <x v="9"/>
    <n v="0"/>
    <n v="12"/>
    <n v="20"/>
    <x v="4"/>
    <n v="5733"/>
    <n v="1.3"/>
    <s v="30-34"/>
    <x v="3"/>
  </r>
  <r>
    <x v="38"/>
    <x v="2"/>
    <x v="1"/>
    <n v="27"/>
    <x v="14"/>
    <x v="6"/>
    <x v="3"/>
    <x v="0"/>
    <x v="2"/>
    <x v="37"/>
    <s v="Active"/>
    <x v="0"/>
    <n v="44000"/>
    <x v="18"/>
    <n v="82.9"/>
    <n v="5"/>
    <x v="9"/>
    <n v="3"/>
    <n v="2"/>
    <n v="10"/>
    <x v="2"/>
    <n v="3667"/>
    <n v="5.7"/>
    <s v="25-29"/>
    <x v="2"/>
  </r>
  <r>
    <x v="39"/>
    <x v="36"/>
    <x v="1"/>
    <n v="33"/>
    <x v="10"/>
    <x v="2"/>
    <x v="3"/>
    <x v="0"/>
    <x v="1"/>
    <x v="38"/>
    <s v="Active"/>
    <x v="2"/>
    <n v="53600"/>
    <x v="13"/>
    <n v="100"/>
    <n v="8"/>
    <x v="7"/>
    <n v="3"/>
    <n v="4"/>
    <n v="16"/>
    <x v="2"/>
    <n v="4467"/>
    <n v="5.3"/>
    <s v="30-34"/>
    <x v="1"/>
  </r>
  <r>
    <x v="40"/>
    <x v="37"/>
    <x v="1"/>
    <n v="32"/>
    <x v="14"/>
    <x v="4"/>
    <x v="1"/>
    <x v="0"/>
    <x v="4"/>
    <x v="39"/>
    <s v="Active"/>
    <x v="0"/>
    <n v="33700"/>
    <x v="24"/>
    <n v="85.8"/>
    <n v="8"/>
    <x v="4"/>
    <n v="3"/>
    <n v="12"/>
    <n v="18"/>
    <x v="0"/>
    <n v="2808"/>
    <n v="5.0999999999999996"/>
    <s v="30-34"/>
    <x v="3"/>
  </r>
  <r>
    <x v="41"/>
    <x v="38"/>
    <x v="0"/>
    <n v="42"/>
    <x v="12"/>
    <x v="5"/>
    <x v="2"/>
    <x v="0"/>
    <x v="4"/>
    <x v="40"/>
    <s v="Active"/>
    <x v="0"/>
    <n v="107300"/>
    <x v="25"/>
    <n v="84.8"/>
    <n v="5"/>
    <x v="12"/>
    <n v="2"/>
    <n v="13"/>
    <n v="24"/>
    <x v="6"/>
    <n v="8942"/>
    <n v="5.0999999999999996"/>
    <s v="40-44"/>
    <x v="2"/>
  </r>
  <r>
    <x v="42"/>
    <x v="39"/>
    <x v="1"/>
    <n v="27"/>
    <x v="12"/>
    <x v="3"/>
    <x v="3"/>
    <x v="0"/>
    <x v="2"/>
    <x v="41"/>
    <s v="Resigned"/>
    <x v="0"/>
    <n v="73000"/>
    <x v="18"/>
    <n v="94.1"/>
    <n v="1"/>
    <x v="13"/>
    <n v="3"/>
    <n v="7"/>
    <n v="9"/>
    <x v="5"/>
    <n v="6083"/>
    <n v="5"/>
    <s v="25-29"/>
    <x v="1"/>
  </r>
  <r>
    <x v="43"/>
    <x v="40"/>
    <x v="0"/>
    <n v="36"/>
    <x v="7"/>
    <x v="0"/>
    <x v="4"/>
    <x v="0"/>
    <x v="0"/>
    <x v="42"/>
    <s v="Active"/>
    <x v="1"/>
    <n v="124800"/>
    <x v="16"/>
    <n v="91.9"/>
    <n v="8"/>
    <x v="12"/>
    <n v="0"/>
    <n v="22"/>
    <n v="10"/>
    <x v="3"/>
    <n v="10400"/>
    <n v="0.4"/>
    <s v="35-39"/>
    <x v="1"/>
  </r>
  <r>
    <x v="44"/>
    <x v="11"/>
    <x v="0"/>
    <n v="38"/>
    <x v="9"/>
    <x v="1"/>
    <x v="3"/>
    <x v="0"/>
    <x v="0"/>
    <x v="43"/>
    <s v="Resigned"/>
    <x v="1"/>
    <n v="42300"/>
    <x v="14"/>
    <n v="83.3"/>
    <n v="1"/>
    <x v="9"/>
    <n v="1"/>
    <n v="10"/>
    <n v="6"/>
    <x v="3"/>
    <n v="3525"/>
    <n v="6.9"/>
    <s v="35-39"/>
    <x v="1"/>
  </r>
  <r>
    <x v="45"/>
    <x v="41"/>
    <x v="0"/>
    <n v="45"/>
    <x v="10"/>
    <x v="2"/>
    <x v="2"/>
    <x v="0"/>
    <x v="4"/>
    <x v="44"/>
    <s v="Active"/>
    <x v="1"/>
    <n v="61700"/>
    <x v="11"/>
    <n v="86.7"/>
    <n v="1"/>
    <x v="12"/>
    <n v="2"/>
    <n v="7"/>
    <n v="7"/>
    <x v="0"/>
    <n v="5142"/>
    <n v="5.7"/>
    <s v="45+"/>
    <x v="0"/>
  </r>
  <r>
    <x v="46"/>
    <x v="42"/>
    <x v="0"/>
    <n v="25"/>
    <x v="4"/>
    <x v="5"/>
    <x v="4"/>
    <x v="2"/>
    <x v="0"/>
    <x v="45"/>
    <s v="Active"/>
    <x v="1"/>
    <n v="146200"/>
    <x v="2"/>
    <n v="89"/>
    <n v="1"/>
    <x v="5"/>
    <n v="4"/>
    <n v="30"/>
    <n v="22"/>
    <x v="3"/>
    <n v="12183"/>
    <n v="2.6"/>
    <s v="25-29"/>
    <x v="1"/>
  </r>
  <r>
    <x v="47"/>
    <x v="43"/>
    <x v="1"/>
    <n v="36"/>
    <x v="13"/>
    <x v="7"/>
    <x v="2"/>
    <x v="2"/>
    <x v="7"/>
    <x v="46"/>
    <s v="Active"/>
    <x v="1"/>
    <n v="46200"/>
    <x v="14"/>
    <n v="87.3"/>
    <n v="6"/>
    <x v="13"/>
    <n v="2"/>
    <n v="29"/>
    <n v="27"/>
    <x v="3"/>
    <n v="3850"/>
    <n v="8.1"/>
    <s v="35-39"/>
    <x v="3"/>
  </r>
  <r>
    <x v="48"/>
    <x v="44"/>
    <x v="1"/>
    <n v="23"/>
    <x v="11"/>
    <x v="6"/>
    <x v="0"/>
    <x v="1"/>
    <x v="1"/>
    <x v="47"/>
    <s v="Active"/>
    <x v="0"/>
    <n v="103500"/>
    <x v="2"/>
    <n v="92"/>
    <n v="3"/>
    <x v="2"/>
    <n v="1"/>
    <n v="11"/>
    <n v="22"/>
    <x v="6"/>
    <n v="8625"/>
    <n v="0.3"/>
    <s v="20-24"/>
    <x v="1"/>
  </r>
  <r>
    <x v="49"/>
    <x v="45"/>
    <x v="0"/>
    <n v="44"/>
    <x v="7"/>
    <x v="0"/>
    <x v="0"/>
    <x v="0"/>
    <x v="7"/>
    <x v="48"/>
    <s v="Active"/>
    <x v="1"/>
    <n v="91200"/>
    <x v="11"/>
    <n v="95.7"/>
    <n v="7"/>
    <x v="0"/>
    <n v="3"/>
    <n v="10"/>
    <n v="28"/>
    <x v="3"/>
    <n v="7600"/>
    <n v="6.7"/>
    <s v="40-44"/>
    <x v="2"/>
  </r>
  <r>
    <x v="50"/>
    <x v="46"/>
    <x v="0"/>
    <n v="26"/>
    <x v="7"/>
    <x v="5"/>
    <x v="3"/>
    <x v="3"/>
    <x v="3"/>
    <x v="49"/>
    <s v="Active"/>
    <x v="1"/>
    <n v="76200"/>
    <x v="0"/>
    <n v="100"/>
    <n v="7"/>
    <x v="1"/>
    <n v="1"/>
    <n v="16"/>
    <n v="12"/>
    <x v="0"/>
    <n v="6350"/>
    <n v="6.8"/>
    <s v="25-29"/>
    <x v="0"/>
  </r>
  <r>
    <x v="51"/>
    <x v="3"/>
    <x v="0"/>
    <n v="36"/>
    <x v="5"/>
    <x v="5"/>
    <x v="2"/>
    <x v="0"/>
    <x v="7"/>
    <x v="50"/>
    <s v="Active"/>
    <x v="2"/>
    <n v="102000"/>
    <x v="13"/>
    <n v="83.3"/>
    <n v="0"/>
    <x v="10"/>
    <n v="2"/>
    <n v="26"/>
    <n v="8"/>
    <x v="0"/>
    <n v="8500"/>
    <n v="2.4"/>
    <s v="35-39"/>
    <x v="1"/>
  </r>
  <r>
    <x v="52"/>
    <x v="47"/>
    <x v="0"/>
    <n v="48"/>
    <x v="9"/>
    <x v="3"/>
    <x v="1"/>
    <x v="0"/>
    <x v="6"/>
    <x v="51"/>
    <s v="Active"/>
    <x v="0"/>
    <n v="39400"/>
    <x v="21"/>
    <n v="90.7"/>
    <n v="0"/>
    <x v="1"/>
    <n v="2"/>
    <n v="12"/>
    <n v="29"/>
    <x v="4"/>
    <n v="3283"/>
    <n v="3.1"/>
    <s v="45+"/>
    <x v="1"/>
  </r>
  <r>
    <x v="53"/>
    <x v="40"/>
    <x v="0"/>
    <n v="47"/>
    <x v="7"/>
    <x v="2"/>
    <x v="3"/>
    <x v="0"/>
    <x v="0"/>
    <x v="52"/>
    <s v="Active"/>
    <x v="1"/>
    <n v="47300"/>
    <x v="21"/>
    <n v="91.4"/>
    <n v="3"/>
    <x v="0"/>
    <n v="2"/>
    <n v="3"/>
    <n v="21"/>
    <x v="0"/>
    <n v="3942"/>
    <n v="3.5"/>
    <s v="45+"/>
    <x v="1"/>
  </r>
  <r>
    <x v="54"/>
    <x v="48"/>
    <x v="0"/>
    <n v="41"/>
    <x v="0"/>
    <x v="0"/>
    <x v="1"/>
    <x v="3"/>
    <x v="2"/>
    <x v="53"/>
    <s v="Active"/>
    <x v="0"/>
    <n v="36500"/>
    <x v="25"/>
    <n v="91.4"/>
    <n v="1"/>
    <x v="13"/>
    <n v="1"/>
    <n v="12"/>
    <n v="16"/>
    <x v="0"/>
    <n v="3042"/>
    <n v="2"/>
    <s v="40-44"/>
    <x v="3"/>
  </r>
  <r>
    <x v="55"/>
    <x v="49"/>
    <x v="0"/>
    <n v="41"/>
    <x v="8"/>
    <x v="5"/>
    <x v="2"/>
    <x v="0"/>
    <x v="1"/>
    <x v="54"/>
    <s v="Active"/>
    <x v="0"/>
    <n v="95400"/>
    <x v="14"/>
    <n v="92"/>
    <n v="2"/>
    <x v="9"/>
    <n v="0"/>
    <n v="8"/>
    <n v="14"/>
    <x v="3"/>
    <n v="7950"/>
    <n v="8.5"/>
    <s v="40-44"/>
    <x v="1"/>
  </r>
  <r>
    <x v="56"/>
    <x v="50"/>
    <x v="1"/>
    <n v="47"/>
    <x v="6"/>
    <x v="2"/>
    <x v="3"/>
    <x v="0"/>
    <x v="1"/>
    <x v="55"/>
    <s v="Active"/>
    <x v="1"/>
    <n v="48300"/>
    <x v="26"/>
    <n v="91.4"/>
    <n v="1"/>
    <x v="4"/>
    <n v="0"/>
    <n v="21"/>
    <n v="16"/>
    <x v="4"/>
    <n v="4025"/>
    <n v="6.3"/>
    <s v="45+"/>
    <x v="1"/>
  </r>
  <r>
    <x v="57"/>
    <x v="51"/>
    <x v="1"/>
    <n v="37"/>
    <x v="5"/>
    <x v="6"/>
    <x v="3"/>
    <x v="0"/>
    <x v="1"/>
    <x v="56"/>
    <s v="Active"/>
    <x v="1"/>
    <n v="43000"/>
    <x v="4"/>
    <n v="96.8"/>
    <n v="8"/>
    <x v="12"/>
    <n v="3"/>
    <n v="13"/>
    <n v="15"/>
    <x v="3"/>
    <n v="3583"/>
    <n v="0.3"/>
    <s v="35-39"/>
    <x v="3"/>
  </r>
  <r>
    <x v="58"/>
    <x v="52"/>
    <x v="1"/>
    <n v="25"/>
    <x v="0"/>
    <x v="1"/>
    <x v="3"/>
    <x v="0"/>
    <x v="3"/>
    <x v="57"/>
    <s v="Active"/>
    <x v="1"/>
    <n v="51700"/>
    <x v="15"/>
    <n v="92.9"/>
    <n v="5"/>
    <x v="14"/>
    <n v="4"/>
    <n v="11"/>
    <n v="7"/>
    <x v="5"/>
    <n v="4308"/>
    <n v="5.6"/>
    <s v="25-29"/>
    <x v="1"/>
  </r>
  <r>
    <x v="59"/>
    <x v="53"/>
    <x v="1"/>
    <n v="49"/>
    <x v="5"/>
    <x v="4"/>
    <x v="4"/>
    <x v="0"/>
    <x v="1"/>
    <x v="58"/>
    <s v="Active"/>
    <x v="0"/>
    <n v="106900"/>
    <x v="22"/>
    <n v="83.4"/>
    <n v="6"/>
    <x v="13"/>
    <n v="1"/>
    <n v="25"/>
    <n v="5"/>
    <x v="0"/>
    <n v="8908"/>
    <n v="5.0999999999999996"/>
    <s v="45+"/>
    <x v="1"/>
  </r>
  <r>
    <x v="60"/>
    <x v="18"/>
    <x v="0"/>
    <n v="29"/>
    <x v="6"/>
    <x v="0"/>
    <x v="1"/>
    <x v="0"/>
    <x v="6"/>
    <x v="59"/>
    <s v="Active"/>
    <x v="2"/>
    <n v="40400"/>
    <x v="18"/>
    <n v="84.4"/>
    <n v="5"/>
    <x v="5"/>
    <n v="0"/>
    <n v="23"/>
    <n v="30"/>
    <x v="1"/>
    <n v="3367"/>
    <n v="0.7"/>
    <s v="25-29"/>
    <x v="1"/>
  </r>
  <r>
    <x v="61"/>
    <x v="54"/>
    <x v="0"/>
    <n v="37"/>
    <x v="2"/>
    <x v="2"/>
    <x v="5"/>
    <x v="0"/>
    <x v="4"/>
    <x v="60"/>
    <s v="Active"/>
    <x v="0"/>
    <n v="23700"/>
    <x v="16"/>
    <n v="95.5"/>
    <n v="0"/>
    <x v="15"/>
    <n v="3"/>
    <n v="29"/>
    <n v="19"/>
    <x v="1"/>
    <n v="1975"/>
    <n v="0.4"/>
    <s v="35-39"/>
    <x v="3"/>
  </r>
  <r>
    <x v="62"/>
    <x v="55"/>
    <x v="1"/>
    <n v="43"/>
    <x v="3"/>
    <x v="3"/>
    <x v="1"/>
    <x v="0"/>
    <x v="3"/>
    <x v="61"/>
    <s v="Active"/>
    <x v="2"/>
    <n v="40200"/>
    <x v="8"/>
    <n v="93.5"/>
    <n v="4"/>
    <x v="3"/>
    <n v="4"/>
    <n v="12"/>
    <n v="19"/>
    <x v="3"/>
    <n v="3350"/>
    <n v="1.3"/>
    <s v="40-44"/>
    <x v="3"/>
  </r>
  <r>
    <x v="63"/>
    <x v="35"/>
    <x v="0"/>
    <n v="26"/>
    <x v="4"/>
    <x v="5"/>
    <x v="4"/>
    <x v="0"/>
    <x v="0"/>
    <x v="62"/>
    <s v="Active"/>
    <x v="2"/>
    <n v="132300"/>
    <x v="2"/>
    <n v="89.6"/>
    <n v="2"/>
    <x v="15"/>
    <n v="3"/>
    <n v="7"/>
    <n v="29"/>
    <x v="2"/>
    <n v="11025"/>
    <n v="2.5"/>
    <s v="25-29"/>
    <x v="1"/>
  </r>
  <r>
    <x v="64"/>
    <x v="22"/>
    <x v="0"/>
    <n v="33"/>
    <x v="5"/>
    <x v="2"/>
    <x v="4"/>
    <x v="0"/>
    <x v="2"/>
    <x v="63"/>
    <s v="Resigned"/>
    <x v="0"/>
    <n v="119500"/>
    <x v="1"/>
    <n v="93.4"/>
    <n v="7"/>
    <x v="10"/>
    <n v="3"/>
    <n v="4"/>
    <n v="30"/>
    <x v="0"/>
    <n v="9958"/>
    <n v="5.4"/>
    <s v="30-34"/>
    <x v="1"/>
  </r>
  <r>
    <x v="65"/>
    <x v="14"/>
    <x v="0"/>
    <n v="41"/>
    <x v="9"/>
    <x v="1"/>
    <x v="2"/>
    <x v="0"/>
    <x v="0"/>
    <x v="64"/>
    <s v="Active"/>
    <x v="0"/>
    <n v="81600"/>
    <x v="4"/>
    <n v="94.1"/>
    <n v="6"/>
    <x v="14"/>
    <n v="4"/>
    <n v="10"/>
    <n v="5"/>
    <x v="3"/>
    <n v="6800"/>
    <n v="0.7"/>
    <s v="40-44"/>
    <x v="3"/>
  </r>
  <r>
    <x v="66"/>
    <x v="56"/>
    <x v="1"/>
    <n v="33"/>
    <x v="11"/>
    <x v="1"/>
    <x v="0"/>
    <x v="0"/>
    <x v="7"/>
    <x v="65"/>
    <s v="Resigned"/>
    <x v="0"/>
    <n v="88600"/>
    <x v="13"/>
    <n v="96.1"/>
    <n v="8"/>
    <x v="4"/>
    <n v="2"/>
    <n v="23"/>
    <n v="28"/>
    <x v="5"/>
    <n v="7383"/>
    <n v="5.7"/>
    <s v="30-34"/>
    <x v="1"/>
  </r>
  <r>
    <x v="67"/>
    <x v="57"/>
    <x v="0"/>
    <n v="29"/>
    <x v="10"/>
    <x v="0"/>
    <x v="1"/>
    <x v="0"/>
    <x v="5"/>
    <x v="66"/>
    <s v="Active"/>
    <x v="0"/>
    <n v="34100"/>
    <x v="27"/>
    <n v="89.8"/>
    <n v="0"/>
    <x v="0"/>
    <n v="0"/>
    <n v="19"/>
    <n v="22"/>
    <x v="1"/>
    <n v="2842"/>
    <n v="4.4000000000000004"/>
    <s v="25-29"/>
    <x v="3"/>
  </r>
  <r>
    <x v="68"/>
    <x v="58"/>
    <x v="1"/>
    <n v="41"/>
    <x v="0"/>
    <x v="7"/>
    <x v="4"/>
    <x v="0"/>
    <x v="5"/>
    <x v="67"/>
    <s v="Active"/>
    <x v="2"/>
    <n v="76300"/>
    <x v="11"/>
    <n v="95"/>
    <n v="1"/>
    <x v="12"/>
    <n v="0"/>
    <n v="5"/>
    <n v="2"/>
    <x v="3"/>
    <n v="6358"/>
    <n v="6.4"/>
    <s v="40-44"/>
    <x v="1"/>
  </r>
  <r>
    <x v="69"/>
    <x v="59"/>
    <x v="1"/>
    <n v="44"/>
    <x v="1"/>
    <x v="1"/>
    <x v="1"/>
    <x v="0"/>
    <x v="1"/>
    <x v="42"/>
    <s v="Active"/>
    <x v="0"/>
    <n v="31700"/>
    <x v="21"/>
    <n v="90.4"/>
    <n v="1"/>
    <x v="1"/>
    <n v="4"/>
    <n v="6"/>
    <n v="4"/>
    <x v="0"/>
    <n v="2642"/>
    <n v="0.4"/>
    <s v="40-44"/>
    <x v="1"/>
  </r>
  <r>
    <x v="70"/>
    <x v="60"/>
    <x v="1"/>
    <n v="28"/>
    <x v="11"/>
    <x v="6"/>
    <x v="1"/>
    <x v="2"/>
    <x v="7"/>
    <x v="68"/>
    <s v="Active"/>
    <x v="1"/>
    <n v="33500"/>
    <x v="0"/>
    <n v="83.6"/>
    <n v="0"/>
    <x v="8"/>
    <n v="0"/>
    <n v="21"/>
    <n v="6"/>
    <x v="0"/>
    <n v="2792"/>
    <n v="0.7"/>
    <s v="25-29"/>
    <x v="1"/>
  </r>
  <r>
    <x v="71"/>
    <x v="61"/>
    <x v="1"/>
    <n v="45"/>
    <x v="6"/>
    <x v="4"/>
    <x v="1"/>
    <x v="0"/>
    <x v="3"/>
    <x v="69"/>
    <s v="On Leave"/>
    <x v="0"/>
    <n v="31200"/>
    <x v="11"/>
    <n v="92.9"/>
    <n v="7"/>
    <x v="11"/>
    <n v="1"/>
    <n v="21"/>
    <n v="25"/>
    <x v="5"/>
    <n v="2600"/>
    <n v="2"/>
    <s v="45+"/>
    <x v="2"/>
  </r>
  <r>
    <x v="72"/>
    <x v="62"/>
    <x v="1"/>
    <n v="29"/>
    <x v="12"/>
    <x v="5"/>
    <x v="2"/>
    <x v="0"/>
    <x v="5"/>
    <x v="70"/>
    <s v="Active"/>
    <x v="1"/>
    <n v="100500"/>
    <x v="18"/>
    <n v="97.3"/>
    <n v="3"/>
    <x v="7"/>
    <n v="1"/>
    <n v="30"/>
    <n v="21"/>
    <x v="1"/>
    <n v="8375"/>
    <n v="8.5"/>
    <s v="25-29"/>
    <x v="1"/>
  </r>
  <r>
    <x v="73"/>
    <x v="63"/>
    <x v="0"/>
    <n v="21"/>
    <x v="5"/>
    <x v="5"/>
    <x v="2"/>
    <x v="0"/>
    <x v="0"/>
    <x v="71"/>
    <s v="Resigned"/>
    <x v="1"/>
    <n v="88600"/>
    <x v="5"/>
    <n v="94.9"/>
    <n v="6"/>
    <x v="4"/>
    <n v="1"/>
    <n v="23"/>
    <n v="7"/>
    <x v="4"/>
    <n v="7383"/>
    <n v="2"/>
    <s v="20-24"/>
    <x v="2"/>
  </r>
  <r>
    <x v="74"/>
    <x v="38"/>
    <x v="1"/>
    <n v="22"/>
    <x v="10"/>
    <x v="2"/>
    <x v="3"/>
    <x v="0"/>
    <x v="1"/>
    <x v="72"/>
    <s v="Active"/>
    <x v="1"/>
    <n v="40700"/>
    <x v="5"/>
    <n v="97"/>
    <n v="0"/>
    <x v="5"/>
    <n v="4"/>
    <n v="29"/>
    <n v="29"/>
    <x v="6"/>
    <n v="3392"/>
    <n v="4.7"/>
    <s v="20-24"/>
    <x v="1"/>
  </r>
  <r>
    <x v="75"/>
    <x v="64"/>
    <x v="1"/>
    <n v="35"/>
    <x v="10"/>
    <x v="5"/>
    <x v="4"/>
    <x v="2"/>
    <x v="4"/>
    <x v="73"/>
    <s v="Active"/>
    <x v="0"/>
    <n v="148700"/>
    <x v="16"/>
    <n v="91.9"/>
    <n v="7"/>
    <x v="15"/>
    <n v="3"/>
    <n v="14"/>
    <n v="5"/>
    <x v="6"/>
    <n v="12392"/>
    <n v="5.2"/>
    <s v="35-39"/>
    <x v="2"/>
  </r>
  <r>
    <x v="76"/>
    <x v="65"/>
    <x v="1"/>
    <n v="29"/>
    <x v="8"/>
    <x v="2"/>
    <x v="3"/>
    <x v="0"/>
    <x v="5"/>
    <x v="74"/>
    <s v="Active"/>
    <x v="1"/>
    <n v="53200"/>
    <x v="15"/>
    <n v="86.8"/>
    <n v="7"/>
    <x v="4"/>
    <n v="3"/>
    <n v="4"/>
    <n v="6"/>
    <x v="4"/>
    <n v="4433"/>
    <n v="3.8"/>
    <s v="25-29"/>
    <x v="2"/>
  </r>
  <r>
    <x v="77"/>
    <x v="66"/>
    <x v="1"/>
    <n v="42"/>
    <x v="3"/>
    <x v="1"/>
    <x v="1"/>
    <x v="0"/>
    <x v="3"/>
    <x v="75"/>
    <s v="Active"/>
    <x v="1"/>
    <n v="34100"/>
    <x v="11"/>
    <n v="92"/>
    <n v="2"/>
    <x v="4"/>
    <n v="2"/>
    <n v="23"/>
    <n v="13"/>
    <x v="0"/>
    <n v="2842"/>
    <n v="6.6"/>
    <s v="40-44"/>
    <x v="1"/>
  </r>
  <r>
    <x v="78"/>
    <x v="57"/>
    <x v="0"/>
    <n v="30"/>
    <x v="8"/>
    <x v="1"/>
    <x v="3"/>
    <x v="3"/>
    <x v="0"/>
    <x v="76"/>
    <s v="Active"/>
    <x v="1"/>
    <n v="56100"/>
    <x v="18"/>
    <n v="89.1"/>
    <n v="8"/>
    <x v="5"/>
    <n v="2"/>
    <n v="8"/>
    <n v="8"/>
    <x v="1"/>
    <n v="4675"/>
    <n v="4.9000000000000004"/>
    <s v="30-34"/>
    <x v="1"/>
  </r>
  <r>
    <x v="79"/>
    <x v="67"/>
    <x v="0"/>
    <n v="29"/>
    <x v="9"/>
    <x v="1"/>
    <x v="2"/>
    <x v="0"/>
    <x v="0"/>
    <x v="77"/>
    <s v="Active"/>
    <x v="1"/>
    <n v="70700"/>
    <x v="9"/>
    <n v="92.6"/>
    <n v="4"/>
    <x v="15"/>
    <n v="1"/>
    <n v="27"/>
    <n v="14"/>
    <x v="3"/>
    <n v="5892"/>
    <n v="3.6"/>
    <s v="25-29"/>
    <x v="3"/>
  </r>
  <r>
    <x v="80"/>
    <x v="17"/>
    <x v="0"/>
    <n v="31"/>
    <x v="3"/>
    <x v="4"/>
    <x v="0"/>
    <x v="0"/>
    <x v="3"/>
    <x v="78"/>
    <s v="Active"/>
    <x v="2"/>
    <n v="78300"/>
    <x v="24"/>
    <n v="91.3"/>
    <n v="4"/>
    <x v="4"/>
    <n v="1"/>
    <n v="19"/>
    <n v="9"/>
    <x v="1"/>
    <n v="6525"/>
    <n v="8.1999999999999993"/>
    <s v="30-34"/>
    <x v="3"/>
  </r>
  <r>
    <x v="81"/>
    <x v="68"/>
    <x v="1"/>
    <n v="48"/>
    <x v="13"/>
    <x v="5"/>
    <x v="3"/>
    <x v="0"/>
    <x v="2"/>
    <x v="79"/>
    <s v="Active"/>
    <x v="2"/>
    <n v="59400"/>
    <x v="26"/>
    <n v="96.1"/>
    <n v="4"/>
    <x v="12"/>
    <n v="4"/>
    <n v="30"/>
    <n v="14"/>
    <x v="2"/>
    <n v="4950"/>
    <n v="7.6"/>
    <s v="45+"/>
    <x v="1"/>
  </r>
  <r>
    <x v="82"/>
    <x v="69"/>
    <x v="1"/>
    <n v="33"/>
    <x v="1"/>
    <x v="4"/>
    <x v="2"/>
    <x v="0"/>
    <x v="0"/>
    <x v="80"/>
    <s v="Active"/>
    <x v="0"/>
    <n v="70400"/>
    <x v="28"/>
    <n v="84.1"/>
    <n v="0"/>
    <x v="14"/>
    <n v="1"/>
    <n v="18"/>
    <n v="13"/>
    <x v="2"/>
    <n v="5867"/>
    <n v="3.5"/>
    <s v="30-34"/>
    <x v="3"/>
  </r>
  <r>
    <x v="83"/>
    <x v="70"/>
    <x v="0"/>
    <n v="49"/>
    <x v="3"/>
    <x v="2"/>
    <x v="3"/>
    <x v="3"/>
    <x v="1"/>
    <x v="81"/>
    <s v="Active"/>
    <x v="0"/>
    <n v="48300"/>
    <x v="19"/>
    <n v="79.3"/>
    <n v="1"/>
    <x v="10"/>
    <n v="1"/>
    <n v="4"/>
    <n v="11"/>
    <x v="5"/>
    <n v="4025"/>
    <n v="5.6"/>
    <s v="45+"/>
    <x v="1"/>
  </r>
  <r>
    <x v="84"/>
    <x v="71"/>
    <x v="1"/>
    <n v="28"/>
    <x v="7"/>
    <x v="2"/>
    <x v="2"/>
    <x v="0"/>
    <x v="7"/>
    <x v="82"/>
    <s v="Active"/>
    <x v="1"/>
    <n v="71500"/>
    <x v="20"/>
    <n v="91.4"/>
    <n v="0"/>
    <x v="7"/>
    <n v="1"/>
    <n v="12"/>
    <n v="11"/>
    <x v="3"/>
    <n v="5958"/>
    <n v="6.4"/>
    <s v="25-29"/>
    <x v="1"/>
  </r>
  <r>
    <x v="85"/>
    <x v="14"/>
    <x v="1"/>
    <n v="47"/>
    <x v="4"/>
    <x v="0"/>
    <x v="4"/>
    <x v="2"/>
    <x v="6"/>
    <x v="83"/>
    <s v="Resigned"/>
    <x v="0"/>
    <n v="134300"/>
    <x v="21"/>
    <n v="89.2"/>
    <n v="1"/>
    <x v="0"/>
    <n v="0"/>
    <n v="25"/>
    <n v="9"/>
    <x v="0"/>
    <n v="11192"/>
    <n v="4.2"/>
    <s v="45+"/>
    <x v="2"/>
  </r>
  <r>
    <x v="86"/>
    <x v="1"/>
    <x v="0"/>
    <n v="32"/>
    <x v="4"/>
    <x v="1"/>
    <x v="5"/>
    <x v="3"/>
    <x v="3"/>
    <x v="84"/>
    <s v="Active"/>
    <x v="2"/>
    <n v="23500"/>
    <x v="24"/>
    <n v="88.4"/>
    <n v="8"/>
    <x v="12"/>
    <n v="3"/>
    <n v="25"/>
    <n v="28"/>
    <x v="5"/>
    <n v="1958"/>
    <n v="3.8"/>
    <s v="30-34"/>
    <x v="2"/>
  </r>
  <r>
    <x v="87"/>
    <x v="72"/>
    <x v="0"/>
    <n v="49"/>
    <x v="12"/>
    <x v="5"/>
    <x v="0"/>
    <x v="0"/>
    <x v="2"/>
    <x v="85"/>
    <s v="Active"/>
    <x v="1"/>
    <n v="103900"/>
    <x v="22"/>
    <n v="87.5"/>
    <n v="8"/>
    <x v="14"/>
    <n v="0"/>
    <n v="11"/>
    <n v="30"/>
    <x v="3"/>
    <n v="8658"/>
    <n v="1"/>
    <s v="45+"/>
    <x v="3"/>
  </r>
  <r>
    <x v="88"/>
    <x v="73"/>
    <x v="0"/>
    <n v="25"/>
    <x v="4"/>
    <x v="0"/>
    <x v="2"/>
    <x v="0"/>
    <x v="0"/>
    <x v="86"/>
    <s v="Active"/>
    <x v="2"/>
    <n v="84100"/>
    <x v="9"/>
    <n v="90.8"/>
    <n v="4"/>
    <x v="3"/>
    <n v="1"/>
    <n v="4"/>
    <n v="29"/>
    <x v="3"/>
    <n v="7008"/>
    <n v="8.4"/>
    <s v="25-29"/>
    <x v="1"/>
  </r>
  <r>
    <x v="89"/>
    <x v="74"/>
    <x v="1"/>
    <n v="30"/>
    <x v="11"/>
    <x v="5"/>
    <x v="3"/>
    <x v="0"/>
    <x v="7"/>
    <x v="87"/>
    <s v="Active"/>
    <x v="1"/>
    <n v="66700"/>
    <x v="0"/>
    <n v="93.1"/>
    <n v="3"/>
    <x v="1"/>
    <n v="1"/>
    <n v="29"/>
    <n v="15"/>
    <x v="3"/>
    <n v="5558"/>
    <n v="6.5"/>
    <s v="30-34"/>
    <x v="3"/>
  </r>
  <r>
    <x v="90"/>
    <x v="75"/>
    <x v="0"/>
    <n v="20"/>
    <x v="6"/>
    <x v="3"/>
    <x v="4"/>
    <x v="0"/>
    <x v="4"/>
    <x v="88"/>
    <s v="Active"/>
    <x v="0"/>
    <n v="142700"/>
    <x v="5"/>
    <n v="93.7"/>
    <n v="1"/>
    <x v="10"/>
    <n v="0"/>
    <n v="6"/>
    <n v="24"/>
    <x v="2"/>
    <n v="11892"/>
    <n v="7.5"/>
    <s v="20-24"/>
    <x v="3"/>
  </r>
  <r>
    <x v="91"/>
    <x v="53"/>
    <x v="1"/>
    <n v="46"/>
    <x v="1"/>
    <x v="0"/>
    <x v="3"/>
    <x v="0"/>
    <x v="2"/>
    <x v="89"/>
    <s v="Active"/>
    <x v="0"/>
    <n v="53400"/>
    <x v="7"/>
    <n v="76.8"/>
    <n v="5"/>
    <x v="1"/>
    <n v="0"/>
    <n v="2"/>
    <n v="5"/>
    <x v="5"/>
    <n v="4450"/>
    <n v="0.7"/>
    <s v="45+"/>
    <x v="1"/>
  </r>
  <r>
    <x v="92"/>
    <x v="76"/>
    <x v="0"/>
    <n v="34"/>
    <x v="14"/>
    <x v="0"/>
    <x v="3"/>
    <x v="0"/>
    <x v="3"/>
    <x v="90"/>
    <s v="Active"/>
    <x v="0"/>
    <n v="54700"/>
    <x v="27"/>
    <n v="90.5"/>
    <n v="8"/>
    <x v="1"/>
    <n v="4"/>
    <n v="12"/>
    <n v="21"/>
    <x v="4"/>
    <n v="4558"/>
    <n v="0.6"/>
    <s v="30-34"/>
    <x v="3"/>
  </r>
  <r>
    <x v="93"/>
    <x v="13"/>
    <x v="0"/>
    <n v="26"/>
    <x v="2"/>
    <x v="0"/>
    <x v="1"/>
    <x v="0"/>
    <x v="0"/>
    <x v="91"/>
    <s v="Active"/>
    <x v="1"/>
    <n v="32700"/>
    <x v="20"/>
    <n v="82.1"/>
    <n v="7"/>
    <x v="14"/>
    <n v="4"/>
    <n v="10"/>
    <n v="3"/>
    <x v="4"/>
    <n v="2725"/>
    <n v="7.7"/>
    <s v="25-29"/>
    <x v="2"/>
  </r>
  <r>
    <x v="94"/>
    <x v="77"/>
    <x v="0"/>
    <n v="30"/>
    <x v="1"/>
    <x v="5"/>
    <x v="1"/>
    <x v="2"/>
    <x v="4"/>
    <x v="92"/>
    <s v="Active"/>
    <x v="0"/>
    <n v="44900"/>
    <x v="0"/>
    <n v="95.5"/>
    <n v="3"/>
    <x v="13"/>
    <n v="1"/>
    <n v="9"/>
    <n v="10"/>
    <x v="6"/>
    <n v="3742"/>
    <n v="6.5"/>
    <s v="30-34"/>
    <x v="2"/>
  </r>
  <r>
    <x v="95"/>
    <x v="10"/>
    <x v="0"/>
    <n v="36"/>
    <x v="12"/>
    <x v="2"/>
    <x v="0"/>
    <x v="0"/>
    <x v="0"/>
    <x v="93"/>
    <s v="Active"/>
    <x v="1"/>
    <n v="83500"/>
    <x v="24"/>
    <n v="94.1"/>
    <n v="5"/>
    <x v="6"/>
    <n v="0"/>
    <n v="29"/>
    <n v="7"/>
    <x v="2"/>
    <n v="6958"/>
    <n v="7"/>
    <s v="35-39"/>
    <x v="1"/>
  </r>
  <r>
    <x v="96"/>
    <x v="76"/>
    <x v="0"/>
    <n v="24"/>
    <x v="2"/>
    <x v="5"/>
    <x v="2"/>
    <x v="0"/>
    <x v="6"/>
    <x v="94"/>
    <s v="Active"/>
    <x v="1"/>
    <n v="91000"/>
    <x v="9"/>
    <n v="85.7"/>
    <n v="8"/>
    <x v="13"/>
    <n v="4"/>
    <n v="8"/>
    <n v="30"/>
    <x v="4"/>
    <n v="7583"/>
    <n v="7.4"/>
    <s v="20-24"/>
    <x v="1"/>
  </r>
  <r>
    <x v="97"/>
    <x v="71"/>
    <x v="0"/>
    <n v="28"/>
    <x v="7"/>
    <x v="5"/>
    <x v="0"/>
    <x v="2"/>
    <x v="6"/>
    <x v="95"/>
    <s v="Active"/>
    <x v="1"/>
    <n v="105800"/>
    <x v="18"/>
    <n v="91.4"/>
    <n v="3"/>
    <x v="3"/>
    <n v="2"/>
    <n v="29"/>
    <n v="28"/>
    <x v="1"/>
    <n v="8817"/>
    <n v="4.5"/>
    <s v="25-29"/>
    <x v="1"/>
  </r>
  <r>
    <x v="98"/>
    <x v="78"/>
    <x v="0"/>
    <n v="45"/>
    <x v="14"/>
    <x v="2"/>
    <x v="1"/>
    <x v="0"/>
    <x v="4"/>
    <x v="96"/>
    <s v="Resigned"/>
    <x v="0"/>
    <n v="29700"/>
    <x v="11"/>
    <n v="81"/>
    <n v="8"/>
    <x v="7"/>
    <n v="0"/>
    <n v="28"/>
    <n v="20"/>
    <x v="4"/>
    <n v="2475"/>
    <n v="7.6"/>
    <s v="45+"/>
    <x v="3"/>
  </r>
  <r>
    <x v="99"/>
    <x v="79"/>
    <x v="1"/>
    <n v="35"/>
    <x v="5"/>
    <x v="4"/>
    <x v="1"/>
    <x v="0"/>
    <x v="3"/>
    <x v="97"/>
    <s v="Active"/>
    <x v="1"/>
    <n v="28500"/>
    <x v="16"/>
    <n v="93.2"/>
    <n v="7"/>
    <x v="15"/>
    <n v="3"/>
    <n v="5"/>
    <n v="4"/>
    <x v="5"/>
    <n v="2375"/>
    <n v="3.2"/>
    <s v="35-39"/>
    <x v="1"/>
  </r>
  <r>
    <x v="100"/>
    <x v="80"/>
    <x v="1"/>
    <n v="30"/>
    <x v="2"/>
    <x v="2"/>
    <x v="5"/>
    <x v="0"/>
    <x v="7"/>
    <x v="98"/>
    <s v="Active"/>
    <x v="1"/>
    <n v="20600"/>
    <x v="0"/>
    <n v="93.3"/>
    <n v="2"/>
    <x v="9"/>
    <n v="2"/>
    <n v="13"/>
    <n v="30"/>
    <x v="6"/>
    <n v="1717"/>
    <n v="1.9"/>
    <s v="30-34"/>
    <x v="3"/>
  </r>
  <r>
    <x v="101"/>
    <x v="61"/>
    <x v="0"/>
    <n v="45"/>
    <x v="13"/>
    <x v="6"/>
    <x v="3"/>
    <x v="0"/>
    <x v="7"/>
    <x v="99"/>
    <s v="Active"/>
    <x v="0"/>
    <n v="57300"/>
    <x v="8"/>
    <n v="94.8"/>
    <n v="8"/>
    <x v="5"/>
    <n v="2"/>
    <n v="9"/>
    <n v="14"/>
    <x v="1"/>
    <n v="4775"/>
    <n v="1.7"/>
    <s v="45+"/>
    <x v="1"/>
  </r>
  <r>
    <x v="102"/>
    <x v="81"/>
    <x v="1"/>
    <n v="44"/>
    <x v="0"/>
    <x v="0"/>
    <x v="4"/>
    <x v="0"/>
    <x v="1"/>
    <x v="100"/>
    <s v="Active"/>
    <x v="1"/>
    <n v="112200"/>
    <x v="8"/>
    <n v="94.1"/>
    <n v="4"/>
    <x v="8"/>
    <n v="0"/>
    <n v="24"/>
    <n v="28"/>
    <x v="5"/>
    <n v="9350"/>
    <n v="0.7"/>
    <s v="40-44"/>
    <x v="3"/>
  </r>
  <r>
    <x v="103"/>
    <x v="82"/>
    <x v="1"/>
    <n v="36"/>
    <x v="7"/>
    <x v="2"/>
    <x v="2"/>
    <x v="0"/>
    <x v="5"/>
    <x v="101"/>
    <s v="Resigned"/>
    <x v="0"/>
    <n v="67300"/>
    <x v="16"/>
    <n v="88.3"/>
    <n v="0"/>
    <x v="9"/>
    <n v="1"/>
    <n v="16"/>
    <n v="12"/>
    <x v="1"/>
    <n v="5608"/>
    <n v="8.3000000000000007"/>
    <s v="35-39"/>
    <x v="3"/>
  </r>
  <r>
    <x v="104"/>
    <x v="83"/>
    <x v="1"/>
    <n v="25"/>
    <x v="0"/>
    <x v="5"/>
    <x v="3"/>
    <x v="0"/>
    <x v="5"/>
    <x v="102"/>
    <s v="Active"/>
    <x v="0"/>
    <n v="61900"/>
    <x v="10"/>
    <n v="85.9"/>
    <n v="7"/>
    <x v="3"/>
    <n v="3"/>
    <n v="1"/>
    <n v="29"/>
    <x v="2"/>
    <n v="5158"/>
    <n v="6.5"/>
    <s v="25-29"/>
    <x v="3"/>
  </r>
  <r>
    <x v="105"/>
    <x v="30"/>
    <x v="1"/>
    <n v="34"/>
    <x v="2"/>
    <x v="6"/>
    <x v="0"/>
    <x v="3"/>
    <x v="6"/>
    <x v="103"/>
    <s v="Active"/>
    <x v="0"/>
    <n v="102700"/>
    <x v="28"/>
    <n v="87.5"/>
    <n v="4"/>
    <x v="15"/>
    <n v="4"/>
    <n v="25"/>
    <n v="15"/>
    <x v="5"/>
    <n v="8558"/>
    <n v="3.3"/>
    <s v="30-34"/>
    <x v="2"/>
  </r>
  <r>
    <x v="106"/>
    <x v="84"/>
    <x v="0"/>
    <n v="48"/>
    <x v="10"/>
    <x v="1"/>
    <x v="2"/>
    <x v="0"/>
    <x v="6"/>
    <x v="104"/>
    <s v="Active"/>
    <x v="2"/>
    <n v="60300"/>
    <x v="3"/>
    <n v="90.4"/>
    <n v="4"/>
    <x v="3"/>
    <n v="4"/>
    <n v="1"/>
    <n v="18"/>
    <x v="3"/>
    <n v="5025"/>
    <n v="2.5"/>
    <s v="45+"/>
    <x v="1"/>
  </r>
  <r>
    <x v="107"/>
    <x v="47"/>
    <x v="1"/>
    <n v="22"/>
    <x v="13"/>
    <x v="0"/>
    <x v="5"/>
    <x v="0"/>
    <x v="0"/>
    <x v="105"/>
    <s v="Active"/>
    <x v="1"/>
    <n v="21400"/>
    <x v="10"/>
    <n v="84.7"/>
    <n v="1"/>
    <x v="2"/>
    <n v="1"/>
    <n v="26"/>
    <n v="19"/>
    <x v="0"/>
    <n v="1783"/>
    <n v="8.5"/>
    <s v="20-24"/>
    <x v="1"/>
  </r>
  <r>
    <x v="108"/>
    <x v="85"/>
    <x v="1"/>
    <n v="50"/>
    <x v="8"/>
    <x v="2"/>
    <x v="0"/>
    <x v="0"/>
    <x v="3"/>
    <x v="106"/>
    <s v="Active"/>
    <x v="2"/>
    <n v="80000"/>
    <x v="29"/>
    <n v="89.3"/>
    <n v="8"/>
    <x v="9"/>
    <n v="3"/>
    <n v="23"/>
    <n v="6"/>
    <x v="5"/>
    <n v="6667"/>
    <n v="7.9"/>
    <s v="45+"/>
    <x v="2"/>
  </r>
  <r>
    <x v="109"/>
    <x v="74"/>
    <x v="0"/>
    <n v="47"/>
    <x v="11"/>
    <x v="3"/>
    <x v="3"/>
    <x v="0"/>
    <x v="0"/>
    <x v="107"/>
    <s v="Active"/>
    <x v="1"/>
    <n v="73000"/>
    <x v="22"/>
    <n v="89.3"/>
    <n v="5"/>
    <x v="10"/>
    <n v="3"/>
    <n v="3"/>
    <n v="26"/>
    <x v="2"/>
    <n v="6083"/>
    <n v="4.9000000000000004"/>
    <s v="45+"/>
    <x v="3"/>
  </r>
  <r>
    <x v="110"/>
    <x v="86"/>
    <x v="0"/>
    <n v="28"/>
    <x v="11"/>
    <x v="3"/>
    <x v="1"/>
    <x v="0"/>
    <x v="1"/>
    <x v="108"/>
    <s v="Resigned"/>
    <x v="0"/>
    <n v="45100"/>
    <x v="1"/>
    <n v="96.6"/>
    <n v="2"/>
    <x v="5"/>
    <n v="2"/>
    <n v="6"/>
    <n v="4"/>
    <x v="1"/>
    <n v="3758"/>
    <n v="3.9"/>
    <s v="25-29"/>
    <x v="1"/>
  </r>
  <r>
    <x v="111"/>
    <x v="44"/>
    <x v="0"/>
    <n v="49"/>
    <x v="11"/>
    <x v="2"/>
    <x v="1"/>
    <x v="2"/>
    <x v="1"/>
    <x v="109"/>
    <s v="Active"/>
    <x v="0"/>
    <n v="29500"/>
    <x v="26"/>
    <n v="93.4"/>
    <n v="6"/>
    <x v="12"/>
    <n v="2"/>
    <n v="19"/>
    <n v="8"/>
    <x v="6"/>
    <n v="2458"/>
    <n v="1"/>
    <s v="45+"/>
    <x v="2"/>
  </r>
  <r>
    <x v="112"/>
    <x v="87"/>
    <x v="0"/>
    <n v="31"/>
    <x v="2"/>
    <x v="1"/>
    <x v="3"/>
    <x v="0"/>
    <x v="2"/>
    <x v="110"/>
    <s v="Active"/>
    <x v="0"/>
    <n v="45100"/>
    <x v="28"/>
    <n v="87.4"/>
    <n v="1"/>
    <x v="5"/>
    <n v="3"/>
    <n v="3"/>
    <n v="7"/>
    <x v="5"/>
    <n v="3758"/>
    <n v="7.8"/>
    <s v="30-34"/>
    <x v="1"/>
  </r>
  <r>
    <x v="113"/>
    <x v="17"/>
    <x v="1"/>
    <n v="38"/>
    <x v="11"/>
    <x v="0"/>
    <x v="3"/>
    <x v="0"/>
    <x v="0"/>
    <x v="111"/>
    <s v="On Leave"/>
    <x v="1"/>
    <n v="47100"/>
    <x v="14"/>
    <n v="92.5"/>
    <n v="6"/>
    <x v="12"/>
    <n v="0"/>
    <n v="7"/>
    <n v="28"/>
    <x v="4"/>
    <n v="3925"/>
    <n v="6.3"/>
    <s v="35-39"/>
    <x v="2"/>
  </r>
  <r>
    <x v="114"/>
    <x v="88"/>
    <x v="1"/>
    <n v="37"/>
    <x v="10"/>
    <x v="0"/>
    <x v="3"/>
    <x v="0"/>
    <x v="3"/>
    <x v="112"/>
    <s v="On Leave"/>
    <x v="0"/>
    <n v="46300"/>
    <x v="17"/>
    <n v="93.1"/>
    <n v="1"/>
    <x v="15"/>
    <n v="0"/>
    <n v="13"/>
    <n v="4"/>
    <x v="1"/>
    <n v="3858"/>
    <n v="5.5"/>
    <s v="35-39"/>
    <x v="1"/>
  </r>
  <r>
    <x v="115"/>
    <x v="75"/>
    <x v="0"/>
    <n v="35"/>
    <x v="10"/>
    <x v="1"/>
    <x v="1"/>
    <x v="0"/>
    <x v="5"/>
    <x v="113"/>
    <s v="Active"/>
    <x v="0"/>
    <n v="37400"/>
    <x v="13"/>
    <n v="82.3"/>
    <n v="4"/>
    <x v="11"/>
    <n v="0"/>
    <n v="26"/>
    <n v="28"/>
    <x v="2"/>
    <n v="3117"/>
    <n v="3.9"/>
    <s v="35-39"/>
    <x v="1"/>
  </r>
  <r>
    <x v="116"/>
    <x v="89"/>
    <x v="1"/>
    <n v="27"/>
    <x v="13"/>
    <x v="4"/>
    <x v="2"/>
    <x v="0"/>
    <x v="2"/>
    <x v="114"/>
    <s v="Active"/>
    <x v="1"/>
    <n v="66100"/>
    <x v="9"/>
    <n v="100"/>
    <n v="8"/>
    <x v="4"/>
    <n v="3"/>
    <n v="25"/>
    <n v="21"/>
    <x v="4"/>
    <n v="5508"/>
    <n v="4"/>
    <s v="25-29"/>
    <x v="1"/>
  </r>
  <r>
    <x v="117"/>
    <x v="90"/>
    <x v="0"/>
    <n v="38"/>
    <x v="7"/>
    <x v="3"/>
    <x v="4"/>
    <x v="0"/>
    <x v="4"/>
    <x v="115"/>
    <s v="Active"/>
    <x v="2"/>
    <n v="154200"/>
    <x v="25"/>
    <n v="90.1"/>
    <n v="8"/>
    <x v="15"/>
    <n v="4"/>
    <n v="19"/>
    <n v="14"/>
    <x v="0"/>
    <n v="12850"/>
    <n v="4.2"/>
    <s v="35-39"/>
    <x v="3"/>
  </r>
  <r>
    <x v="118"/>
    <x v="91"/>
    <x v="0"/>
    <n v="50"/>
    <x v="14"/>
    <x v="4"/>
    <x v="2"/>
    <x v="0"/>
    <x v="3"/>
    <x v="116"/>
    <s v="Active"/>
    <x v="0"/>
    <n v="62600"/>
    <x v="6"/>
    <n v="86.5"/>
    <n v="5"/>
    <x v="14"/>
    <n v="0"/>
    <n v="2"/>
    <n v="12"/>
    <x v="5"/>
    <n v="5217"/>
    <n v="7.4"/>
    <s v="45+"/>
    <x v="3"/>
  </r>
  <r>
    <x v="119"/>
    <x v="92"/>
    <x v="0"/>
    <n v="24"/>
    <x v="14"/>
    <x v="4"/>
    <x v="3"/>
    <x v="0"/>
    <x v="6"/>
    <x v="117"/>
    <s v="Active"/>
    <x v="1"/>
    <n v="46500"/>
    <x v="5"/>
    <n v="91.1"/>
    <n v="2"/>
    <x v="15"/>
    <n v="4"/>
    <n v="10"/>
    <n v="28"/>
    <x v="0"/>
    <n v="3875"/>
    <n v="2.2000000000000002"/>
    <s v="20-24"/>
    <x v="3"/>
  </r>
  <r>
    <x v="120"/>
    <x v="25"/>
    <x v="0"/>
    <n v="31"/>
    <x v="13"/>
    <x v="4"/>
    <x v="1"/>
    <x v="0"/>
    <x v="1"/>
    <x v="118"/>
    <s v="Active"/>
    <x v="1"/>
    <n v="29500"/>
    <x v="28"/>
    <n v="86.4"/>
    <n v="3"/>
    <x v="11"/>
    <n v="0"/>
    <n v="25"/>
    <n v="22"/>
    <x v="6"/>
    <n v="2458"/>
    <n v="7"/>
    <s v="30-34"/>
    <x v="1"/>
  </r>
  <r>
    <x v="121"/>
    <x v="93"/>
    <x v="0"/>
    <n v="25"/>
    <x v="8"/>
    <x v="7"/>
    <x v="1"/>
    <x v="0"/>
    <x v="6"/>
    <x v="119"/>
    <s v="Active"/>
    <x v="1"/>
    <n v="24000"/>
    <x v="2"/>
    <n v="82.2"/>
    <n v="3"/>
    <x v="6"/>
    <n v="3"/>
    <n v="24"/>
    <n v="3"/>
    <x v="0"/>
    <n v="2000"/>
    <n v="4.9000000000000004"/>
    <s v="25-29"/>
    <x v="3"/>
  </r>
  <r>
    <x v="122"/>
    <x v="94"/>
    <x v="0"/>
    <n v="50"/>
    <x v="9"/>
    <x v="2"/>
    <x v="1"/>
    <x v="0"/>
    <x v="7"/>
    <x v="120"/>
    <s v="Active"/>
    <x v="1"/>
    <n v="35000"/>
    <x v="6"/>
    <n v="93.8"/>
    <n v="8"/>
    <x v="8"/>
    <n v="0"/>
    <n v="2"/>
    <n v="9"/>
    <x v="6"/>
    <n v="2917"/>
    <n v="4.8"/>
    <s v="45+"/>
    <x v="1"/>
  </r>
  <r>
    <x v="123"/>
    <x v="74"/>
    <x v="0"/>
    <n v="31"/>
    <x v="0"/>
    <x v="2"/>
    <x v="2"/>
    <x v="3"/>
    <x v="6"/>
    <x v="121"/>
    <s v="On Leave"/>
    <x v="2"/>
    <n v="61300"/>
    <x v="24"/>
    <n v="91.2"/>
    <n v="3"/>
    <x v="4"/>
    <n v="4"/>
    <n v="4"/>
    <n v="13"/>
    <x v="5"/>
    <n v="5108"/>
    <n v="1.3"/>
    <s v="30-34"/>
    <x v="1"/>
  </r>
  <r>
    <x v="124"/>
    <x v="77"/>
    <x v="1"/>
    <n v="45"/>
    <x v="9"/>
    <x v="4"/>
    <x v="2"/>
    <x v="0"/>
    <x v="7"/>
    <x v="122"/>
    <s v="On Leave"/>
    <x v="0"/>
    <n v="68800"/>
    <x v="19"/>
    <n v="92.3"/>
    <n v="3"/>
    <x v="9"/>
    <n v="1"/>
    <n v="15"/>
    <n v="13"/>
    <x v="2"/>
    <n v="5733"/>
    <n v="2.4"/>
    <s v="45+"/>
    <x v="1"/>
  </r>
  <r>
    <x v="125"/>
    <x v="11"/>
    <x v="0"/>
    <n v="34"/>
    <x v="10"/>
    <x v="7"/>
    <x v="2"/>
    <x v="0"/>
    <x v="3"/>
    <x v="123"/>
    <s v="Active"/>
    <x v="1"/>
    <n v="59100"/>
    <x v="27"/>
    <n v="82.5"/>
    <n v="4"/>
    <x v="7"/>
    <n v="4"/>
    <n v="10"/>
    <n v="24"/>
    <x v="1"/>
    <n v="4925"/>
    <n v="3"/>
    <s v="30-34"/>
    <x v="1"/>
  </r>
  <r>
    <x v="126"/>
    <x v="95"/>
    <x v="0"/>
    <n v="49"/>
    <x v="10"/>
    <x v="5"/>
    <x v="2"/>
    <x v="0"/>
    <x v="3"/>
    <x v="124"/>
    <s v="Active"/>
    <x v="0"/>
    <n v="83900"/>
    <x v="22"/>
    <n v="93.3"/>
    <n v="5"/>
    <x v="2"/>
    <n v="1"/>
    <n v="0"/>
    <n v="16"/>
    <x v="3"/>
    <n v="6992"/>
    <n v="3.3"/>
    <s v="45+"/>
    <x v="2"/>
  </r>
  <r>
    <x v="127"/>
    <x v="96"/>
    <x v="0"/>
    <n v="29"/>
    <x v="5"/>
    <x v="3"/>
    <x v="3"/>
    <x v="0"/>
    <x v="7"/>
    <x v="125"/>
    <s v="Active"/>
    <x v="0"/>
    <n v="71100"/>
    <x v="0"/>
    <n v="89.9"/>
    <n v="7"/>
    <x v="11"/>
    <n v="4"/>
    <n v="8"/>
    <n v="26"/>
    <x v="1"/>
    <n v="5925"/>
    <n v="6.3"/>
    <s v="25-29"/>
    <x v="1"/>
  </r>
  <r>
    <x v="128"/>
    <x v="44"/>
    <x v="0"/>
    <n v="36"/>
    <x v="10"/>
    <x v="6"/>
    <x v="3"/>
    <x v="0"/>
    <x v="2"/>
    <x v="126"/>
    <s v="Active"/>
    <x v="1"/>
    <n v="43800"/>
    <x v="13"/>
    <n v="84.7"/>
    <n v="0"/>
    <x v="11"/>
    <n v="0"/>
    <n v="21"/>
    <n v="9"/>
    <x v="5"/>
    <n v="3650"/>
    <n v="1.9"/>
    <s v="35-39"/>
    <x v="1"/>
  </r>
  <r>
    <x v="129"/>
    <x v="15"/>
    <x v="0"/>
    <n v="26"/>
    <x v="0"/>
    <x v="1"/>
    <x v="2"/>
    <x v="0"/>
    <x v="7"/>
    <x v="2"/>
    <s v="Active"/>
    <x v="2"/>
    <n v="67200"/>
    <x v="9"/>
    <n v="86.5"/>
    <n v="4"/>
    <x v="4"/>
    <n v="0"/>
    <n v="4"/>
    <n v="13"/>
    <x v="5"/>
    <n v="5600"/>
    <n v="7.1"/>
    <s v="25-29"/>
    <x v="2"/>
  </r>
  <r>
    <x v="130"/>
    <x v="97"/>
    <x v="1"/>
    <n v="46"/>
    <x v="9"/>
    <x v="6"/>
    <x v="3"/>
    <x v="0"/>
    <x v="1"/>
    <x v="127"/>
    <s v="Active"/>
    <x v="2"/>
    <n v="52600"/>
    <x v="8"/>
    <n v="98.9"/>
    <n v="8"/>
    <x v="11"/>
    <n v="4"/>
    <n v="19"/>
    <n v="24"/>
    <x v="6"/>
    <n v="4383"/>
    <n v="5.5"/>
    <s v="45+"/>
    <x v="2"/>
  </r>
  <r>
    <x v="131"/>
    <x v="88"/>
    <x v="0"/>
    <n v="26"/>
    <x v="11"/>
    <x v="2"/>
    <x v="1"/>
    <x v="0"/>
    <x v="5"/>
    <x v="128"/>
    <s v="Active"/>
    <x v="0"/>
    <n v="34000"/>
    <x v="30"/>
    <n v="88.8"/>
    <n v="3"/>
    <x v="14"/>
    <n v="0"/>
    <n v="23"/>
    <n v="26"/>
    <x v="5"/>
    <n v="2833"/>
    <n v="3.9"/>
    <s v="25-29"/>
    <x v="2"/>
  </r>
  <r>
    <x v="132"/>
    <x v="66"/>
    <x v="0"/>
    <n v="50"/>
    <x v="1"/>
    <x v="5"/>
    <x v="3"/>
    <x v="2"/>
    <x v="0"/>
    <x v="129"/>
    <s v="Active"/>
    <x v="0"/>
    <n v="57300"/>
    <x v="19"/>
    <n v="98.6"/>
    <n v="7"/>
    <x v="6"/>
    <n v="0"/>
    <n v="10"/>
    <n v="11"/>
    <x v="5"/>
    <n v="4775"/>
    <n v="1.1000000000000001"/>
    <s v="45+"/>
    <x v="2"/>
  </r>
  <r>
    <x v="133"/>
    <x v="43"/>
    <x v="0"/>
    <n v="40"/>
    <x v="13"/>
    <x v="3"/>
    <x v="3"/>
    <x v="0"/>
    <x v="3"/>
    <x v="130"/>
    <s v="Active"/>
    <x v="1"/>
    <n v="69000"/>
    <x v="14"/>
    <n v="86.2"/>
    <n v="8"/>
    <x v="15"/>
    <n v="3"/>
    <n v="1"/>
    <n v="22"/>
    <x v="6"/>
    <n v="5750"/>
    <n v="0.7"/>
    <s v="40-44"/>
    <x v="1"/>
  </r>
  <r>
    <x v="134"/>
    <x v="98"/>
    <x v="1"/>
    <n v="44"/>
    <x v="1"/>
    <x v="1"/>
    <x v="1"/>
    <x v="0"/>
    <x v="2"/>
    <x v="131"/>
    <s v="Active"/>
    <x v="1"/>
    <n v="39400"/>
    <x v="3"/>
    <n v="88.1"/>
    <n v="0"/>
    <x v="13"/>
    <n v="2"/>
    <n v="29"/>
    <n v="4"/>
    <x v="6"/>
    <n v="3283"/>
    <n v="0.8"/>
    <s v="40-44"/>
    <x v="1"/>
  </r>
  <r>
    <x v="135"/>
    <x v="29"/>
    <x v="1"/>
    <n v="30"/>
    <x v="14"/>
    <x v="4"/>
    <x v="0"/>
    <x v="0"/>
    <x v="4"/>
    <x v="132"/>
    <s v="Active"/>
    <x v="1"/>
    <n v="75700"/>
    <x v="15"/>
    <n v="88.9"/>
    <n v="7"/>
    <x v="8"/>
    <n v="2"/>
    <n v="9"/>
    <n v="7"/>
    <x v="2"/>
    <n v="6308"/>
    <n v="4.7"/>
    <s v="30-34"/>
    <x v="3"/>
  </r>
  <r>
    <x v="136"/>
    <x v="99"/>
    <x v="0"/>
    <n v="21"/>
    <x v="7"/>
    <x v="5"/>
    <x v="0"/>
    <x v="2"/>
    <x v="1"/>
    <x v="133"/>
    <s v="On Leave"/>
    <x v="2"/>
    <n v="137700"/>
    <x v="5"/>
    <n v="94.9"/>
    <n v="7"/>
    <x v="8"/>
    <n v="4"/>
    <n v="4"/>
    <n v="26"/>
    <x v="4"/>
    <n v="11475"/>
    <n v="3.4"/>
    <s v="20-24"/>
    <x v="1"/>
  </r>
  <r>
    <x v="137"/>
    <x v="99"/>
    <x v="1"/>
    <n v="40"/>
    <x v="2"/>
    <x v="1"/>
    <x v="1"/>
    <x v="0"/>
    <x v="0"/>
    <x v="134"/>
    <s v="Active"/>
    <x v="1"/>
    <n v="34700"/>
    <x v="14"/>
    <n v="92.2"/>
    <n v="4"/>
    <x v="9"/>
    <n v="2"/>
    <n v="23"/>
    <n v="23"/>
    <x v="5"/>
    <n v="2892"/>
    <n v="0.4"/>
    <s v="40-44"/>
    <x v="1"/>
  </r>
  <r>
    <x v="138"/>
    <x v="100"/>
    <x v="0"/>
    <n v="21"/>
    <x v="2"/>
    <x v="6"/>
    <x v="1"/>
    <x v="0"/>
    <x v="2"/>
    <x v="135"/>
    <s v="Resigned"/>
    <x v="0"/>
    <n v="40600"/>
    <x v="5"/>
    <n v="91.8"/>
    <n v="1"/>
    <x v="9"/>
    <n v="1"/>
    <n v="16"/>
    <n v="29"/>
    <x v="3"/>
    <n v="3383"/>
    <n v="7.4"/>
    <s v="20-24"/>
    <x v="3"/>
  </r>
  <r>
    <x v="139"/>
    <x v="30"/>
    <x v="0"/>
    <n v="33"/>
    <x v="5"/>
    <x v="1"/>
    <x v="2"/>
    <x v="2"/>
    <x v="5"/>
    <x v="136"/>
    <s v="Active"/>
    <x v="2"/>
    <n v="63200"/>
    <x v="17"/>
    <n v="96.2"/>
    <n v="6"/>
    <x v="4"/>
    <n v="4"/>
    <n v="11"/>
    <n v="16"/>
    <x v="3"/>
    <n v="5267"/>
    <n v="1.1000000000000001"/>
    <s v="30-34"/>
    <x v="2"/>
  </r>
  <r>
    <x v="140"/>
    <x v="99"/>
    <x v="0"/>
    <n v="37"/>
    <x v="1"/>
    <x v="2"/>
    <x v="1"/>
    <x v="0"/>
    <x v="5"/>
    <x v="137"/>
    <s v="Resigned"/>
    <x v="2"/>
    <n v="36600"/>
    <x v="12"/>
    <n v="94"/>
    <n v="4"/>
    <x v="2"/>
    <n v="4"/>
    <n v="2"/>
    <n v="15"/>
    <x v="5"/>
    <n v="3050"/>
    <n v="2"/>
    <s v="35-39"/>
    <x v="3"/>
  </r>
  <r>
    <x v="141"/>
    <x v="101"/>
    <x v="1"/>
    <n v="35"/>
    <x v="1"/>
    <x v="1"/>
    <x v="3"/>
    <x v="0"/>
    <x v="3"/>
    <x v="138"/>
    <s v="On Leave"/>
    <x v="1"/>
    <n v="41700"/>
    <x v="12"/>
    <n v="84.2"/>
    <n v="4"/>
    <x v="2"/>
    <n v="1"/>
    <n v="6"/>
    <n v="4"/>
    <x v="5"/>
    <n v="3475"/>
    <n v="1.8"/>
    <s v="35-39"/>
    <x v="2"/>
  </r>
  <r>
    <x v="142"/>
    <x v="101"/>
    <x v="1"/>
    <n v="47"/>
    <x v="11"/>
    <x v="3"/>
    <x v="1"/>
    <x v="0"/>
    <x v="2"/>
    <x v="139"/>
    <s v="Active"/>
    <x v="0"/>
    <n v="49500"/>
    <x v="21"/>
    <n v="95.8"/>
    <n v="5"/>
    <x v="11"/>
    <n v="2"/>
    <n v="10"/>
    <n v="19"/>
    <x v="0"/>
    <n v="4125"/>
    <n v="6.9"/>
    <s v="45+"/>
    <x v="3"/>
  </r>
  <r>
    <x v="143"/>
    <x v="102"/>
    <x v="0"/>
    <n v="30"/>
    <x v="9"/>
    <x v="2"/>
    <x v="1"/>
    <x v="2"/>
    <x v="1"/>
    <x v="140"/>
    <s v="Active"/>
    <x v="0"/>
    <n v="35300"/>
    <x v="28"/>
    <n v="85.6"/>
    <n v="7"/>
    <x v="10"/>
    <n v="1"/>
    <n v="30"/>
    <n v="22"/>
    <x v="6"/>
    <n v="2942"/>
    <n v="3.5"/>
    <s v="30-34"/>
    <x v="1"/>
  </r>
  <r>
    <x v="144"/>
    <x v="103"/>
    <x v="0"/>
    <n v="28"/>
    <x v="12"/>
    <x v="7"/>
    <x v="2"/>
    <x v="2"/>
    <x v="7"/>
    <x v="141"/>
    <s v="Active"/>
    <x v="0"/>
    <n v="50700"/>
    <x v="0"/>
    <n v="95.9"/>
    <n v="0"/>
    <x v="0"/>
    <n v="0"/>
    <n v="10"/>
    <n v="25"/>
    <x v="2"/>
    <n v="4225"/>
    <n v="2.1"/>
    <s v="25-29"/>
    <x v="3"/>
  </r>
  <r>
    <x v="145"/>
    <x v="104"/>
    <x v="1"/>
    <n v="26"/>
    <x v="3"/>
    <x v="5"/>
    <x v="0"/>
    <x v="2"/>
    <x v="3"/>
    <x v="142"/>
    <s v="Active"/>
    <x v="0"/>
    <n v="109800"/>
    <x v="15"/>
    <n v="93.2"/>
    <n v="2"/>
    <x v="12"/>
    <n v="4"/>
    <n v="25"/>
    <n v="25"/>
    <x v="1"/>
    <n v="9150"/>
    <n v="2.6"/>
    <s v="25-29"/>
    <x v="2"/>
  </r>
  <r>
    <x v="146"/>
    <x v="53"/>
    <x v="1"/>
    <n v="23"/>
    <x v="1"/>
    <x v="1"/>
    <x v="1"/>
    <x v="0"/>
    <x v="0"/>
    <x v="143"/>
    <s v="Active"/>
    <x v="1"/>
    <n v="37600"/>
    <x v="20"/>
    <n v="93.8"/>
    <n v="6"/>
    <x v="9"/>
    <n v="3"/>
    <n v="11"/>
    <n v="18"/>
    <x v="2"/>
    <n v="3133"/>
    <n v="0.7"/>
    <s v="20-24"/>
    <x v="1"/>
  </r>
  <r>
    <x v="147"/>
    <x v="11"/>
    <x v="0"/>
    <n v="35"/>
    <x v="4"/>
    <x v="4"/>
    <x v="3"/>
    <x v="2"/>
    <x v="4"/>
    <x v="144"/>
    <s v="On Leave"/>
    <x v="0"/>
    <n v="47200"/>
    <x v="24"/>
    <n v="88.8"/>
    <n v="8"/>
    <x v="6"/>
    <n v="1"/>
    <n v="4"/>
    <n v="29"/>
    <x v="6"/>
    <n v="3933"/>
    <n v="6.6"/>
    <s v="35-39"/>
    <x v="2"/>
  </r>
  <r>
    <x v="148"/>
    <x v="62"/>
    <x v="1"/>
    <n v="33"/>
    <x v="0"/>
    <x v="6"/>
    <x v="1"/>
    <x v="0"/>
    <x v="6"/>
    <x v="145"/>
    <s v="Active"/>
    <x v="1"/>
    <n v="33900"/>
    <x v="27"/>
    <n v="85.6"/>
    <n v="1"/>
    <x v="9"/>
    <n v="4"/>
    <n v="9"/>
    <n v="15"/>
    <x v="3"/>
    <n v="2825"/>
    <n v="1.7"/>
    <s v="30-34"/>
    <x v="1"/>
  </r>
  <r>
    <x v="149"/>
    <x v="105"/>
    <x v="1"/>
    <n v="30"/>
    <x v="0"/>
    <x v="3"/>
    <x v="1"/>
    <x v="0"/>
    <x v="3"/>
    <x v="146"/>
    <s v="Active"/>
    <x v="1"/>
    <n v="43200"/>
    <x v="27"/>
    <n v="90.2"/>
    <n v="3"/>
    <x v="0"/>
    <n v="4"/>
    <n v="24"/>
    <n v="15"/>
    <x v="4"/>
    <n v="3600"/>
    <n v="6"/>
    <s v="30-34"/>
    <x v="1"/>
  </r>
  <r>
    <x v="150"/>
    <x v="85"/>
    <x v="0"/>
    <n v="49"/>
    <x v="12"/>
    <x v="5"/>
    <x v="4"/>
    <x v="0"/>
    <x v="1"/>
    <x v="147"/>
    <s v="Active"/>
    <x v="1"/>
    <n v="171500"/>
    <x v="22"/>
    <n v="92.5"/>
    <n v="3"/>
    <x v="13"/>
    <n v="1"/>
    <n v="11"/>
    <n v="17"/>
    <x v="3"/>
    <n v="14292"/>
    <n v="2.9"/>
    <s v="45+"/>
    <x v="3"/>
  </r>
  <r>
    <x v="151"/>
    <x v="106"/>
    <x v="0"/>
    <n v="27"/>
    <x v="9"/>
    <x v="5"/>
    <x v="2"/>
    <x v="0"/>
    <x v="6"/>
    <x v="148"/>
    <s v="Active"/>
    <x v="1"/>
    <n v="90700"/>
    <x v="15"/>
    <n v="93.9"/>
    <n v="6"/>
    <x v="3"/>
    <n v="3"/>
    <n v="13"/>
    <n v="20"/>
    <x v="3"/>
    <n v="7558"/>
    <n v="3.8"/>
    <s v="25-29"/>
    <x v="1"/>
  </r>
  <r>
    <x v="152"/>
    <x v="78"/>
    <x v="0"/>
    <n v="30"/>
    <x v="11"/>
    <x v="3"/>
    <x v="3"/>
    <x v="0"/>
    <x v="0"/>
    <x v="149"/>
    <s v="Active"/>
    <x v="0"/>
    <n v="54500"/>
    <x v="1"/>
    <n v="88.4"/>
    <n v="4"/>
    <x v="15"/>
    <n v="4"/>
    <n v="0"/>
    <n v="28"/>
    <x v="4"/>
    <n v="4542"/>
    <n v="4.4000000000000004"/>
    <s v="30-34"/>
    <x v="1"/>
  </r>
  <r>
    <x v="153"/>
    <x v="11"/>
    <x v="1"/>
    <n v="46"/>
    <x v="6"/>
    <x v="0"/>
    <x v="2"/>
    <x v="0"/>
    <x v="1"/>
    <x v="150"/>
    <s v="Active"/>
    <x v="2"/>
    <n v="86800"/>
    <x v="8"/>
    <n v="87.6"/>
    <n v="4"/>
    <x v="11"/>
    <n v="0"/>
    <n v="26"/>
    <n v="12"/>
    <x v="4"/>
    <n v="7233"/>
    <n v="3.9"/>
    <s v="45+"/>
    <x v="1"/>
  </r>
  <r>
    <x v="154"/>
    <x v="39"/>
    <x v="1"/>
    <n v="48"/>
    <x v="1"/>
    <x v="2"/>
    <x v="0"/>
    <x v="2"/>
    <x v="5"/>
    <x v="151"/>
    <s v="Active"/>
    <x v="0"/>
    <n v="85000"/>
    <x v="26"/>
    <n v="89.4"/>
    <n v="6"/>
    <x v="12"/>
    <n v="0"/>
    <n v="13"/>
    <n v="6"/>
    <x v="2"/>
    <n v="7083"/>
    <n v="5.3"/>
    <s v="45+"/>
    <x v="1"/>
  </r>
  <r>
    <x v="155"/>
    <x v="107"/>
    <x v="1"/>
    <n v="39"/>
    <x v="6"/>
    <x v="6"/>
    <x v="0"/>
    <x v="0"/>
    <x v="5"/>
    <x v="152"/>
    <s v="Active"/>
    <x v="2"/>
    <n v="89300"/>
    <x v="4"/>
    <n v="95"/>
    <n v="1"/>
    <x v="8"/>
    <n v="0"/>
    <n v="6"/>
    <n v="2"/>
    <x v="4"/>
    <n v="7442"/>
    <n v="5.3"/>
    <s v="35-39"/>
    <x v="1"/>
  </r>
  <r>
    <x v="156"/>
    <x v="15"/>
    <x v="1"/>
    <n v="36"/>
    <x v="2"/>
    <x v="7"/>
    <x v="5"/>
    <x v="0"/>
    <x v="3"/>
    <x v="153"/>
    <s v="Active"/>
    <x v="0"/>
    <n v="18000"/>
    <x v="13"/>
    <n v="82"/>
    <n v="7"/>
    <x v="14"/>
    <n v="3"/>
    <n v="9"/>
    <n v="30"/>
    <x v="6"/>
    <n v="1500"/>
    <n v="3.4"/>
    <s v="35-39"/>
    <x v="1"/>
  </r>
  <r>
    <x v="157"/>
    <x v="86"/>
    <x v="0"/>
    <n v="47"/>
    <x v="3"/>
    <x v="5"/>
    <x v="1"/>
    <x v="2"/>
    <x v="2"/>
    <x v="154"/>
    <s v="Active"/>
    <x v="0"/>
    <n v="52100"/>
    <x v="21"/>
    <n v="89.6"/>
    <n v="5"/>
    <x v="5"/>
    <n v="2"/>
    <n v="11"/>
    <n v="23"/>
    <x v="4"/>
    <n v="4342"/>
    <n v="0.3"/>
    <s v="45+"/>
    <x v="3"/>
  </r>
  <r>
    <x v="158"/>
    <x v="73"/>
    <x v="0"/>
    <n v="49"/>
    <x v="1"/>
    <x v="5"/>
    <x v="2"/>
    <x v="0"/>
    <x v="1"/>
    <x v="155"/>
    <s v="Resigned"/>
    <x v="2"/>
    <n v="86900"/>
    <x v="19"/>
    <n v="87.5"/>
    <n v="4"/>
    <x v="6"/>
    <n v="0"/>
    <n v="5"/>
    <n v="21"/>
    <x v="3"/>
    <n v="7242"/>
    <n v="4.4000000000000004"/>
    <s v="45+"/>
    <x v="1"/>
  </r>
  <r>
    <x v="159"/>
    <x v="65"/>
    <x v="1"/>
    <n v="45"/>
    <x v="0"/>
    <x v="6"/>
    <x v="3"/>
    <x v="0"/>
    <x v="7"/>
    <x v="156"/>
    <s v="Active"/>
    <x v="1"/>
    <n v="53000"/>
    <x v="3"/>
    <n v="93.5"/>
    <n v="0"/>
    <x v="9"/>
    <n v="1"/>
    <n v="15"/>
    <n v="26"/>
    <x v="6"/>
    <n v="4417"/>
    <n v="7.5"/>
    <s v="45+"/>
    <x v="2"/>
  </r>
  <r>
    <x v="160"/>
    <x v="102"/>
    <x v="0"/>
    <n v="49"/>
    <x v="14"/>
    <x v="3"/>
    <x v="4"/>
    <x v="0"/>
    <x v="6"/>
    <x v="157"/>
    <s v="On Leave"/>
    <x v="1"/>
    <n v="166200"/>
    <x v="26"/>
    <n v="96.4"/>
    <n v="1"/>
    <x v="3"/>
    <n v="2"/>
    <n v="9"/>
    <n v="19"/>
    <x v="4"/>
    <n v="13850"/>
    <n v="2"/>
    <s v="45+"/>
    <x v="3"/>
  </r>
  <r>
    <x v="161"/>
    <x v="85"/>
    <x v="0"/>
    <n v="38"/>
    <x v="14"/>
    <x v="1"/>
    <x v="2"/>
    <x v="0"/>
    <x v="7"/>
    <x v="158"/>
    <s v="Active"/>
    <x v="0"/>
    <n v="60000"/>
    <x v="16"/>
    <n v="82.9"/>
    <n v="5"/>
    <x v="10"/>
    <n v="1"/>
    <n v="19"/>
    <n v="27"/>
    <x v="2"/>
    <n v="5000"/>
    <n v="1.4"/>
    <s v="35-39"/>
    <x v="3"/>
  </r>
  <r>
    <x v="162"/>
    <x v="70"/>
    <x v="0"/>
    <n v="29"/>
    <x v="5"/>
    <x v="4"/>
    <x v="4"/>
    <x v="0"/>
    <x v="3"/>
    <x v="159"/>
    <s v="Active"/>
    <x v="1"/>
    <n v="118800"/>
    <x v="15"/>
    <n v="92.6"/>
    <n v="5"/>
    <x v="11"/>
    <n v="3"/>
    <n v="26"/>
    <n v="15"/>
    <x v="2"/>
    <n v="9900"/>
    <n v="1.7"/>
    <s v="25-29"/>
    <x v="3"/>
  </r>
  <r>
    <x v="163"/>
    <x v="108"/>
    <x v="0"/>
    <n v="31"/>
    <x v="3"/>
    <x v="2"/>
    <x v="1"/>
    <x v="0"/>
    <x v="5"/>
    <x v="160"/>
    <s v="Resigned"/>
    <x v="1"/>
    <n v="32400"/>
    <x v="27"/>
    <n v="95.4"/>
    <n v="8"/>
    <x v="6"/>
    <n v="0"/>
    <n v="11"/>
    <n v="6"/>
    <x v="1"/>
    <n v="2700"/>
    <n v="0.4"/>
    <s v="30-34"/>
    <x v="1"/>
  </r>
  <r>
    <x v="164"/>
    <x v="109"/>
    <x v="1"/>
    <n v="20"/>
    <x v="9"/>
    <x v="3"/>
    <x v="0"/>
    <x v="2"/>
    <x v="4"/>
    <x v="161"/>
    <s v="Active"/>
    <x v="2"/>
    <n v="122400"/>
    <x v="5"/>
    <n v="86.1"/>
    <n v="5"/>
    <x v="1"/>
    <n v="4"/>
    <n v="26"/>
    <n v="6"/>
    <x v="3"/>
    <n v="10200"/>
    <n v="8.3000000000000007"/>
    <s v="20-24"/>
    <x v="1"/>
  </r>
  <r>
    <x v="165"/>
    <x v="110"/>
    <x v="0"/>
    <n v="21"/>
    <x v="1"/>
    <x v="7"/>
    <x v="3"/>
    <x v="0"/>
    <x v="0"/>
    <x v="142"/>
    <s v="Active"/>
    <x v="2"/>
    <n v="35000"/>
    <x v="5"/>
    <n v="95.8"/>
    <n v="0"/>
    <x v="9"/>
    <n v="0"/>
    <n v="9"/>
    <n v="23"/>
    <x v="1"/>
    <n v="2917"/>
    <n v="2.6"/>
    <s v="20-24"/>
    <x v="1"/>
  </r>
  <r>
    <x v="166"/>
    <x v="71"/>
    <x v="1"/>
    <n v="37"/>
    <x v="7"/>
    <x v="3"/>
    <x v="4"/>
    <x v="0"/>
    <x v="2"/>
    <x v="162"/>
    <s v="Active"/>
    <x v="1"/>
    <n v="157300"/>
    <x v="13"/>
    <n v="86"/>
    <n v="6"/>
    <x v="14"/>
    <n v="3"/>
    <n v="9"/>
    <n v="6"/>
    <x v="5"/>
    <n v="13108"/>
    <n v="7"/>
    <s v="35-39"/>
    <x v="2"/>
  </r>
  <r>
    <x v="167"/>
    <x v="111"/>
    <x v="1"/>
    <n v="26"/>
    <x v="4"/>
    <x v="5"/>
    <x v="1"/>
    <x v="0"/>
    <x v="0"/>
    <x v="163"/>
    <s v="Active"/>
    <x v="1"/>
    <n v="42500"/>
    <x v="20"/>
    <n v="94"/>
    <n v="2"/>
    <x v="12"/>
    <n v="0"/>
    <n v="21"/>
    <n v="11"/>
    <x v="3"/>
    <n v="3542"/>
    <n v="6.6"/>
    <s v="25-29"/>
    <x v="1"/>
  </r>
  <r>
    <x v="168"/>
    <x v="112"/>
    <x v="0"/>
    <n v="35"/>
    <x v="6"/>
    <x v="5"/>
    <x v="3"/>
    <x v="0"/>
    <x v="1"/>
    <x v="164"/>
    <s v="Active"/>
    <x v="1"/>
    <n v="55700"/>
    <x v="24"/>
    <n v="96.9"/>
    <n v="7"/>
    <x v="1"/>
    <n v="0"/>
    <n v="25"/>
    <n v="11"/>
    <x v="4"/>
    <n v="4642"/>
    <n v="5.8"/>
    <s v="35-39"/>
    <x v="2"/>
  </r>
  <r>
    <x v="169"/>
    <x v="113"/>
    <x v="1"/>
    <n v="32"/>
    <x v="6"/>
    <x v="2"/>
    <x v="2"/>
    <x v="0"/>
    <x v="3"/>
    <x v="165"/>
    <s v="Active"/>
    <x v="1"/>
    <n v="79200"/>
    <x v="17"/>
    <n v="87.2"/>
    <n v="5"/>
    <x v="10"/>
    <n v="0"/>
    <n v="10"/>
    <n v="10"/>
    <x v="3"/>
    <n v="6600"/>
    <n v="4.3"/>
    <s v="30-34"/>
    <x v="1"/>
  </r>
  <r>
    <x v="170"/>
    <x v="34"/>
    <x v="1"/>
    <n v="23"/>
    <x v="4"/>
    <x v="7"/>
    <x v="3"/>
    <x v="2"/>
    <x v="2"/>
    <x v="166"/>
    <s v="Active"/>
    <x v="0"/>
    <n v="30800"/>
    <x v="20"/>
    <n v="89.7"/>
    <n v="2"/>
    <x v="11"/>
    <n v="3"/>
    <n v="8"/>
    <n v="15"/>
    <x v="6"/>
    <n v="2567"/>
    <n v="7.8"/>
    <s v="20-24"/>
    <x v="1"/>
  </r>
  <r>
    <x v="171"/>
    <x v="114"/>
    <x v="1"/>
    <n v="29"/>
    <x v="13"/>
    <x v="0"/>
    <x v="3"/>
    <x v="0"/>
    <x v="3"/>
    <x v="167"/>
    <s v="Active"/>
    <x v="2"/>
    <n v="58300"/>
    <x v="15"/>
    <n v="96.6"/>
    <n v="2"/>
    <x v="15"/>
    <n v="0"/>
    <n v="8"/>
    <n v="2"/>
    <x v="0"/>
    <n v="4858"/>
    <n v="3"/>
    <s v="25-29"/>
    <x v="2"/>
  </r>
  <r>
    <x v="172"/>
    <x v="115"/>
    <x v="1"/>
    <n v="47"/>
    <x v="0"/>
    <x v="0"/>
    <x v="4"/>
    <x v="0"/>
    <x v="3"/>
    <x v="168"/>
    <s v="Active"/>
    <x v="1"/>
    <n v="110700"/>
    <x v="7"/>
    <n v="79.2"/>
    <n v="7"/>
    <x v="15"/>
    <n v="4"/>
    <n v="11"/>
    <n v="30"/>
    <x v="3"/>
    <n v="9225"/>
    <n v="0.8"/>
    <s v="45+"/>
    <x v="1"/>
  </r>
  <r>
    <x v="173"/>
    <x v="116"/>
    <x v="0"/>
    <n v="28"/>
    <x v="4"/>
    <x v="7"/>
    <x v="3"/>
    <x v="2"/>
    <x v="3"/>
    <x v="169"/>
    <s v="Active"/>
    <x v="0"/>
    <n v="35300"/>
    <x v="9"/>
    <n v="93.4"/>
    <n v="5"/>
    <x v="5"/>
    <n v="4"/>
    <n v="1"/>
    <n v="25"/>
    <x v="1"/>
    <n v="2942"/>
    <n v="2.7"/>
    <s v="25-29"/>
    <x v="1"/>
  </r>
  <r>
    <x v="174"/>
    <x v="43"/>
    <x v="0"/>
    <n v="37"/>
    <x v="14"/>
    <x v="5"/>
    <x v="2"/>
    <x v="0"/>
    <x v="0"/>
    <x v="170"/>
    <s v="Active"/>
    <x v="1"/>
    <n v="105700"/>
    <x v="16"/>
    <n v="100"/>
    <n v="1"/>
    <x v="14"/>
    <n v="2"/>
    <n v="13"/>
    <n v="7"/>
    <x v="2"/>
    <n v="8808"/>
    <n v="2.8"/>
    <s v="35-39"/>
    <x v="1"/>
  </r>
  <r>
    <x v="175"/>
    <x v="67"/>
    <x v="1"/>
    <n v="28"/>
    <x v="0"/>
    <x v="4"/>
    <x v="1"/>
    <x v="0"/>
    <x v="1"/>
    <x v="171"/>
    <s v="Active"/>
    <x v="0"/>
    <n v="28900"/>
    <x v="9"/>
    <n v="76.099999999999994"/>
    <n v="2"/>
    <x v="13"/>
    <n v="2"/>
    <n v="8"/>
    <n v="28"/>
    <x v="6"/>
    <n v="2408"/>
    <n v="5.7"/>
    <s v="25-29"/>
    <x v="1"/>
  </r>
  <r>
    <x v="176"/>
    <x v="117"/>
    <x v="0"/>
    <n v="41"/>
    <x v="3"/>
    <x v="6"/>
    <x v="0"/>
    <x v="0"/>
    <x v="1"/>
    <x v="172"/>
    <s v="Active"/>
    <x v="1"/>
    <n v="105100"/>
    <x v="23"/>
    <n v="96.4"/>
    <n v="5"/>
    <x v="10"/>
    <n v="2"/>
    <n v="28"/>
    <n v="26"/>
    <x v="1"/>
    <n v="8758"/>
    <n v="6.8"/>
    <s v="40-44"/>
    <x v="3"/>
  </r>
  <r>
    <x v="177"/>
    <x v="50"/>
    <x v="0"/>
    <n v="29"/>
    <x v="1"/>
    <x v="6"/>
    <x v="2"/>
    <x v="0"/>
    <x v="6"/>
    <x v="173"/>
    <s v="Active"/>
    <x v="0"/>
    <n v="73500"/>
    <x v="0"/>
    <n v="95.1"/>
    <n v="6"/>
    <x v="14"/>
    <n v="2"/>
    <n v="17"/>
    <n v="27"/>
    <x v="0"/>
    <n v="6125"/>
    <n v="1.1000000000000001"/>
    <s v="25-29"/>
    <x v="1"/>
  </r>
  <r>
    <x v="178"/>
    <x v="118"/>
    <x v="1"/>
    <n v="27"/>
    <x v="10"/>
    <x v="2"/>
    <x v="3"/>
    <x v="1"/>
    <x v="4"/>
    <x v="174"/>
    <s v="Active"/>
    <x v="1"/>
    <n v="45600"/>
    <x v="20"/>
    <n v="90.7"/>
    <n v="3"/>
    <x v="14"/>
    <n v="4"/>
    <n v="21"/>
    <n v="8"/>
    <x v="2"/>
    <n v="3800"/>
    <n v="5.5"/>
    <s v="25-29"/>
    <x v="1"/>
  </r>
  <r>
    <x v="179"/>
    <x v="119"/>
    <x v="1"/>
    <n v="42"/>
    <x v="11"/>
    <x v="4"/>
    <x v="5"/>
    <x v="0"/>
    <x v="6"/>
    <x v="175"/>
    <s v="Resigned"/>
    <x v="2"/>
    <n v="21600"/>
    <x v="23"/>
    <n v="93"/>
    <n v="7"/>
    <x v="7"/>
    <n v="2"/>
    <n v="28"/>
    <n v="13"/>
    <x v="0"/>
    <n v="1800"/>
    <n v="2.8"/>
    <s v="40-44"/>
    <x v="3"/>
  </r>
  <r>
    <x v="180"/>
    <x v="120"/>
    <x v="0"/>
    <n v="30"/>
    <x v="13"/>
    <x v="2"/>
    <x v="2"/>
    <x v="0"/>
    <x v="6"/>
    <x v="176"/>
    <s v="Active"/>
    <x v="0"/>
    <n v="65600"/>
    <x v="27"/>
    <n v="92.2"/>
    <n v="2"/>
    <x v="4"/>
    <n v="1"/>
    <n v="22"/>
    <n v="16"/>
    <x v="1"/>
    <n v="5467"/>
    <n v="7.1"/>
    <s v="30-34"/>
    <x v="1"/>
  </r>
  <r>
    <x v="181"/>
    <x v="40"/>
    <x v="1"/>
    <n v="32"/>
    <x v="14"/>
    <x v="2"/>
    <x v="5"/>
    <x v="0"/>
    <x v="0"/>
    <x v="177"/>
    <s v="Active"/>
    <x v="2"/>
    <n v="20400"/>
    <x v="17"/>
    <n v="88.3"/>
    <n v="5"/>
    <x v="4"/>
    <n v="3"/>
    <n v="29"/>
    <n v="17"/>
    <x v="3"/>
    <n v="1700"/>
    <n v="5.9"/>
    <s v="30-34"/>
    <x v="1"/>
  </r>
  <r>
    <x v="182"/>
    <x v="121"/>
    <x v="0"/>
    <n v="43"/>
    <x v="3"/>
    <x v="6"/>
    <x v="5"/>
    <x v="2"/>
    <x v="7"/>
    <x v="178"/>
    <s v="Active"/>
    <x v="2"/>
    <n v="24600"/>
    <x v="23"/>
    <n v="97.2"/>
    <n v="6"/>
    <x v="6"/>
    <n v="3"/>
    <n v="24"/>
    <n v="4"/>
    <x v="4"/>
    <n v="2050"/>
    <n v="8.3000000000000007"/>
    <s v="40-44"/>
    <x v="1"/>
  </r>
  <r>
    <x v="183"/>
    <x v="88"/>
    <x v="1"/>
    <n v="32"/>
    <x v="9"/>
    <x v="2"/>
    <x v="2"/>
    <x v="2"/>
    <x v="2"/>
    <x v="179"/>
    <s v="Active"/>
    <x v="1"/>
    <n v="64900"/>
    <x v="27"/>
    <n v="91"/>
    <n v="7"/>
    <x v="12"/>
    <n v="4"/>
    <n v="26"/>
    <n v="17"/>
    <x v="3"/>
    <n v="5408"/>
    <n v="0.6"/>
    <s v="30-34"/>
    <x v="1"/>
  </r>
  <r>
    <x v="184"/>
    <x v="122"/>
    <x v="0"/>
    <n v="35"/>
    <x v="1"/>
    <x v="0"/>
    <x v="1"/>
    <x v="0"/>
    <x v="4"/>
    <x v="180"/>
    <s v="Active"/>
    <x v="0"/>
    <n v="33400"/>
    <x v="12"/>
    <n v="93"/>
    <n v="3"/>
    <x v="12"/>
    <n v="3"/>
    <n v="12"/>
    <n v="9"/>
    <x v="6"/>
    <n v="2783"/>
    <n v="5.3"/>
    <s v="35-39"/>
    <x v="3"/>
  </r>
  <r>
    <x v="185"/>
    <x v="4"/>
    <x v="0"/>
    <n v="32"/>
    <x v="5"/>
    <x v="5"/>
    <x v="1"/>
    <x v="0"/>
    <x v="2"/>
    <x v="181"/>
    <s v="Active"/>
    <x v="1"/>
    <n v="50800"/>
    <x v="28"/>
    <n v="86.2"/>
    <n v="4"/>
    <x v="5"/>
    <n v="3"/>
    <n v="21"/>
    <n v="15"/>
    <x v="2"/>
    <n v="4233"/>
    <n v="2.2000000000000002"/>
    <s v="30-34"/>
    <x v="3"/>
  </r>
  <r>
    <x v="186"/>
    <x v="24"/>
    <x v="1"/>
    <n v="44"/>
    <x v="5"/>
    <x v="5"/>
    <x v="2"/>
    <x v="0"/>
    <x v="0"/>
    <x v="182"/>
    <s v="Active"/>
    <x v="0"/>
    <n v="105200"/>
    <x v="7"/>
    <n v="79.3"/>
    <n v="5"/>
    <x v="0"/>
    <n v="0"/>
    <n v="15"/>
    <n v="27"/>
    <x v="1"/>
    <n v="8767"/>
    <n v="2.2999999999999998"/>
    <s v="40-44"/>
    <x v="1"/>
  </r>
  <r>
    <x v="187"/>
    <x v="123"/>
    <x v="0"/>
    <n v="31"/>
    <x v="6"/>
    <x v="0"/>
    <x v="1"/>
    <x v="0"/>
    <x v="3"/>
    <x v="183"/>
    <s v="Active"/>
    <x v="0"/>
    <n v="36900"/>
    <x v="24"/>
    <n v="85.1"/>
    <n v="0"/>
    <x v="8"/>
    <n v="2"/>
    <n v="12"/>
    <n v="4"/>
    <x v="3"/>
    <n v="3075"/>
    <n v="8.5"/>
    <s v="30-34"/>
    <x v="1"/>
  </r>
  <r>
    <x v="188"/>
    <x v="124"/>
    <x v="0"/>
    <n v="34"/>
    <x v="7"/>
    <x v="6"/>
    <x v="3"/>
    <x v="2"/>
    <x v="3"/>
    <x v="184"/>
    <s v="Active"/>
    <x v="0"/>
    <n v="51200"/>
    <x v="12"/>
    <n v="100"/>
    <n v="8"/>
    <x v="10"/>
    <n v="2"/>
    <n v="7"/>
    <n v="13"/>
    <x v="4"/>
    <n v="4267"/>
    <n v="7.6"/>
    <s v="30-34"/>
    <x v="1"/>
  </r>
  <r>
    <x v="189"/>
    <x v="125"/>
    <x v="0"/>
    <n v="48"/>
    <x v="8"/>
    <x v="7"/>
    <x v="1"/>
    <x v="2"/>
    <x v="1"/>
    <x v="185"/>
    <s v="Active"/>
    <x v="2"/>
    <n v="27200"/>
    <x v="22"/>
    <n v="94.2"/>
    <n v="2"/>
    <x v="13"/>
    <n v="0"/>
    <n v="25"/>
    <n v="15"/>
    <x v="4"/>
    <n v="2267"/>
    <n v="6.3"/>
    <s v="45+"/>
    <x v="2"/>
  </r>
  <r>
    <x v="190"/>
    <x v="112"/>
    <x v="1"/>
    <n v="35"/>
    <x v="4"/>
    <x v="2"/>
    <x v="2"/>
    <x v="2"/>
    <x v="0"/>
    <x v="186"/>
    <s v="Active"/>
    <x v="0"/>
    <n v="69400"/>
    <x v="13"/>
    <n v="88.8"/>
    <n v="1"/>
    <x v="13"/>
    <n v="4"/>
    <n v="30"/>
    <n v="30"/>
    <x v="5"/>
    <n v="5783"/>
    <n v="0.5"/>
    <s v="35-39"/>
    <x v="1"/>
  </r>
  <r>
    <x v="191"/>
    <x v="126"/>
    <x v="0"/>
    <n v="27"/>
    <x v="7"/>
    <x v="7"/>
    <x v="2"/>
    <x v="0"/>
    <x v="7"/>
    <x v="187"/>
    <s v="Active"/>
    <x v="0"/>
    <n v="51600"/>
    <x v="15"/>
    <n v="93.9"/>
    <n v="6"/>
    <x v="13"/>
    <n v="1"/>
    <n v="11"/>
    <n v="20"/>
    <x v="0"/>
    <n v="4300"/>
    <n v="5.6"/>
    <s v="25-29"/>
    <x v="3"/>
  </r>
  <r>
    <x v="192"/>
    <x v="90"/>
    <x v="1"/>
    <n v="25"/>
    <x v="10"/>
    <x v="4"/>
    <x v="2"/>
    <x v="2"/>
    <x v="7"/>
    <x v="188"/>
    <s v="Active"/>
    <x v="1"/>
    <n v="76900"/>
    <x v="10"/>
    <n v="93.1"/>
    <n v="3"/>
    <x v="9"/>
    <n v="4"/>
    <n v="18"/>
    <n v="5"/>
    <x v="0"/>
    <n v="6408"/>
    <n v="5.4"/>
    <s v="25-29"/>
    <x v="2"/>
  </r>
  <r>
    <x v="193"/>
    <x v="76"/>
    <x v="1"/>
    <n v="43"/>
    <x v="2"/>
    <x v="1"/>
    <x v="3"/>
    <x v="2"/>
    <x v="2"/>
    <x v="189"/>
    <s v="Active"/>
    <x v="1"/>
    <n v="43100"/>
    <x v="3"/>
    <n v="82"/>
    <n v="3"/>
    <x v="11"/>
    <n v="1"/>
    <n v="9"/>
    <n v="13"/>
    <x v="4"/>
    <n v="3592"/>
    <n v="4.3"/>
    <s v="40-44"/>
    <x v="1"/>
  </r>
  <r>
    <x v="194"/>
    <x v="2"/>
    <x v="1"/>
    <n v="27"/>
    <x v="13"/>
    <x v="1"/>
    <x v="1"/>
    <x v="0"/>
    <x v="6"/>
    <x v="190"/>
    <s v="Active"/>
    <x v="0"/>
    <n v="35100"/>
    <x v="9"/>
    <n v="95.2"/>
    <n v="8"/>
    <x v="7"/>
    <n v="1"/>
    <n v="21"/>
    <n v="4"/>
    <x v="3"/>
    <n v="2925"/>
    <n v="7.9"/>
    <s v="25-29"/>
    <x v="3"/>
  </r>
  <r>
    <x v="195"/>
    <x v="65"/>
    <x v="0"/>
    <n v="21"/>
    <x v="4"/>
    <x v="5"/>
    <x v="1"/>
    <x v="0"/>
    <x v="2"/>
    <x v="191"/>
    <s v="Active"/>
    <x v="2"/>
    <n v="52000"/>
    <x v="10"/>
    <n v="81.5"/>
    <n v="6"/>
    <x v="4"/>
    <n v="0"/>
    <n v="1"/>
    <n v="23"/>
    <x v="4"/>
    <n v="4333"/>
    <n v="8.4"/>
    <s v="20-24"/>
    <x v="2"/>
  </r>
  <r>
    <x v="196"/>
    <x v="59"/>
    <x v="1"/>
    <n v="37"/>
    <x v="7"/>
    <x v="5"/>
    <x v="3"/>
    <x v="0"/>
    <x v="6"/>
    <x v="192"/>
    <s v="Active"/>
    <x v="1"/>
    <n v="70000"/>
    <x v="14"/>
    <n v="87.9"/>
    <n v="8"/>
    <x v="14"/>
    <n v="4"/>
    <n v="14"/>
    <n v="28"/>
    <x v="4"/>
    <n v="5833"/>
    <n v="6.8"/>
    <s v="35-39"/>
    <x v="3"/>
  </r>
  <r>
    <x v="197"/>
    <x v="98"/>
    <x v="1"/>
    <n v="30"/>
    <x v="2"/>
    <x v="2"/>
    <x v="4"/>
    <x v="0"/>
    <x v="6"/>
    <x v="193"/>
    <s v="Active"/>
    <x v="1"/>
    <n v="126000"/>
    <x v="0"/>
    <n v="86.1"/>
    <n v="0"/>
    <x v="14"/>
    <n v="2"/>
    <n v="16"/>
    <n v="24"/>
    <x v="6"/>
    <n v="10500"/>
    <n v="7.3"/>
    <s v="30-34"/>
    <x v="3"/>
  </r>
  <r>
    <x v="198"/>
    <x v="127"/>
    <x v="1"/>
    <n v="36"/>
    <x v="5"/>
    <x v="3"/>
    <x v="1"/>
    <x v="3"/>
    <x v="5"/>
    <x v="194"/>
    <s v="Active"/>
    <x v="1"/>
    <n v="41700"/>
    <x v="13"/>
    <n v="92"/>
    <n v="2"/>
    <x v="10"/>
    <n v="4"/>
    <n v="27"/>
    <n v="17"/>
    <x v="4"/>
    <n v="3475"/>
    <n v="4.9000000000000004"/>
    <s v="35-39"/>
    <x v="3"/>
  </r>
  <r>
    <x v="199"/>
    <x v="54"/>
    <x v="0"/>
    <n v="29"/>
    <x v="13"/>
    <x v="5"/>
    <x v="3"/>
    <x v="0"/>
    <x v="3"/>
    <x v="195"/>
    <s v="Active"/>
    <x v="2"/>
    <n v="61100"/>
    <x v="27"/>
    <n v="92.1"/>
    <n v="5"/>
    <x v="11"/>
    <n v="4"/>
    <n v="5"/>
    <n v="4"/>
    <x v="1"/>
    <n v="5092"/>
    <n v="7.6"/>
    <s v="25-29"/>
    <x v="3"/>
  </r>
  <r>
    <x v="200"/>
    <x v="29"/>
    <x v="0"/>
    <n v="21"/>
    <x v="2"/>
    <x v="5"/>
    <x v="1"/>
    <x v="0"/>
    <x v="5"/>
    <x v="196"/>
    <s v="Active"/>
    <x v="1"/>
    <n v="51500"/>
    <x v="5"/>
    <n v="76"/>
    <n v="0"/>
    <x v="15"/>
    <n v="1"/>
    <n v="27"/>
    <n v="4"/>
    <x v="3"/>
    <n v="4292"/>
    <n v="1.2"/>
    <s v="20-24"/>
    <x v="2"/>
  </r>
  <r>
    <x v="201"/>
    <x v="36"/>
    <x v="0"/>
    <n v="42"/>
    <x v="2"/>
    <x v="7"/>
    <x v="2"/>
    <x v="1"/>
    <x v="6"/>
    <x v="197"/>
    <s v="Active"/>
    <x v="1"/>
    <n v="51200"/>
    <x v="4"/>
    <n v="97.2"/>
    <n v="4"/>
    <x v="3"/>
    <n v="1"/>
    <n v="2"/>
    <n v="30"/>
    <x v="4"/>
    <n v="4267"/>
    <n v="5"/>
    <s v="40-44"/>
    <x v="2"/>
  </r>
  <r>
    <x v="202"/>
    <x v="92"/>
    <x v="1"/>
    <n v="46"/>
    <x v="7"/>
    <x v="0"/>
    <x v="2"/>
    <x v="0"/>
    <x v="3"/>
    <x v="198"/>
    <s v="Active"/>
    <x v="2"/>
    <n v="81700"/>
    <x v="3"/>
    <n v="91.3"/>
    <n v="3"/>
    <x v="12"/>
    <n v="2"/>
    <n v="10"/>
    <n v="8"/>
    <x v="2"/>
    <n v="6808"/>
    <n v="0.6"/>
    <s v="45+"/>
    <x v="3"/>
  </r>
  <r>
    <x v="203"/>
    <x v="43"/>
    <x v="1"/>
    <n v="38"/>
    <x v="5"/>
    <x v="7"/>
    <x v="2"/>
    <x v="2"/>
    <x v="0"/>
    <x v="199"/>
    <s v="Active"/>
    <x v="0"/>
    <n v="46900"/>
    <x v="14"/>
    <n v="95.8"/>
    <n v="3"/>
    <x v="11"/>
    <n v="2"/>
    <n v="27"/>
    <n v="11"/>
    <x v="5"/>
    <n v="3908"/>
    <n v="7"/>
    <s v="35-39"/>
    <x v="1"/>
  </r>
  <r>
    <x v="204"/>
    <x v="128"/>
    <x v="0"/>
    <n v="39"/>
    <x v="1"/>
    <x v="2"/>
    <x v="0"/>
    <x v="0"/>
    <x v="3"/>
    <x v="200"/>
    <s v="Active"/>
    <x v="2"/>
    <n v="95600"/>
    <x v="4"/>
    <n v="91.2"/>
    <n v="6"/>
    <x v="10"/>
    <n v="1"/>
    <n v="4"/>
    <n v="26"/>
    <x v="5"/>
    <n v="7967"/>
    <n v="7.9"/>
    <s v="35-39"/>
    <x v="1"/>
  </r>
  <r>
    <x v="205"/>
    <x v="46"/>
    <x v="1"/>
    <n v="39"/>
    <x v="7"/>
    <x v="3"/>
    <x v="3"/>
    <x v="0"/>
    <x v="3"/>
    <x v="201"/>
    <s v="Active"/>
    <x v="2"/>
    <n v="63900"/>
    <x v="14"/>
    <n v="91.9"/>
    <n v="4"/>
    <x v="5"/>
    <n v="4"/>
    <n v="21"/>
    <n v="17"/>
    <x v="6"/>
    <n v="5325"/>
    <n v="7.1"/>
    <s v="35-39"/>
    <x v="1"/>
  </r>
  <r>
    <x v="206"/>
    <x v="47"/>
    <x v="1"/>
    <n v="39"/>
    <x v="14"/>
    <x v="1"/>
    <x v="1"/>
    <x v="0"/>
    <x v="1"/>
    <x v="202"/>
    <s v="Active"/>
    <x v="2"/>
    <n v="31500"/>
    <x v="23"/>
    <n v="83.8"/>
    <n v="6"/>
    <x v="10"/>
    <n v="1"/>
    <n v="12"/>
    <n v="14"/>
    <x v="3"/>
    <n v="2625"/>
    <n v="6.6"/>
    <s v="35-39"/>
    <x v="1"/>
  </r>
  <r>
    <x v="207"/>
    <x v="129"/>
    <x v="1"/>
    <n v="21"/>
    <x v="13"/>
    <x v="2"/>
    <x v="3"/>
    <x v="0"/>
    <x v="6"/>
    <x v="172"/>
    <s v="Active"/>
    <x v="2"/>
    <n v="47600"/>
    <x v="10"/>
    <n v="87.1"/>
    <n v="0"/>
    <x v="13"/>
    <n v="3"/>
    <n v="15"/>
    <n v="20"/>
    <x v="0"/>
    <n v="3967"/>
    <n v="6.8"/>
    <s v="20-24"/>
    <x v="3"/>
  </r>
  <r>
    <x v="208"/>
    <x v="130"/>
    <x v="1"/>
    <n v="46"/>
    <x v="6"/>
    <x v="1"/>
    <x v="2"/>
    <x v="0"/>
    <x v="0"/>
    <x v="203"/>
    <s v="Active"/>
    <x v="0"/>
    <n v="75200"/>
    <x v="21"/>
    <n v="89.9"/>
    <n v="8"/>
    <x v="13"/>
    <n v="3"/>
    <n v="25"/>
    <n v="29"/>
    <x v="3"/>
    <n v="6267"/>
    <n v="7"/>
    <s v="45+"/>
    <x v="1"/>
  </r>
  <r>
    <x v="209"/>
    <x v="94"/>
    <x v="0"/>
    <n v="25"/>
    <x v="9"/>
    <x v="2"/>
    <x v="2"/>
    <x v="2"/>
    <x v="2"/>
    <x v="204"/>
    <s v="Active"/>
    <x v="1"/>
    <n v="58200"/>
    <x v="30"/>
    <n v="94.5"/>
    <n v="7"/>
    <x v="13"/>
    <n v="1"/>
    <n v="21"/>
    <n v="7"/>
    <x v="6"/>
    <n v="4850"/>
    <n v="2.4"/>
    <s v="25-29"/>
    <x v="1"/>
  </r>
  <r>
    <x v="210"/>
    <x v="2"/>
    <x v="1"/>
    <n v="36"/>
    <x v="2"/>
    <x v="1"/>
    <x v="3"/>
    <x v="0"/>
    <x v="4"/>
    <x v="205"/>
    <s v="Resigned"/>
    <x v="1"/>
    <n v="50900"/>
    <x v="14"/>
    <n v="88.7"/>
    <n v="6"/>
    <x v="7"/>
    <n v="2"/>
    <n v="27"/>
    <n v="22"/>
    <x v="5"/>
    <n v="4242"/>
    <n v="0.7"/>
    <s v="35-39"/>
    <x v="1"/>
  </r>
  <r>
    <x v="211"/>
    <x v="131"/>
    <x v="0"/>
    <n v="31"/>
    <x v="3"/>
    <x v="5"/>
    <x v="2"/>
    <x v="0"/>
    <x v="0"/>
    <x v="206"/>
    <s v="Active"/>
    <x v="0"/>
    <n v="97000"/>
    <x v="24"/>
    <n v="87.4"/>
    <n v="1"/>
    <x v="14"/>
    <n v="1"/>
    <n v="9"/>
    <n v="25"/>
    <x v="2"/>
    <n v="8083"/>
    <n v="7.4"/>
    <s v="30-34"/>
    <x v="1"/>
  </r>
  <r>
    <x v="212"/>
    <x v="132"/>
    <x v="0"/>
    <n v="49"/>
    <x v="11"/>
    <x v="6"/>
    <x v="2"/>
    <x v="0"/>
    <x v="6"/>
    <x v="207"/>
    <s v="Active"/>
    <x v="1"/>
    <n v="66900"/>
    <x v="21"/>
    <n v="86.5"/>
    <n v="5"/>
    <x v="4"/>
    <n v="4"/>
    <n v="12"/>
    <n v="10"/>
    <x v="5"/>
    <n v="5575"/>
    <n v="4.5999999999999996"/>
    <s v="45+"/>
    <x v="1"/>
  </r>
  <r>
    <x v="213"/>
    <x v="109"/>
    <x v="1"/>
    <n v="24"/>
    <x v="12"/>
    <x v="6"/>
    <x v="0"/>
    <x v="0"/>
    <x v="7"/>
    <x v="208"/>
    <s v="Active"/>
    <x v="1"/>
    <n v="101600"/>
    <x v="2"/>
    <n v="92.8"/>
    <n v="3"/>
    <x v="11"/>
    <n v="3"/>
    <n v="22"/>
    <n v="25"/>
    <x v="5"/>
    <n v="8467"/>
    <n v="3.6"/>
    <s v="20-24"/>
    <x v="1"/>
  </r>
  <r>
    <x v="214"/>
    <x v="15"/>
    <x v="0"/>
    <n v="21"/>
    <x v="4"/>
    <x v="7"/>
    <x v="2"/>
    <x v="3"/>
    <x v="3"/>
    <x v="209"/>
    <s v="Active"/>
    <x v="0"/>
    <n v="49600"/>
    <x v="10"/>
    <n v="90.5"/>
    <n v="2"/>
    <x v="14"/>
    <n v="0"/>
    <n v="30"/>
    <n v="15"/>
    <x v="2"/>
    <n v="4133"/>
    <n v="7.5"/>
    <s v="20-24"/>
    <x v="1"/>
  </r>
  <r>
    <x v="215"/>
    <x v="132"/>
    <x v="1"/>
    <n v="28"/>
    <x v="12"/>
    <x v="7"/>
    <x v="2"/>
    <x v="0"/>
    <x v="4"/>
    <x v="210"/>
    <s v="Active"/>
    <x v="1"/>
    <n v="49100"/>
    <x v="1"/>
    <n v="86.6"/>
    <n v="7"/>
    <x v="10"/>
    <n v="2"/>
    <n v="22"/>
    <n v="18"/>
    <x v="5"/>
    <n v="4092"/>
    <n v="6.4"/>
    <s v="25-29"/>
    <x v="1"/>
  </r>
  <r>
    <x v="216"/>
    <x v="122"/>
    <x v="0"/>
    <n v="21"/>
    <x v="5"/>
    <x v="2"/>
    <x v="1"/>
    <x v="0"/>
    <x v="2"/>
    <x v="211"/>
    <s v="Active"/>
    <x v="1"/>
    <n v="33100"/>
    <x v="5"/>
    <n v="90"/>
    <n v="3"/>
    <x v="4"/>
    <n v="0"/>
    <n v="10"/>
    <n v="8"/>
    <x v="4"/>
    <n v="2758"/>
    <n v="7.9"/>
    <s v="20-24"/>
    <x v="1"/>
  </r>
  <r>
    <x v="217"/>
    <x v="76"/>
    <x v="1"/>
    <n v="41"/>
    <x v="14"/>
    <x v="5"/>
    <x v="2"/>
    <x v="0"/>
    <x v="0"/>
    <x v="199"/>
    <s v="Active"/>
    <x v="0"/>
    <n v="101100"/>
    <x v="23"/>
    <n v="87.2"/>
    <n v="2"/>
    <x v="3"/>
    <n v="2"/>
    <n v="15"/>
    <n v="9"/>
    <x v="1"/>
    <n v="8425"/>
    <n v="7"/>
    <s v="40-44"/>
    <x v="1"/>
  </r>
  <r>
    <x v="218"/>
    <x v="133"/>
    <x v="0"/>
    <n v="39"/>
    <x v="7"/>
    <x v="2"/>
    <x v="0"/>
    <x v="0"/>
    <x v="4"/>
    <x v="212"/>
    <s v="Active"/>
    <x v="1"/>
    <n v="100600"/>
    <x v="12"/>
    <n v="86.1"/>
    <n v="4"/>
    <x v="12"/>
    <n v="0"/>
    <n v="5"/>
    <n v="6"/>
    <x v="3"/>
    <n v="8383"/>
    <n v="3.8"/>
    <s v="35-39"/>
    <x v="3"/>
  </r>
  <r>
    <x v="219"/>
    <x v="107"/>
    <x v="0"/>
    <n v="33"/>
    <x v="5"/>
    <x v="6"/>
    <x v="3"/>
    <x v="0"/>
    <x v="4"/>
    <x v="213"/>
    <s v="Resigned"/>
    <x v="2"/>
    <n v="44800"/>
    <x v="27"/>
    <n v="83"/>
    <n v="8"/>
    <x v="5"/>
    <n v="0"/>
    <n v="27"/>
    <n v="21"/>
    <x v="5"/>
    <n v="3733"/>
    <n v="1.6"/>
    <s v="30-34"/>
    <x v="2"/>
  </r>
  <r>
    <x v="220"/>
    <x v="93"/>
    <x v="0"/>
    <n v="41"/>
    <x v="2"/>
    <x v="3"/>
    <x v="2"/>
    <x v="0"/>
    <x v="2"/>
    <x v="214"/>
    <s v="Active"/>
    <x v="2"/>
    <n v="88200"/>
    <x v="8"/>
    <n v="84.2"/>
    <n v="2"/>
    <x v="8"/>
    <n v="1"/>
    <n v="0"/>
    <n v="24"/>
    <x v="2"/>
    <n v="7350"/>
    <n v="5.9"/>
    <s v="40-44"/>
    <x v="2"/>
  </r>
  <r>
    <x v="221"/>
    <x v="134"/>
    <x v="0"/>
    <n v="34"/>
    <x v="12"/>
    <x v="3"/>
    <x v="2"/>
    <x v="0"/>
    <x v="6"/>
    <x v="215"/>
    <s v="Active"/>
    <x v="1"/>
    <n v="78400"/>
    <x v="28"/>
    <n v="90.7"/>
    <n v="8"/>
    <x v="7"/>
    <n v="2"/>
    <n v="7"/>
    <n v="13"/>
    <x v="3"/>
    <n v="6533"/>
    <n v="3.2"/>
    <s v="30-34"/>
    <x v="3"/>
  </r>
  <r>
    <x v="222"/>
    <x v="0"/>
    <x v="1"/>
    <n v="21"/>
    <x v="7"/>
    <x v="5"/>
    <x v="1"/>
    <x v="2"/>
    <x v="3"/>
    <x v="201"/>
    <s v="Active"/>
    <x v="1"/>
    <n v="50100"/>
    <x v="10"/>
    <n v="80.900000000000006"/>
    <n v="3"/>
    <x v="5"/>
    <n v="3"/>
    <n v="25"/>
    <n v="23"/>
    <x v="3"/>
    <n v="4175"/>
    <n v="7.1"/>
    <s v="20-24"/>
    <x v="1"/>
  </r>
  <r>
    <x v="223"/>
    <x v="55"/>
    <x v="1"/>
    <n v="47"/>
    <x v="2"/>
    <x v="7"/>
    <x v="2"/>
    <x v="1"/>
    <x v="2"/>
    <x v="216"/>
    <s v="Active"/>
    <x v="1"/>
    <n v="52100"/>
    <x v="21"/>
    <n v="86.8"/>
    <n v="3"/>
    <x v="3"/>
    <n v="0"/>
    <n v="29"/>
    <n v="29"/>
    <x v="5"/>
    <n v="4342"/>
    <n v="2.7"/>
    <s v="45+"/>
    <x v="3"/>
  </r>
  <r>
    <x v="224"/>
    <x v="112"/>
    <x v="1"/>
    <n v="37"/>
    <x v="11"/>
    <x v="5"/>
    <x v="1"/>
    <x v="1"/>
    <x v="2"/>
    <x v="217"/>
    <s v="Active"/>
    <x v="0"/>
    <n v="49300"/>
    <x v="12"/>
    <n v="94.2"/>
    <n v="1"/>
    <x v="4"/>
    <n v="1"/>
    <n v="19"/>
    <n v="3"/>
    <x v="5"/>
    <n v="4108"/>
    <n v="4.8"/>
    <s v="35-39"/>
    <x v="1"/>
  </r>
  <r>
    <x v="225"/>
    <x v="83"/>
    <x v="0"/>
    <n v="31"/>
    <x v="7"/>
    <x v="4"/>
    <x v="4"/>
    <x v="2"/>
    <x v="2"/>
    <x v="218"/>
    <s v="Active"/>
    <x v="1"/>
    <n v="101100"/>
    <x v="1"/>
    <n v="95.9"/>
    <n v="7"/>
    <x v="6"/>
    <n v="4"/>
    <n v="16"/>
    <n v="17"/>
    <x v="1"/>
    <n v="8425"/>
    <n v="3.3"/>
    <s v="30-34"/>
    <x v="1"/>
  </r>
  <r>
    <x v="226"/>
    <x v="23"/>
    <x v="1"/>
    <n v="26"/>
    <x v="13"/>
    <x v="6"/>
    <x v="0"/>
    <x v="3"/>
    <x v="4"/>
    <x v="219"/>
    <s v="On Leave"/>
    <x v="0"/>
    <n v="104400"/>
    <x v="15"/>
    <n v="92.9"/>
    <n v="3"/>
    <x v="12"/>
    <n v="2"/>
    <n v="9"/>
    <n v="29"/>
    <x v="5"/>
    <n v="8700"/>
    <n v="8"/>
    <s v="25-29"/>
    <x v="2"/>
  </r>
  <r>
    <x v="227"/>
    <x v="135"/>
    <x v="1"/>
    <n v="35"/>
    <x v="4"/>
    <x v="5"/>
    <x v="1"/>
    <x v="0"/>
    <x v="6"/>
    <x v="195"/>
    <s v="Active"/>
    <x v="0"/>
    <n v="46700"/>
    <x v="16"/>
    <n v="95.1"/>
    <n v="2"/>
    <x v="10"/>
    <n v="2"/>
    <n v="28"/>
    <n v="26"/>
    <x v="6"/>
    <n v="3892"/>
    <n v="7.6"/>
    <s v="35-39"/>
    <x v="1"/>
  </r>
  <r>
    <x v="228"/>
    <x v="136"/>
    <x v="0"/>
    <n v="38"/>
    <x v="11"/>
    <x v="7"/>
    <x v="1"/>
    <x v="0"/>
    <x v="4"/>
    <x v="220"/>
    <s v="Active"/>
    <x v="1"/>
    <n v="29300"/>
    <x v="14"/>
    <n v="91.1"/>
    <n v="2"/>
    <x v="7"/>
    <n v="3"/>
    <n v="1"/>
    <n v="28"/>
    <x v="3"/>
    <n v="2442"/>
    <n v="7.7"/>
    <s v="35-39"/>
    <x v="2"/>
  </r>
  <r>
    <x v="229"/>
    <x v="88"/>
    <x v="0"/>
    <n v="22"/>
    <x v="2"/>
    <x v="5"/>
    <x v="2"/>
    <x v="0"/>
    <x v="7"/>
    <x v="134"/>
    <s v="Active"/>
    <x v="1"/>
    <n v="82600"/>
    <x v="5"/>
    <n v="85.7"/>
    <n v="0"/>
    <x v="3"/>
    <n v="0"/>
    <n v="18"/>
    <n v="4"/>
    <x v="6"/>
    <n v="6883"/>
    <n v="0.4"/>
    <s v="20-24"/>
    <x v="2"/>
  </r>
  <r>
    <x v="230"/>
    <x v="83"/>
    <x v="1"/>
    <n v="34"/>
    <x v="7"/>
    <x v="5"/>
    <x v="3"/>
    <x v="1"/>
    <x v="1"/>
    <x v="221"/>
    <s v="Active"/>
    <x v="1"/>
    <n v="66300"/>
    <x v="28"/>
    <n v="94.4"/>
    <n v="7"/>
    <x v="14"/>
    <n v="1"/>
    <n v="5"/>
    <n v="16"/>
    <x v="5"/>
    <n v="5525"/>
    <n v="1.6"/>
    <s v="30-34"/>
    <x v="1"/>
  </r>
  <r>
    <x v="231"/>
    <x v="137"/>
    <x v="0"/>
    <n v="34"/>
    <x v="14"/>
    <x v="2"/>
    <x v="5"/>
    <x v="0"/>
    <x v="0"/>
    <x v="108"/>
    <s v="Active"/>
    <x v="1"/>
    <n v="23300"/>
    <x v="17"/>
    <n v="93.4"/>
    <n v="4"/>
    <x v="10"/>
    <n v="0"/>
    <n v="1"/>
    <n v="18"/>
    <x v="2"/>
    <n v="1942"/>
    <n v="3.9"/>
    <s v="30-34"/>
    <x v="1"/>
  </r>
  <r>
    <x v="232"/>
    <x v="50"/>
    <x v="1"/>
    <n v="26"/>
    <x v="3"/>
    <x v="2"/>
    <x v="3"/>
    <x v="0"/>
    <x v="4"/>
    <x v="222"/>
    <s v="Active"/>
    <x v="2"/>
    <n v="49300"/>
    <x v="0"/>
    <n v="88.3"/>
    <n v="4"/>
    <x v="12"/>
    <n v="1"/>
    <n v="17"/>
    <n v="17"/>
    <x v="1"/>
    <n v="4108"/>
    <n v="8.3000000000000007"/>
    <s v="25-29"/>
    <x v="1"/>
  </r>
  <r>
    <x v="233"/>
    <x v="49"/>
    <x v="0"/>
    <n v="27"/>
    <x v="0"/>
    <x v="3"/>
    <x v="3"/>
    <x v="0"/>
    <x v="2"/>
    <x v="223"/>
    <s v="Active"/>
    <x v="1"/>
    <n v="53200"/>
    <x v="20"/>
    <n v="87.9"/>
    <n v="3"/>
    <x v="8"/>
    <n v="3"/>
    <n v="13"/>
    <n v="29"/>
    <x v="5"/>
    <n v="4433"/>
    <n v="1.2"/>
    <s v="25-29"/>
    <x v="1"/>
  </r>
  <r>
    <x v="234"/>
    <x v="97"/>
    <x v="0"/>
    <n v="26"/>
    <x v="14"/>
    <x v="2"/>
    <x v="1"/>
    <x v="0"/>
    <x v="7"/>
    <x v="104"/>
    <s v="Active"/>
    <x v="0"/>
    <n v="38500"/>
    <x v="0"/>
    <n v="90.8"/>
    <n v="4"/>
    <x v="4"/>
    <n v="0"/>
    <n v="5"/>
    <n v="4"/>
    <x v="5"/>
    <n v="3208"/>
    <n v="2.5"/>
    <s v="25-29"/>
    <x v="2"/>
  </r>
  <r>
    <x v="235"/>
    <x v="33"/>
    <x v="0"/>
    <n v="22"/>
    <x v="8"/>
    <x v="2"/>
    <x v="0"/>
    <x v="0"/>
    <x v="2"/>
    <x v="224"/>
    <s v="Active"/>
    <x v="0"/>
    <n v="82500"/>
    <x v="5"/>
    <n v="96.7"/>
    <n v="4"/>
    <x v="9"/>
    <n v="4"/>
    <n v="11"/>
    <n v="16"/>
    <x v="0"/>
    <n v="6875"/>
    <n v="1.6"/>
    <s v="20-24"/>
    <x v="1"/>
  </r>
  <r>
    <x v="236"/>
    <x v="109"/>
    <x v="1"/>
    <n v="38"/>
    <x v="3"/>
    <x v="1"/>
    <x v="0"/>
    <x v="0"/>
    <x v="6"/>
    <x v="225"/>
    <s v="Active"/>
    <x v="0"/>
    <n v="82800"/>
    <x v="16"/>
    <n v="89.1"/>
    <n v="8"/>
    <x v="1"/>
    <n v="3"/>
    <n v="19"/>
    <n v="2"/>
    <x v="4"/>
    <n v="6900"/>
    <n v="3.4"/>
    <s v="35-39"/>
    <x v="2"/>
  </r>
  <r>
    <x v="237"/>
    <x v="138"/>
    <x v="1"/>
    <n v="42"/>
    <x v="12"/>
    <x v="5"/>
    <x v="2"/>
    <x v="0"/>
    <x v="2"/>
    <x v="226"/>
    <s v="Active"/>
    <x v="1"/>
    <n v="95200"/>
    <x v="23"/>
    <n v="75.8"/>
    <n v="5"/>
    <x v="6"/>
    <n v="3"/>
    <n v="20"/>
    <n v="13"/>
    <x v="4"/>
    <n v="7933"/>
    <n v="6"/>
    <s v="40-44"/>
    <x v="3"/>
  </r>
  <r>
    <x v="238"/>
    <x v="139"/>
    <x v="1"/>
    <n v="38"/>
    <x v="1"/>
    <x v="5"/>
    <x v="0"/>
    <x v="0"/>
    <x v="6"/>
    <x v="227"/>
    <s v="Active"/>
    <x v="1"/>
    <n v="123700"/>
    <x v="13"/>
    <n v="93.2"/>
    <n v="8"/>
    <x v="12"/>
    <n v="2"/>
    <n v="26"/>
    <n v="11"/>
    <x v="3"/>
    <n v="10308"/>
    <n v="0.8"/>
    <s v="35-39"/>
    <x v="1"/>
  </r>
  <r>
    <x v="239"/>
    <x v="107"/>
    <x v="0"/>
    <n v="48"/>
    <x v="3"/>
    <x v="6"/>
    <x v="1"/>
    <x v="0"/>
    <x v="5"/>
    <x v="228"/>
    <s v="Active"/>
    <x v="0"/>
    <n v="38600"/>
    <x v="3"/>
    <n v="85.5"/>
    <n v="7"/>
    <x v="9"/>
    <n v="1"/>
    <n v="7"/>
    <n v="24"/>
    <x v="3"/>
    <n v="3217"/>
    <n v="1.5"/>
    <s v="45+"/>
    <x v="2"/>
  </r>
  <r>
    <x v="240"/>
    <x v="53"/>
    <x v="1"/>
    <n v="37"/>
    <x v="8"/>
    <x v="2"/>
    <x v="3"/>
    <x v="0"/>
    <x v="1"/>
    <x v="229"/>
    <s v="Resigned"/>
    <x v="0"/>
    <n v="46000"/>
    <x v="13"/>
    <n v="93.2"/>
    <n v="2"/>
    <x v="0"/>
    <n v="0"/>
    <n v="2"/>
    <n v="28"/>
    <x v="3"/>
    <n v="3833"/>
    <n v="2.1"/>
    <s v="35-39"/>
    <x v="0"/>
  </r>
  <r>
    <x v="241"/>
    <x v="88"/>
    <x v="1"/>
    <n v="49"/>
    <x v="6"/>
    <x v="1"/>
    <x v="1"/>
    <x v="0"/>
    <x v="7"/>
    <x v="230"/>
    <s v="Active"/>
    <x v="2"/>
    <n v="33400"/>
    <x v="22"/>
    <n v="93"/>
    <n v="1"/>
    <x v="2"/>
    <n v="1"/>
    <n v="4"/>
    <n v="7"/>
    <x v="1"/>
    <n v="2783"/>
    <n v="5.7"/>
    <s v="45+"/>
    <x v="2"/>
  </r>
  <r>
    <x v="242"/>
    <x v="140"/>
    <x v="1"/>
    <n v="26"/>
    <x v="2"/>
    <x v="7"/>
    <x v="2"/>
    <x v="0"/>
    <x v="4"/>
    <x v="231"/>
    <s v="Active"/>
    <x v="0"/>
    <n v="53600"/>
    <x v="0"/>
    <n v="98.7"/>
    <n v="5"/>
    <x v="2"/>
    <n v="3"/>
    <n v="16"/>
    <n v="29"/>
    <x v="6"/>
    <n v="4467"/>
    <n v="1.6"/>
    <s v="25-29"/>
    <x v="1"/>
  </r>
  <r>
    <x v="243"/>
    <x v="65"/>
    <x v="0"/>
    <n v="38"/>
    <x v="14"/>
    <x v="6"/>
    <x v="4"/>
    <x v="0"/>
    <x v="1"/>
    <x v="232"/>
    <s v="Active"/>
    <x v="0"/>
    <n v="115200"/>
    <x v="13"/>
    <n v="90.5"/>
    <n v="1"/>
    <x v="5"/>
    <n v="0"/>
    <n v="25"/>
    <n v="9"/>
    <x v="3"/>
    <n v="9600"/>
    <n v="2.2999999999999998"/>
    <s v="35-39"/>
    <x v="0"/>
  </r>
  <r>
    <x v="244"/>
    <x v="21"/>
    <x v="0"/>
    <n v="24"/>
    <x v="6"/>
    <x v="5"/>
    <x v="2"/>
    <x v="0"/>
    <x v="7"/>
    <x v="233"/>
    <s v="Active"/>
    <x v="2"/>
    <n v="108600"/>
    <x v="5"/>
    <n v="93.5"/>
    <n v="2"/>
    <x v="1"/>
    <n v="4"/>
    <n v="19"/>
    <n v="21"/>
    <x v="0"/>
    <n v="9050"/>
    <n v="4"/>
    <s v="20-24"/>
    <x v="2"/>
  </r>
  <r>
    <x v="245"/>
    <x v="141"/>
    <x v="1"/>
    <n v="42"/>
    <x v="2"/>
    <x v="5"/>
    <x v="0"/>
    <x v="0"/>
    <x v="0"/>
    <x v="234"/>
    <s v="Active"/>
    <x v="1"/>
    <n v="136000"/>
    <x v="23"/>
    <n v="91.7"/>
    <n v="2"/>
    <x v="8"/>
    <n v="1"/>
    <n v="29"/>
    <n v="7"/>
    <x v="1"/>
    <n v="11333"/>
    <n v="4"/>
    <s v="40-44"/>
    <x v="1"/>
  </r>
  <r>
    <x v="246"/>
    <x v="68"/>
    <x v="1"/>
    <n v="32"/>
    <x v="14"/>
    <x v="7"/>
    <x v="2"/>
    <x v="1"/>
    <x v="0"/>
    <x v="235"/>
    <s v="Active"/>
    <x v="1"/>
    <n v="52200"/>
    <x v="17"/>
    <n v="95.4"/>
    <n v="0"/>
    <x v="3"/>
    <n v="1"/>
    <n v="29"/>
    <n v="20"/>
    <x v="4"/>
    <n v="4350"/>
    <n v="0.5"/>
    <s v="30-34"/>
    <x v="2"/>
  </r>
  <r>
    <x v="247"/>
    <x v="142"/>
    <x v="1"/>
    <n v="21"/>
    <x v="13"/>
    <x v="2"/>
    <x v="3"/>
    <x v="0"/>
    <x v="6"/>
    <x v="236"/>
    <s v="Active"/>
    <x v="0"/>
    <n v="40000"/>
    <x v="5"/>
    <n v="73.2"/>
    <n v="4"/>
    <x v="7"/>
    <n v="4"/>
    <n v="4"/>
    <n v="5"/>
    <x v="3"/>
    <n v="3333"/>
    <n v="7.5"/>
    <s v="20-24"/>
    <x v="1"/>
  </r>
  <r>
    <x v="248"/>
    <x v="143"/>
    <x v="1"/>
    <n v="43"/>
    <x v="4"/>
    <x v="3"/>
    <x v="3"/>
    <x v="0"/>
    <x v="1"/>
    <x v="237"/>
    <s v="Active"/>
    <x v="1"/>
    <n v="71100"/>
    <x v="8"/>
    <n v="87.6"/>
    <n v="7"/>
    <x v="10"/>
    <n v="3"/>
    <n v="13"/>
    <n v="23"/>
    <x v="1"/>
    <n v="5925"/>
    <n v="0.3"/>
    <s v="40-44"/>
    <x v="1"/>
  </r>
  <r>
    <x v="249"/>
    <x v="135"/>
    <x v="0"/>
    <n v="37"/>
    <x v="2"/>
    <x v="5"/>
    <x v="1"/>
    <x v="1"/>
    <x v="0"/>
    <x v="238"/>
    <s v="Active"/>
    <x v="1"/>
    <n v="40500"/>
    <x v="4"/>
    <n v="89.8"/>
    <n v="8"/>
    <x v="12"/>
    <n v="1"/>
    <n v="28"/>
    <n v="17"/>
    <x v="0"/>
    <n v="3375"/>
    <n v="6.9"/>
    <s v="35-39"/>
    <x v="2"/>
  </r>
  <r>
    <x v="250"/>
    <x v="144"/>
    <x v="0"/>
    <n v="23"/>
    <x v="13"/>
    <x v="3"/>
    <x v="5"/>
    <x v="0"/>
    <x v="2"/>
    <x v="60"/>
    <s v="Active"/>
    <x v="1"/>
    <n v="26000"/>
    <x v="30"/>
    <n v="91.2"/>
    <n v="6"/>
    <x v="6"/>
    <n v="2"/>
    <n v="19"/>
    <n v="6"/>
    <x v="1"/>
    <n v="2167"/>
    <n v="0.4"/>
    <s v="20-24"/>
    <x v="3"/>
  </r>
  <r>
    <x v="251"/>
    <x v="19"/>
    <x v="1"/>
    <n v="23"/>
    <x v="13"/>
    <x v="0"/>
    <x v="2"/>
    <x v="0"/>
    <x v="0"/>
    <x v="239"/>
    <s v="Active"/>
    <x v="0"/>
    <n v="67900"/>
    <x v="10"/>
    <n v="84.9"/>
    <n v="4"/>
    <x v="11"/>
    <n v="2"/>
    <n v="27"/>
    <n v="17"/>
    <x v="5"/>
    <n v="5658"/>
    <n v="8"/>
    <s v="20-24"/>
    <x v="1"/>
  </r>
  <r>
    <x v="252"/>
    <x v="145"/>
    <x v="0"/>
    <n v="27"/>
    <x v="7"/>
    <x v="5"/>
    <x v="3"/>
    <x v="0"/>
    <x v="5"/>
    <x v="9"/>
    <s v="Active"/>
    <x v="0"/>
    <n v="59100"/>
    <x v="9"/>
    <n v="92.5"/>
    <n v="7"/>
    <x v="10"/>
    <n v="0"/>
    <n v="13"/>
    <n v="30"/>
    <x v="4"/>
    <n v="4925"/>
    <n v="2.1"/>
    <s v="25-29"/>
    <x v="0"/>
  </r>
  <r>
    <x v="253"/>
    <x v="146"/>
    <x v="1"/>
    <n v="30"/>
    <x v="3"/>
    <x v="3"/>
    <x v="2"/>
    <x v="1"/>
    <x v="0"/>
    <x v="240"/>
    <s v="Active"/>
    <x v="1"/>
    <n v="100200"/>
    <x v="15"/>
    <n v="95.4"/>
    <n v="8"/>
    <x v="13"/>
    <n v="4"/>
    <n v="8"/>
    <n v="19"/>
    <x v="6"/>
    <n v="8350"/>
    <n v="8.1"/>
    <s v="30-34"/>
    <x v="2"/>
  </r>
  <r>
    <x v="254"/>
    <x v="147"/>
    <x v="0"/>
    <n v="20"/>
    <x v="13"/>
    <x v="0"/>
    <x v="2"/>
    <x v="0"/>
    <x v="0"/>
    <x v="241"/>
    <s v="Active"/>
    <x v="1"/>
    <n v="78500"/>
    <x v="5"/>
    <n v="87.5"/>
    <n v="8"/>
    <x v="15"/>
    <n v="3"/>
    <n v="7"/>
    <n v="26"/>
    <x v="0"/>
    <n v="6542"/>
    <n v="2.4"/>
    <s v="20-24"/>
    <x v="1"/>
  </r>
  <r>
    <x v="255"/>
    <x v="145"/>
    <x v="1"/>
    <n v="47"/>
    <x v="6"/>
    <x v="2"/>
    <x v="3"/>
    <x v="0"/>
    <x v="2"/>
    <x v="242"/>
    <s v="Active"/>
    <x v="1"/>
    <n v="54800"/>
    <x v="22"/>
    <n v="86.1"/>
    <n v="8"/>
    <x v="1"/>
    <n v="2"/>
    <n v="10"/>
    <n v="14"/>
    <x v="6"/>
    <n v="4567"/>
    <n v="7.8"/>
    <s v="45+"/>
    <x v="1"/>
  </r>
  <r>
    <x v="256"/>
    <x v="148"/>
    <x v="0"/>
    <n v="28"/>
    <x v="4"/>
    <x v="5"/>
    <x v="3"/>
    <x v="0"/>
    <x v="7"/>
    <x v="243"/>
    <s v="Active"/>
    <x v="0"/>
    <n v="60200"/>
    <x v="0"/>
    <n v="93"/>
    <n v="1"/>
    <x v="13"/>
    <n v="0"/>
    <n v="27"/>
    <n v="14"/>
    <x v="0"/>
    <n v="5017"/>
    <n v="8.3000000000000007"/>
    <s v="25-29"/>
    <x v="1"/>
  </r>
  <r>
    <x v="257"/>
    <x v="53"/>
    <x v="0"/>
    <n v="25"/>
    <x v="5"/>
    <x v="2"/>
    <x v="3"/>
    <x v="0"/>
    <x v="5"/>
    <x v="244"/>
    <s v="Active"/>
    <x v="1"/>
    <n v="47500"/>
    <x v="20"/>
    <n v="91.8"/>
    <n v="2"/>
    <x v="1"/>
    <n v="0"/>
    <n v="28"/>
    <n v="19"/>
    <x v="1"/>
    <n v="3958"/>
    <n v="0.2"/>
    <s v="25-29"/>
    <x v="2"/>
  </r>
  <r>
    <x v="258"/>
    <x v="149"/>
    <x v="1"/>
    <n v="23"/>
    <x v="3"/>
    <x v="3"/>
    <x v="3"/>
    <x v="0"/>
    <x v="0"/>
    <x v="245"/>
    <s v="Active"/>
    <x v="0"/>
    <n v="72700"/>
    <x v="20"/>
    <n v="92.2"/>
    <n v="1"/>
    <x v="1"/>
    <n v="1"/>
    <n v="17"/>
    <n v="9"/>
    <x v="1"/>
    <n v="6058"/>
    <n v="2.6"/>
    <s v="20-24"/>
    <x v="1"/>
  </r>
  <r>
    <x v="259"/>
    <x v="150"/>
    <x v="0"/>
    <n v="25"/>
    <x v="14"/>
    <x v="4"/>
    <x v="0"/>
    <x v="0"/>
    <x v="0"/>
    <x v="246"/>
    <s v="Active"/>
    <x v="1"/>
    <n v="93500"/>
    <x v="15"/>
    <n v="83.7"/>
    <n v="4"/>
    <x v="2"/>
    <n v="3"/>
    <n v="8"/>
    <n v="30"/>
    <x v="1"/>
    <n v="7792"/>
    <n v="2.5"/>
    <s v="25-29"/>
    <x v="2"/>
  </r>
  <r>
    <x v="260"/>
    <x v="151"/>
    <x v="0"/>
    <n v="32"/>
    <x v="13"/>
    <x v="2"/>
    <x v="3"/>
    <x v="0"/>
    <x v="3"/>
    <x v="247"/>
    <s v="Active"/>
    <x v="1"/>
    <n v="51300"/>
    <x v="27"/>
    <n v="100"/>
    <n v="2"/>
    <x v="11"/>
    <n v="2"/>
    <n v="1"/>
    <n v="22"/>
    <x v="3"/>
    <n v="4275"/>
    <n v="0.8"/>
    <s v="30-34"/>
    <x v="1"/>
  </r>
  <r>
    <x v="261"/>
    <x v="107"/>
    <x v="0"/>
    <n v="48"/>
    <x v="3"/>
    <x v="5"/>
    <x v="2"/>
    <x v="0"/>
    <x v="4"/>
    <x v="248"/>
    <s v="Active"/>
    <x v="0"/>
    <n v="86000"/>
    <x v="21"/>
    <n v="78.7"/>
    <n v="8"/>
    <x v="4"/>
    <n v="4"/>
    <n v="21"/>
    <n v="8"/>
    <x v="1"/>
    <n v="7167"/>
    <n v="0.5"/>
    <s v="45+"/>
    <x v="1"/>
  </r>
  <r>
    <x v="262"/>
    <x v="152"/>
    <x v="0"/>
    <n v="41"/>
    <x v="7"/>
    <x v="2"/>
    <x v="0"/>
    <x v="0"/>
    <x v="4"/>
    <x v="249"/>
    <s v="Active"/>
    <x v="2"/>
    <n v="96000"/>
    <x v="25"/>
    <n v="95.3"/>
    <n v="1"/>
    <x v="14"/>
    <n v="1"/>
    <n v="1"/>
    <n v="23"/>
    <x v="6"/>
    <n v="8000"/>
    <n v="8.1999999999999993"/>
    <s v="40-44"/>
    <x v="1"/>
  </r>
  <r>
    <x v="263"/>
    <x v="153"/>
    <x v="1"/>
    <n v="48"/>
    <x v="12"/>
    <x v="4"/>
    <x v="0"/>
    <x v="0"/>
    <x v="3"/>
    <x v="250"/>
    <s v="Active"/>
    <x v="1"/>
    <n v="80300"/>
    <x v="3"/>
    <n v="87.4"/>
    <n v="4"/>
    <x v="8"/>
    <n v="2"/>
    <n v="5"/>
    <n v="28"/>
    <x v="6"/>
    <n v="6692"/>
    <n v="8"/>
    <s v="45+"/>
    <x v="1"/>
  </r>
  <r>
    <x v="264"/>
    <x v="99"/>
    <x v="1"/>
    <n v="49"/>
    <x v="13"/>
    <x v="0"/>
    <x v="0"/>
    <x v="0"/>
    <x v="4"/>
    <x v="251"/>
    <s v="Active"/>
    <x v="1"/>
    <n v="98600"/>
    <x v="19"/>
    <n v="100"/>
    <n v="4"/>
    <x v="1"/>
    <n v="0"/>
    <n v="5"/>
    <n v="16"/>
    <x v="4"/>
    <n v="8217"/>
    <n v="4.5"/>
    <s v="45+"/>
    <x v="3"/>
  </r>
  <r>
    <x v="265"/>
    <x v="73"/>
    <x v="1"/>
    <n v="28"/>
    <x v="1"/>
    <x v="4"/>
    <x v="3"/>
    <x v="0"/>
    <x v="5"/>
    <x v="252"/>
    <s v="Active"/>
    <x v="1"/>
    <n v="47300"/>
    <x v="20"/>
    <n v="93.2"/>
    <n v="4"/>
    <x v="14"/>
    <n v="4"/>
    <n v="10"/>
    <n v="3"/>
    <x v="1"/>
    <n v="3942"/>
    <n v="7.7"/>
    <s v="25-29"/>
    <x v="2"/>
  </r>
  <r>
    <x v="266"/>
    <x v="17"/>
    <x v="0"/>
    <n v="46"/>
    <x v="3"/>
    <x v="5"/>
    <x v="5"/>
    <x v="0"/>
    <x v="7"/>
    <x v="20"/>
    <s v="Active"/>
    <x v="0"/>
    <n v="30700"/>
    <x v="21"/>
    <n v="96.3"/>
    <n v="0"/>
    <x v="9"/>
    <n v="0"/>
    <n v="22"/>
    <n v="5"/>
    <x v="3"/>
    <n v="2558"/>
    <n v="1.1000000000000001"/>
    <s v="45+"/>
    <x v="1"/>
  </r>
  <r>
    <x v="267"/>
    <x v="154"/>
    <x v="1"/>
    <n v="33"/>
    <x v="11"/>
    <x v="3"/>
    <x v="3"/>
    <x v="0"/>
    <x v="0"/>
    <x v="7"/>
    <s v="Active"/>
    <x v="0"/>
    <n v="67600"/>
    <x v="28"/>
    <n v="93.5"/>
    <n v="6"/>
    <x v="10"/>
    <n v="1"/>
    <n v="9"/>
    <n v="17"/>
    <x v="1"/>
    <n v="5633"/>
    <n v="6.3"/>
    <s v="30-34"/>
    <x v="1"/>
  </r>
  <r>
    <x v="268"/>
    <x v="155"/>
    <x v="1"/>
    <n v="31"/>
    <x v="11"/>
    <x v="1"/>
    <x v="3"/>
    <x v="0"/>
    <x v="0"/>
    <x v="253"/>
    <s v="Active"/>
    <x v="0"/>
    <n v="51300"/>
    <x v="24"/>
    <n v="78.8"/>
    <n v="1"/>
    <x v="0"/>
    <n v="4"/>
    <n v="12"/>
    <n v="13"/>
    <x v="0"/>
    <n v="4275"/>
    <n v="4.2"/>
    <s v="30-34"/>
    <x v="2"/>
  </r>
  <r>
    <x v="269"/>
    <x v="156"/>
    <x v="0"/>
    <n v="23"/>
    <x v="6"/>
    <x v="0"/>
    <x v="0"/>
    <x v="0"/>
    <x v="7"/>
    <x v="254"/>
    <s v="Active"/>
    <x v="1"/>
    <n v="83900"/>
    <x v="10"/>
    <n v="91.6"/>
    <n v="1"/>
    <x v="6"/>
    <n v="4"/>
    <n v="20"/>
    <n v="17"/>
    <x v="1"/>
    <n v="6992"/>
    <n v="3.6"/>
    <s v="20-24"/>
    <x v="3"/>
  </r>
  <r>
    <x v="270"/>
    <x v="157"/>
    <x v="0"/>
    <n v="27"/>
    <x v="13"/>
    <x v="1"/>
    <x v="2"/>
    <x v="0"/>
    <x v="7"/>
    <x v="255"/>
    <s v="Active"/>
    <x v="0"/>
    <n v="69700"/>
    <x v="0"/>
    <n v="92.8"/>
    <n v="8"/>
    <x v="15"/>
    <n v="1"/>
    <n v="27"/>
    <n v="26"/>
    <x v="3"/>
    <n v="5808"/>
    <n v="1.6"/>
    <s v="25-29"/>
    <x v="2"/>
  </r>
  <r>
    <x v="271"/>
    <x v="12"/>
    <x v="0"/>
    <n v="36"/>
    <x v="1"/>
    <x v="4"/>
    <x v="1"/>
    <x v="0"/>
    <x v="6"/>
    <x v="256"/>
    <s v="Active"/>
    <x v="1"/>
    <n v="33700"/>
    <x v="17"/>
    <n v="93.4"/>
    <n v="0"/>
    <x v="10"/>
    <n v="0"/>
    <n v="18"/>
    <n v="24"/>
    <x v="5"/>
    <n v="2808"/>
    <n v="2.7"/>
    <s v="35-39"/>
    <x v="1"/>
  </r>
  <r>
    <x v="272"/>
    <x v="25"/>
    <x v="0"/>
    <n v="41"/>
    <x v="4"/>
    <x v="7"/>
    <x v="1"/>
    <x v="0"/>
    <x v="3"/>
    <x v="257"/>
    <s v="Active"/>
    <x v="1"/>
    <n v="23900"/>
    <x v="23"/>
    <n v="96.9"/>
    <n v="8"/>
    <x v="4"/>
    <n v="4"/>
    <n v="27"/>
    <n v="18"/>
    <x v="3"/>
    <n v="1992"/>
    <n v="4.3"/>
    <s v="40-44"/>
    <x v="1"/>
  </r>
  <r>
    <x v="273"/>
    <x v="133"/>
    <x v="1"/>
    <n v="24"/>
    <x v="8"/>
    <x v="3"/>
    <x v="1"/>
    <x v="3"/>
    <x v="6"/>
    <x v="258"/>
    <s v="Active"/>
    <x v="1"/>
    <n v="41400"/>
    <x v="20"/>
    <n v="92.1"/>
    <n v="5"/>
    <x v="1"/>
    <n v="3"/>
    <n v="30"/>
    <n v="30"/>
    <x v="3"/>
    <n v="3450"/>
    <n v="2.2000000000000002"/>
    <s v="20-24"/>
    <x v="2"/>
  </r>
  <r>
    <x v="274"/>
    <x v="136"/>
    <x v="1"/>
    <n v="22"/>
    <x v="8"/>
    <x v="1"/>
    <x v="2"/>
    <x v="0"/>
    <x v="4"/>
    <x v="259"/>
    <s v="Active"/>
    <x v="1"/>
    <n v="62000"/>
    <x v="30"/>
    <n v="95"/>
    <n v="4"/>
    <x v="13"/>
    <n v="3"/>
    <n v="1"/>
    <n v="30"/>
    <x v="4"/>
    <n v="5167"/>
    <n v="2.6"/>
    <s v="20-24"/>
    <x v="1"/>
  </r>
  <r>
    <x v="275"/>
    <x v="37"/>
    <x v="1"/>
    <n v="23"/>
    <x v="9"/>
    <x v="3"/>
    <x v="2"/>
    <x v="0"/>
    <x v="4"/>
    <x v="260"/>
    <s v="Active"/>
    <x v="2"/>
    <n v="88800"/>
    <x v="10"/>
    <n v="87.2"/>
    <n v="4"/>
    <x v="11"/>
    <n v="0"/>
    <n v="28"/>
    <n v="21"/>
    <x v="5"/>
    <n v="7400"/>
    <n v="3.8"/>
    <s v="20-24"/>
    <x v="3"/>
  </r>
  <r>
    <x v="276"/>
    <x v="51"/>
    <x v="1"/>
    <n v="27"/>
    <x v="8"/>
    <x v="6"/>
    <x v="0"/>
    <x v="0"/>
    <x v="6"/>
    <x v="139"/>
    <s v="On Leave"/>
    <x v="2"/>
    <n v="108700"/>
    <x v="20"/>
    <n v="82.2"/>
    <n v="4"/>
    <x v="14"/>
    <n v="4"/>
    <n v="19"/>
    <n v="11"/>
    <x v="5"/>
    <n v="9058"/>
    <n v="6.9"/>
    <s v="25-29"/>
    <x v="3"/>
  </r>
  <r>
    <x v="277"/>
    <x v="12"/>
    <x v="1"/>
    <n v="35"/>
    <x v="4"/>
    <x v="5"/>
    <x v="4"/>
    <x v="2"/>
    <x v="2"/>
    <x v="261"/>
    <s v="Active"/>
    <x v="1"/>
    <n v="144200"/>
    <x v="17"/>
    <n v="86.4"/>
    <n v="5"/>
    <x v="12"/>
    <n v="0"/>
    <n v="28"/>
    <n v="16"/>
    <x v="1"/>
    <n v="12017"/>
    <n v="0.5"/>
    <s v="35-39"/>
    <x v="1"/>
  </r>
  <r>
    <x v="278"/>
    <x v="66"/>
    <x v="0"/>
    <n v="30"/>
    <x v="7"/>
    <x v="2"/>
    <x v="1"/>
    <x v="3"/>
    <x v="6"/>
    <x v="262"/>
    <s v="Active"/>
    <x v="0"/>
    <n v="33700"/>
    <x v="0"/>
    <n v="87.3"/>
    <n v="6"/>
    <x v="5"/>
    <n v="3"/>
    <n v="13"/>
    <n v="20"/>
    <x v="3"/>
    <n v="2808"/>
    <n v="7.6"/>
    <s v="30-34"/>
    <x v="1"/>
  </r>
  <r>
    <x v="279"/>
    <x v="158"/>
    <x v="1"/>
    <n v="46"/>
    <x v="3"/>
    <x v="6"/>
    <x v="3"/>
    <x v="0"/>
    <x v="7"/>
    <x v="263"/>
    <s v="Active"/>
    <x v="0"/>
    <n v="54800"/>
    <x v="19"/>
    <n v="86.4"/>
    <n v="8"/>
    <x v="3"/>
    <n v="4"/>
    <n v="27"/>
    <n v="15"/>
    <x v="1"/>
    <n v="4567"/>
    <n v="5.8"/>
    <s v="45+"/>
    <x v="1"/>
  </r>
  <r>
    <x v="280"/>
    <x v="94"/>
    <x v="1"/>
    <n v="45"/>
    <x v="14"/>
    <x v="2"/>
    <x v="1"/>
    <x v="0"/>
    <x v="3"/>
    <x v="264"/>
    <s v="Active"/>
    <x v="0"/>
    <n v="28100"/>
    <x v="11"/>
    <n v="84.9"/>
    <n v="1"/>
    <x v="2"/>
    <n v="4"/>
    <n v="0"/>
    <n v="2"/>
    <x v="2"/>
    <n v="2342"/>
    <n v="1.9"/>
    <s v="45+"/>
    <x v="3"/>
  </r>
  <r>
    <x v="281"/>
    <x v="159"/>
    <x v="0"/>
    <n v="46"/>
    <x v="0"/>
    <x v="3"/>
    <x v="3"/>
    <x v="0"/>
    <x v="6"/>
    <x v="265"/>
    <s v="Active"/>
    <x v="0"/>
    <n v="71100"/>
    <x v="21"/>
    <n v="86.2"/>
    <n v="3"/>
    <x v="11"/>
    <n v="0"/>
    <n v="26"/>
    <n v="22"/>
    <x v="5"/>
    <n v="5925"/>
    <n v="4.9000000000000004"/>
    <s v="45+"/>
    <x v="1"/>
  </r>
  <r>
    <x v="282"/>
    <x v="135"/>
    <x v="0"/>
    <n v="49"/>
    <x v="14"/>
    <x v="1"/>
    <x v="0"/>
    <x v="0"/>
    <x v="4"/>
    <x v="266"/>
    <s v="Active"/>
    <x v="1"/>
    <n v="86800"/>
    <x v="6"/>
    <n v="88.8"/>
    <n v="4"/>
    <x v="1"/>
    <n v="4"/>
    <n v="11"/>
    <n v="26"/>
    <x v="3"/>
    <n v="7233"/>
    <n v="7.3"/>
    <s v="45+"/>
    <x v="0"/>
  </r>
  <r>
    <x v="283"/>
    <x v="3"/>
    <x v="1"/>
    <n v="50"/>
    <x v="14"/>
    <x v="3"/>
    <x v="2"/>
    <x v="0"/>
    <x v="1"/>
    <x v="267"/>
    <s v="Active"/>
    <x v="0"/>
    <n v="102200"/>
    <x v="26"/>
    <n v="85.9"/>
    <n v="5"/>
    <x v="11"/>
    <n v="0"/>
    <n v="17"/>
    <n v="5"/>
    <x v="3"/>
    <n v="8517"/>
    <n v="3.1"/>
    <s v="45+"/>
    <x v="2"/>
  </r>
  <r>
    <x v="284"/>
    <x v="51"/>
    <x v="0"/>
    <n v="21"/>
    <x v="3"/>
    <x v="7"/>
    <x v="2"/>
    <x v="2"/>
    <x v="2"/>
    <x v="268"/>
    <s v="Active"/>
    <x v="0"/>
    <n v="45000"/>
    <x v="5"/>
    <n v="100"/>
    <n v="6"/>
    <x v="4"/>
    <n v="2"/>
    <n v="23"/>
    <n v="3"/>
    <x v="4"/>
    <n v="3750"/>
    <n v="6"/>
    <s v="20-24"/>
    <x v="1"/>
  </r>
  <r>
    <x v="285"/>
    <x v="5"/>
    <x v="0"/>
    <n v="27"/>
    <x v="8"/>
    <x v="1"/>
    <x v="3"/>
    <x v="0"/>
    <x v="3"/>
    <x v="269"/>
    <s v="Resigned"/>
    <x v="2"/>
    <n v="43100"/>
    <x v="0"/>
    <n v="84"/>
    <n v="2"/>
    <x v="3"/>
    <n v="2"/>
    <n v="15"/>
    <n v="24"/>
    <x v="1"/>
    <n v="3592"/>
    <n v="8.5"/>
    <s v="25-29"/>
    <x v="1"/>
  </r>
  <r>
    <x v="286"/>
    <x v="160"/>
    <x v="0"/>
    <n v="26"/>
    <x v="9"/>
    <x v="2"/>
    <x v="5"/>
    <x v="0"/>
    <x v="6"/>
    <x v="270"/>
    <s v="Active"/>
    <x v="0"/>
    <n v="20200"/>
    <x v="2"/>
    <n v="93.2"/>
    <n v="2"/>
    <x v="1"/>
    <n v="3"/>
    <n v="4"/>
    <n v="29"/>
    <x v="0"/>
    <n v="1683"/>
    <n v="0.5"/>
    <s v="25-29"/>
    <x v="1"/>
  </r>
  <r>
    <x v="287"/>
    <x v="22"/>
    <x v="1"/>
    <n v="20"/>
    <x v="1"/>
    <x v="4"/>
    <x v="1"/>
    <x v="0"/>
    <x v="7"/>
    <x v="271"/>
    <s v="Active"/>
    <x v="1"/>
    <n v="30400"/>
    <x v="5"/>
    <n v="88.3"/>
    <n v="8"/>
    <x v="11"/>
    <n v="3"/>
    <n v="20"/>
    <n v="9"/>
    <x v="5"/>
    <n v="2533"/>
    <n v="1.3"/>
    <s v="20-24"/>
    <x v="1"/>
  </r>
  <r>
    <x v="288"/>
    <x v="161"/>
    <x v="1"/>
    <n v="48"/>
    <x v="3"/>
    <x v="3"/>
    <x v="3"/>
    <x v="0"/>
    <x v="5"/>
    <x v="272"/>
    <s v="Active"/>
    <x v="2"/>
    <n v="70000"/>
    <x v="26"/>
    <n v="93.7"/>
    <n v="8"/>
    <x v="2"/>
    <n v="1"/>
    <n v="18"/>
    <n v="28"/>
    <x v="1"/>
    <n v="5833"/>
    <n v="1.6"/>
    <s v="45+"/>
    <x v="2"/>
  </r>
  <r>
    <x v="289"/>
    <x v="80"/>
    <x v="1"/>
    <n v="21"/>
    <x v="9"/>
    <x v="2"/>
    <x v="2"/>
    <x v="0"/>
    <x v="1"/>
    <x v="273"/>
    <s v="Active"/>
    <x v="0"/>
    <n v="58200"/>
    <x v="5"/>
    <n v="89.8"/>
    <n v="1"/>
    <x v="11"/>
    <n v="2"/>
    <n v="13"/>
    <n v="3"/>
    <x v="5"/>
    <n v="4850"/>
    <n v="7.2"/>
    <s v="20-24"/>
    <x v="1"/>
  </r>
  <r>
    <x v="290"/>
    <x v="34"/>
    <x v="1"/>
    <n v="42"/>
    <x v="11"/>
    <x v="5"/>
    <x v="1"/>
    <x v="0"/>
    <x v="4"/>
    <x v="274"/>
    <s v="Active"/>
    <x v="2"/>
    <n v="48300"/>
    <x v="25"/>
    <n v="95.3"/>
    <n v="3"/>
    <x v="3"/>
    <n v="2"/>
    <n v="10"/>
    <n v="12"/>
    <x v="2"/>
    <n v="4025"/>
    <n v="7.5"/>
    <s v="40-44"/>
    <x v="1"/>
  </r>
  <r>
    <x v="291"/>
    <x v="162"/>
    <x v="1"/>
    <n v="46"/>
    <x v="3"/>
    <x v="4"/>
    <x v="2"/>
    <x v="0"/>
    <x v="1"/>
    <x v="275"/>
    <s v="Resigned"/>
    <x v="2"/>
    <n v="58300"/>
    <x v="7"/>
    <n v="89"/>
    <n v="3"/>
    <x v="11"/>
    <n v="1"/>
    <n v="16"/>
    <n v="28"/>
    <x v="3"/>
    <n v="4858"/>
    <n v="6.2"/>
    <s v="45+"/>
    <x v="2"/>
  </r>
  <r>
    <x v="292"/>
    <x v="146"/>
    <x v="0"/>
    <n v="32"/>
    <x v="8"/>
    <x v="2"/>
    <x v="0"/>
    <x v="0"/>
    <x v="7"/>
    <x v="276"/>
    <s v="Active"/>
    <x v="1"/>
    <n v="97500"/>
    <x v="28"/>
    <n v="91.4"/>
    <n v="4"/>
    <x v="8"/>
    <n v="0"/>
    <n v="21"/>
    <n v="11"/>
    <x v="1"/>
    <n v="8125"/>
    <n v="6.3"/>
    <s v="30-34"/>
    <x v="1"/>
  </r>
  <r>
    <x v="293"/>
    <x v="78"/>
    <x v="0"/>
    <n v="30"/>
    <x v="11"/>
    <x v="5"/>
    <x v="3"/>
    <x v="0"/>
    <x v="6"/>
    <x v="277"/>
    <s v="Active"/>
    <x v="0"/>
    <n v="72000"/>
    <x v="18"/>
    <n v="80"/>
    <n v="1"/>
    <x v="3"/>
    <n v="2"/>
    <n v="14"/>
    <n v="12"/>
    <x v="5"/>
    <n v="6000"/>
    <n v="6.9"/>
    <s v="30-34"/>
    <x v="2"/>
  </r>
  <r>
    <x v="294"/>
    <x v="132"/>
    <x v="1"/>
    <n v="22"/>
    <x v="9"/>
    <x v="5"/>
    <x v="2"/>
    <x v="1"/>
    <x v="7"/>
    <x v="278"/>
    <s v="Active"/>
    <x v="0"/>
    <n v="95700"/>
    <x v="5"/>
    <n v="84.1"/>
    <n v="3"/>
    <x v="0"/>
    <n v="2"/>
    <n v="15"/>
    <n v="10"/>
    <x v="1"/>
    <n v="7975"/>
    <n v="0.4"/>
    <s v="20-24"/>
    <x v="3"/>
  </r>
  <r>
    <x v="295"/>
    <x v="163"/>
    <x v="1"/>
    <n v="21"/>
    <x v="3"/>
    <x v="1"/>
    <x v="3"/>
    <x v="0"/>
    <x v="1"/>
    <x v="269"/>
    <s v="Active"/>
    <x v="1"/>
    <n v="44200"/>
    <x v="10"/>
    <n v="83.2"/>
    <n v="2"/>
    <x v="6"/>
    <n v="3"/>
    <n v="30"/>
    <n v="30"/>
    <x v="0"/>
    <n v="3683"/>
    <n v="8.5"/>
    <s v="20-24"/>
    <x v="1"/>
  </r>
  <r>
    <x v="296"/>
    <x v="164"/>
    <x v="0"/>
    <n v="35"/>
    <x v="1"/>
    <x v="4"/>
    <x v="2"/>
    <x v="0"/>
    <x v="2"/>
    <x v="279"/>
    <s v="Active"/>
    <x v="1"/>
    <n v="69100"/>
    <x v="24"/>
    <n v="98.6"/>
    <n v="5"/>
    <x v="11"/>
    <n v="1"/>
    <n v="13"/>
    <n v="27"/>
    <x v="6"/>
    <n v="5758"/>
    <n v="1.3"/>
    <s v="35-39"/>
    <x v="1"/>
  </r>
  <r>
    <x v="297"/>
    <x v="165"/>
    <x v="0"/>
    <n v="20"/>
    <x v="12"/>
    <x v="1"/>
    <x v="2"/>
    <x v="0"/>
    <x v="1"/>
    <x v="280"/>
    <s v="Active"/>
    <x v="0"/>
    <n v="62700"/>
    <x v="5"/>
    <n v="95.7"/>
    <n v="3"/>
    <x v="11"/>
    <n v="1"/>
    <n v="27"/>
    <n v="25"/>
    <x v="5"/>
    <n v="5225"/>
    <n v="6.4"/>
    <s v="20-24"/>
    <x v="2"/>
  </r>
  <r>
    <x v="298"/>
    <x v="40"/>
    <x v="0"/>
    <n v="26"/>
    <x v="2"/>
    <x v="0"/>
    <x v="4"/>
    <x v="0"/>
    <x v="7"/>
    <x v="69"/>
    <s v="Resigned"/>
    <x v="2"/>
    <n v="111500"/>
    <x v="0"/>
    <n v="92"/>
    <n v="0"/>
    <x v="15"/>
    <n v="3"/>
    <n v="16"/>
    <n v="5"/>
    <x v="3"/>
    <n v="9292"/>
    <n v="2"/>
    <s v="25-29"/>
    <x v="2"/>
  </r>
  <r>
    <x v="299"/>
    <x v="127"/>
    <x v="1"/>
    <n v="22"/>
    <x v="4"/>
    <x v="5"/>
    <x v="3"/>
    <x v="3"/>
    <x v="6"/>
    <x v="281"/>
    <s v="Active"/>
    <x v="0"/>
    <n v="68700"/>
    <x v="2"/>
    <n v="96.2"/>
    <n v="2"/>
    <x v="2"/>
    <n v="2"/>
    <n v="3"/>
    <n v="29"/>
    <x v="6"/>
    <n v="5725"/>
    <n v="3.6"/>
    <s v="20-24"/>
    <x v="1"/>
  </r>
  <r>
    <x v="300"/>
    <x v="98"/>
    <x v="0"/>
    <n v="41"/>
    <x v="9"/>
    <x v="2"/>
    <x v="3"/>
    <x v="2"/>
    <x v="2"/>
    <x v="282"/>
    <s v="Active"/>
    <x v="1"/>
    <n v="55300"/>
    <x v="23"/>
    <n v="85.9"/>
    <n v="7"/>
    <x v="8"/>
    <n v="4"/>
    <n v="13"/>
    <n v="30"/>
    <x v="2"/>
    <n v="4608"/>
    <n v="5"/>
    <s v="40-44"/>
    <x v="1"/>
  </r>
  <r>
    <x v="301"/>
    <x v="128"/>
    <x v="0"/>
    <n v="35"/>
    <x v="7"/>
    <x v="6"/>
    <x v="1"/>
    <x v="0"/>
    <x v="4"/>
    <x v="283"/>
    <s v="Active"/>
    <x v="1"/>
    <n v="40000"/>
    <x v="24"/>
    <n v="98.4"/>
    <n v="2"/>
    <x v="3"/>
    <n v="1"/>
    <n v="3"/>
    <n v="5"/>
    <x v="6"/>
    <n v="3333"/>
    <n v="3.2"/>
    <s v="35-39"/>
    <x v="1"/>
  </r>
  <r>
    <x v="302"/>
    <x v="60"/>
    <x v="1"/>
    <n v="45"/>
    <x v="11"/>
    <x v="0"/>
    <x v="1"/>
    <x v="0"/>
    <x v="3"/>
    <x v="284"/>
    <s v="Active"/>
    <x v="0"/>
    <n v="38100"/>
    <x v="21"/>
    <n v="91.5"/>
    <n v="6"/>
    <x v="8"/>
    <n v="2"/>
    <n v="26"/>
    <n v="22"/>
    <x v="4"/>
    <n v="3175"/>
    <n v="0.2"/>
    <s v="45+"/>
    <x v="1"/>
  </r>
  <r>
    <x v="303"/>
    <x v="135"/>
    <x v="0"/>
    <n v="43"/>
    <x v="9"/>
    <x v="4"/>
    <x v="2"/>
    <x v="0"/>
    <x v="6"/>
    <x v="34"/>
    <s v="Resigned"/>
    <x v="1"/>
    <n v="67100"/>
    <x v="11"/>
    <n v="89.8"/>
    <n v="1"/>
    <x v="1"/>
    <n v="0"/>
    <n v="2"/>
    <n v="2"/>
    <x v="6"/>
    <n v="5592"/>
    <n v="3.2"/>
    <s v="40-44"/>
    <x v="2"/>
  </r>
  <r>
    <x v="304"/>
    <x v="4"/>
    <x v="0"/>
    <n v="25"/>
    <x v="12"/>
    <x v="2"/>
    <x v="0"/>
    <x v="3"/>
    <x v="0"/>
    <x v="285"/>
    <s v="Active"/>
    <x v="0"/>
    <n v="102600"/>
    <x v="30"/>
    <n v="96.1"/>
    <n v="4"/>
    <x v="9"/>
    <n v="1"/>
    <n v="3"/>
    <n v="24"/>
    <x v="1"/>
    <n v="8550"/>
    <n v="7.9"/>
    <s v="25-29"/>
    <x v="1"/>
  </r>
  <r>
    <x v="305"/>
    <x v="119"/>
    <x v="1"/>
    <n v="33"/>
    <x v="7"/>
    <x v="5"/>
    <x v="3"/>
    <x v="0"/>
    <x v="0"/>
    <x v="286"/>
    <s v="Active"/>
    <x v="0"/>
    <n v="67000"/>
    <x v="24"/>
    <n v="95.8"/>
    <n v="6"/>
    <x v="0"/>
    <n v="3"/>
    <n v="29"/>
    <n v="29"/>
    <x v="6"/>
    <n v="5583"/>
    <n v="8"/>
    <s v="30-34"/>
    <x v="1"/>
  </r>
  <r>
    <x v="306"/>
    <x v="74"/>
    <x v="1"/>
    <n v="42"/>
    <x v="5"/>
    <x v="5"/>
    <x v="1"/>
    <x v="0"/>
    <x v="6"/>
    <x v="287"/>
    <s v="Active"/>
    <x v="0"/>
    <n v="45000"/>
    <x v="4"/>
    <n v="83.9"/>
    <n v="0"/>
    <x v="9"/>
    <n v="1"/>
    <n v="21"/>
    <n v="5"/>
    <x v="6"/>
    <n v="3750"/>
    <n v="5.4"/>
    <s v="40-44"/>
    <x v="1"/>
  </r>
  <r>
    <x v="307"/>
    <x v="166"/>
    <x v="0"/>
    <n v="30"/>
    <x v="2"/>
    <x v="5"/>
    <x v="3"/>
    <x v="0"/>
    <x v="6"/>
    <x v="288"/>
    <s v="Active"/>
    <x v="0"/>
    <n v="74800"/>
    <x v="28"/>
    <n v="95.3"/>
    <n v="0"/>
    <x v="15"/>
    <n v="3"/>
    <n v="5"/>
    <n v="2"/>
    <x v="0"/>
    <n v="6233"/>
    <n v="4.7"/>
    <s v="30-34"/>
    <x v="1"/>
  </r>
  <r>
    <x v="308"/>
    <x v="57"/>
    <x v="0"/>
    <n v="50"/>
    <x v="8"/>
    <x v="7"/>
    <x v="3"/>
    <x v="1"/>
    <x v="0"/>
    <x v="289"/>
    <s v="Active"/>
    <x v="0"/>
    <n v="33400"/>
    <x v="29"/>
    <n v="90.1"/>
    <n v="7"/>
    <x v="11"/>
    <n v="0"/>
    <n v="29"/>
    <n v="5"/>
    <x v="3"/>
    <n v="2783"/>
    <n v="3.7"/>
    <s v="45+"/>
    <x v="1"/>
  </r>
  <r>
    <x v="309"/>
    <x v="109"/>
    <x v="0"/>
    <n v="41"/>
    <x v="14"/>
    <x v="7"/>
    <x v="3"/>
    <x v="0"/>
    <x v="3"/>
    <x v="290"/>
    <s v="Active"/>
    <x v="0"/>
    <n v="31800"/>
    <x v="8"/>
    <n v="92.4"/>
    <n v="1"/>
    <x v="0"/>
    <n v="2"/>
    <n v="26"/>
    <n v="5"/>
    <x v="2"/>
    <n v="2650"/>
    <n v="4.9000000000000004"/>
    <s v="40-44"/>
    <x v="1"/>
  </r>
  <r>
    <x v="310"/>
    <x v="167"/>
    <x v="1"/>
    <n v="42"/>
    <x v="9"/>
    <x v="7"/>
    <x v="1"/>
    <x v="0"/>
    <x v="4"/>
    <x v="291"/>
    <s v="Resigned"/>
    <x v="1"/>
    <n v="26700"/>
    <x v="25"/>
    <n v="88.9"/>
    <n v="3"/>
    <x v="6"/>
    <n v="3"/>
    <n v="21"/>
    <n v="2"/>
    <x v="6"/>
    <n v="2225"/>
    <n v="2"/>
    <s v="40-44"/>
    <x v="3"/>
  </r>
  <r>
    <x v="311"/>
    <x v="168"/>
    <x v="0"/>
    <n v="40"/>
    <x v="11"/>
    <x v="2"/>
    <x v="2"/>
    <x v="0"/>
    <x v="3"/>
    <x v="292"/>
    <s v="Active"/>
    <x v="0"/>
    <n v="60100"/>
    <x v="14"/>
    <n v="85.5"/>
    <n v="2"/>
    <x v="12"/>
    <n v="3"/>
    <n v="21"/>
    <n v="15"/>
    <x v="4"/>
    <n v="5008"/>
    <n v="7.1"/>
    <s v="40-44"/>
    <x v="1"/>
  </r>
  <r>
    <x v="312"/>
    <x v="169"/>
    <x v="0"/>
    <n v="44"/>
    <x v="8"/>
    <x v="2"/>
    <x v="5"/>
    <x v="2"/>
    <x v="1"/>
    <x v="293"/>
    <s v="Resigned"/>
    <x v="1"/>
    <n v="20600"/>
    <x v="23"/>
    <n v="84.2"/>
    <n v="4"/>
    <x v="2"/>
    <n v="0"/>
    <n v="3"/>
    <n v="17"/>
    <x v="5"/>
    <n v="1717"/>
    <n v="2.4"/>
    <s v="40-44"/>
    <x v="1"/>
  </r>
  <r>
    <x v="313"/>
    <x v="170"/>
    <x v="1"/>
    <n v="38"/>
    <x v="0"/>
    <x v="1"/>
    <x v="3"/>
    <x v="0"/>
    <x v="5"/>
    <x v="294"/>
    <s v="Active"/>
    <x v="0"/>
    <n v="47500"/>
    <x v="16"/>
    <n v="87.9"/>
    <n v="1"/>
    <x v="8"/>
    <n v="4"/>
    <n v="26"/>
    <n v="10"/>
    <x v="0"/>
    <n v="3958"/>
    <n v="2"/>
    <s v="35-39"/>
    <x v="1"/>
  </r>
  <r>
    <x v="314"/>
    <x v="171"/>
    <x v="1"/>
    <n v="41"/>
    <x v="2"/>
    <x v="2"/>
    <x v="2"/>
    <x v="2"/>
    <x v="3"/>
    <x v="295"/>
    <s v="Resigned"/>
    <x v="1"/>
    <n v="70200"/>
    <x v="14"/>
    <n v="93.2"/>
    <n v="5"/>
    <x v="12"/>
    <n v="1"/>
    <n v="6"/>
    <n v="25"/>
    <x v="6"/>
    <n v="5850"/>
    <n v="2.7"/>
    <s v="40-44"/>
    <x v="3"/>
  </r>
  <r>
    <x v="315"/>
    <x v="90"/>
    <x v="1"/>
    <n v="44"/>
    <x v="13"/>
    <x v="5"/>
    <x v="3"/>
    <x v="0"/>
    <x v="3"/>
    <x v="296"/>
    <s v="Active"/>
    <x v="1"/>
    <n v="76500"/>
    <x v="8"/>
    <n v="92.3"/>
    <n v="7"/>
    <x v="5"/>
    <n v="4"/>
    <n v="6"/>
    <n v="26"/>
    <x v="5"/>
    <n v="6375"/>
    <n v="8.5"/>
    <s v="40-44"/>
    <x v="1"/>
  </r>
  <r>
    <x v="316"/>
    <x v="83"/>
    <x v="1"/>
    <n v="50"/>
    <x v="8"/>
    <x v="2"/>
    <x v="2"/>
    <x v="0"/>
    <x v="7"/>
    <x v="297"/>
    <s v="Active"/>
    <x v="0"/>
    <n v="62900"/>
    <x v="22"/>
    <n v="92"/>
    <n v="4"/>
    <x v="3"/>
    <n v="1"/>
    <n v="17"/>
    <n v="8"/>
    <x v="5"/>
    <n v="5242"/>
    <n v="0.4"/>
    <s v="45+"/>
    <x v="1"/>
  </r>
  <r>
    <x v="317"/>
    <x v="44"/>
    <x v="0"/>
    <n v="20"/>
    <x v="14"/>
    <x v="7"/>
    <x v="2"/>
    <x v="3"/>
    <x v="3"/>
    <x v="298"/>
    <s v="Active"/>
    <x v="1"/>
    <n v="50800"/>
    <x v="5"/>
    <n v="95"/>
    <n v="6"/>
    <x v="10"/>
    <n v="0"/>
    <n v="11"/>
    <n v="15"/>
    <x v="5"/>
    <n v="4233"/>
    <n v="5.4"/>
    <s v="20-24"/>
    <x v="1"/>
  </r>
  <r>
    <x v="318"/>
    <x v="17"/>
    <x v="0"/>
    <n v="40"/>
    <x v="3"/>
    <x v="6"/>
    <x v="2"/>
    <x v="3"/>
    <x v="7"/>
    <x v="299"/>
    <s v="Active"/>
    <x v="0"/>
    <n v="64800"/>
    <x v="11"/>
    <n v="90.7"/>
    <n v="4"/>
    <x v="7"/>
    <n v="0"/>
    <n v="15"/>
    <n v="29"/>
    <x v="0"/>
    <n v="5400"/>
    <n v="3.7"/>
    <s v="40-44"/>
    <x v="1"/>
  </r>
  <r>
    <x v="319"/>
    <x v="111"/>
    <x v="0"/>
    <n v="32"/>
    <x v="3"/>
    <x v="4"/>
    <x v="3"/>
    <x v="0"/>
    <x v="1"/>
    <x v="300"/>
    <s v="Active"/>
    <x v="1"/>
    <n v="47300"/>
    <x v="17"/>
    <n v="100"/>
    <n v="5"/>
    <x v="0"/>
    <n v="4"/>
    <n v="5"/>
    <n v="6"/>
    <x v="6"/>
    <n v="3942"/>
    <n v="1.3"/>
    <s v="30-34"/>
    <x v="1"/>
  </r>
  <r>
    <x v="320"/>
    <x v="73"/>
    <x v="0"/>
    <n v="39"/>
    <x v="6"/>
    <x v="0"/>
    <x v="3"/>
    <x v="0"/>
    <x v="0"/>
    <x v="301"/>
    <s v="Active"/>
    <x v="0"/>
    <n v="56700"/>
    <x v="16"/>
    <n v="92.9"/>
    <n v="8"/>
    <x v="0"/>
    <n v="0"/>
    <n v="4"/>
    <n v="15"/>
    <x v="3"/>
    <n v="4725"/>
    <n v="6.2"/>
    <s v="35-39"/>
    <x v="2"/>
  </r>
  <r>
    <x v="321"/>
    <x v="68"/>
    <x v="1"/>
    <n v="28"/>
    <x v="14"/>
    <x v="2"/>
    <x v="0"/>
    <x v="0"/>
    <x v="5"/>
    <x v="302"/>
    <s v="Active"/>
    <x v="0"/>
    <n v="87700"/>
    <x v="20"/>
    <n v="86.1"/>
    <n v="0"/>
    <x v="11"/>
    <n v="2"/>
    <n v="9"/>
    <n v="14"/>
    <x v="6"/>
    <n v="7308"/>
    <n v="5.8"/>
    <s v="25-29"/>
    <x v="1"/>
  </r>
  <r>
    <x v="322"/>
    <x v="90"/>
    <x v="1"/>
    <n v="46"/>
    <x v="2"/>
    <x v="2"/>
    <x v="2"/>
    <x v="0"/>
    <x v="6"/>
    <x v="303"/>
    <s v="Active"/>
    <x v="0"/>
    <n v="63500"/>
    <x v="7"/>
    <n v="84.3"/>
    <n v="8"/>
    <x v="2"/>
    <n v="4"/>
    <n v="16"/>
    <n v="24"/>
    <x v="0"/>
    <n v="5292"/>
    <n v="6.1"/>
    <s v="45+"/>
    <x v="1"/>
  </r>
  <r>
    <x v="323"/>
    <x v="172"/>
    <x v="0"/>
    <n v="48"/>
    <x v="11"/>
    <x v="3"/>
    <x v="3"/>
    <x v="0"/>
    <x v="6"/>
    <x v="304"/>
    <s v="Active"/>
    <x v="0"/>
    <n v="65400"/>
    <x v="6"/>
    <n v="92.7"/>
    <n v="2"/>
    <x v="13"/>
    <n v="3"/>
    <n v="29"/>
    <n v="3"/>
    <x v="6"/>
    <n v="5450"/>
    <n v="6.5"/>
    <s v="45+"/>
    <x v="1"/>
  </r>
  <r>
    <x v="324"/>
    <x v="64"/>
    <x v="1"/>
    <n v="30"/>
    <x v="6"/>
    <x v="4"/>
    <x v="1"/>
    <x v="0"/>
    <x v="2"/>
    <x v="305"/>
    <s v="Active"/>
    <x v="0"/>
    <n v="32400"/>
    <x v="28"/>
    <n v="89.9"/>
    <n v="2"/>
    <x v="3"/>
    <n v="3"/>
    <n v="2"/>
    <n v="27"/>
    <x v="3"/>
    <n v="2700"/>
    <n v="1.8"/>
    <s v="30-34"/>
    <x v="2"/>
  </r>
  <r>
    <x v="325"/>
    <x v="143"/>
    <x v="0"/>
    <n v="20"/>
    <x v="10"/>
    <x v="7"/>
    <x v="1"/>
    <x v="0"/>
    <x v="0"/>
    <x v="306"/>
    <s v="Active"/>
    <x v="2"/>
    <n v="22800"/>
    <x v="5"/>
    <n v="85.2"/>
    <n v="3"/>
    <x v="3"/>
    <n v="0"/>
    <n v="8"/>
    <n v="24"/>
    <x v="2"/>
    <n v="1900"/>
    <n v="8.5"/>
    <s v="20-24"/>
    <x v="1"/>
  </r>
  <r>
    <x v="326"/>
    <x v="145"/>
    <x v="0"/>
    <n v="32"/>
    <x v="14"/>
    <x v="6"/>
    <x v="1"/>
    <x v="0"/>
    <x v="4"/>
    <x v="307"/>
    <s v="Resigned"/>
    <x v="1"/>
    <n v="34400"/>
    <x v="1"/>
    <n v="90.2"/>
    <n v="7"/>
    <x v="9"/>
    <n v="0"/>
    <n v="28"/>
    <n v="21"/>
    <x v="0"/>
    <n v="2867"/>
    <n v="5.2"/>
    <s v="30-34"/>
    <x v="2"/>
  </r>
  <r>
    <x v="327"/>
    <x v="143"/>
    <x v="0"/>
    <n v="39"/>
    <x v="0"/>
    <x v="3"/>
    <x v="2"/>
    <x v="0"/>
    <x v="1"/>
    <x v="308"/>
    <s v="Active"/>
    <x v="1"/>
    <n v="89300"/>
    <x v="4"/>
    <n v="88.2"/>
    <n v="0"/>
    <x v="6"/>
    <n v="1"/>
    <n v="26"/>
    <n v="13"/>
    <x v="0"/>
    <n v="7442"/>
    <n v="6.4"/>
    <s v="35-39"/>
    <x v="1"/>
  </r>
  <r>
    <x v="328"/>
    <x v="160"/>
    <x v="1"/>
    <n v="20"/>
    <x v="5"/>
    <x v="6"/>
    <x v="1"/>
    <x v="0"/>
    <x v="2"/>
    <x v="309"/>
    <s v="Active"/>
    <x v="2"/>
    <n v="41100"/>
    <x v="5"/>
    <n v="88.8"/>
    <n v="3"/>
    <x v="13"/>
    <n v="4"/>
    <n v="24"/>
    <n v="22"/>
    <x v="0"/>
    <n v="3425"/>
    <n v="4.8"/>
    <s v="20-24"/>
    <x v="1"/>
  </r>
  <r>
    <x v="329"/>
    <x v="148"/>
    <x v="0"/>
    <n v="22"/>
    <x v="0"/>
    <x v="6"/>
    <x v="3"/>
    <x v="0"/>
    <x v="0"/>
    <x v="310"/>
    <s v="Active"/>
    <x v="0"/>
    <n v="56500"/>
    <x v="10"/>
    <n v="97.8"/>
    <n v="6"/>
    <x v="2"/>
    <n v="4"/>
    <n v="9"/>
    <n v="28"/>
    <x v="0"/>
    <n v="4708"/>
    <n v="2.6"/>
    <s v="20-24"/>
    <x v="1"/>
  </r>
  <r>
    <x v="330"/>
    <x v="173"/>
    <x v="1"/>
    <n v="39"/>
    <x v="0"/>
    <x v="6"/>
    <x v="2"/>
    <x v="0"/>
    <x v="1"/>
    <x v="311"/>
    <s v="Active"/>
    <x v="0"/>
    <n v="79200"/>
    <x v="16"/>
    <n v="94.6"/>
    <n v="2"/>
    <x v="7"/>
    <n v="2"/>
    <n v="24"/>
    <n v="8"/>
    <x v="3"/>
    <n v="6600"/>
    <n v="2"/>
    <s v="35-39"/>
    <x v="1"/>
  </r>
  <r>
    <x v="331"/>
    <x v="167"/>
    <x v="0"/>
    <n v="36"/>
    <x v="9"/>
    <x v="7"/>
    <x v="3"/>
    <x v="0"/>
    <x v="1"/>
    <x v="312"/>
    <s v="Active"/>
    <x v="0"/>
    <n v="41200"/>
    <x v="16"/>
    <n v="96.2"/>
    <n v="6"/>
    <x v="1"/>
    <n v="3"/>
    <n v="26"/>
    <n v="3"/>
    <x v="0"/>
    <n v="3433"/>
    <n v="6.2"/>
    <s v="35-39"/>
    <x v="2"/>
  </r>
  <r>
    <x v="332"/>
    <x v="55"/>
    <x v="0"/>
    <n v="24"/>
    <x v="11"/>
    <x v="3"/>
    <x v="2"/>
    <x v="0"/>
    <x v="7"/>
    <x v="313"/>
    <s v="Active"/>
    <x v="1"/>
    <n v="98200"/>
    <x v="9"/>
    <n v="99.6"/>
    <n v="4"/>
    <x v="3"/>
    <n v="3"/>
    <n v="9"/>
    <n v="22"/>
    <x v="6"/>
    <n v="8183"/>
    <n v="0.1"/>
    <s v="20-24"/>
    <x v="1"/>
  </r>
  <r>
    <x v="333"/>
    <x v="74"/>
    <x v="0"/>
    <n v="25"/>
    <x v="10"/>
    <x v="5"/>
    <x v="2"/>
    <x v="0"/>
    <x v="3"/>
    <x v="107"/>
    <s v="Active"/>
    <x v="2"/>
    <n v="108200"/>
    <x v="2"/>
    <n v="91.6"/>
    <n v="8"/>
    <x v="12"/>
    <n v="2"/>
    <n v="20"/>
    <n v="29"/>
    <x v="0"/>
    <n v="9017"/>
    <n v="4.9000000000000004"/>
    <s v="25-29"/>
    <x v="1"/>
  </r>
  <r>
    <x v="334"/>
    <x v="15"/>
    <x v="1"/>
    <n v="36"/>
    <x v="1"/>
    <x v="5"/>
    <x v="1"/>
    <x v="0"/>
    <x v="7"/>
    <x v="314"/>
    <s v="Active"/>
    <x v="1"/>
    <n v="39500"/>
    <x v="24"/>
    <n v="92.3"/>
    <n v="7"/>
    <x v="10"/>
    <n v="1"/>
    <n v="5"/>
    <n v="19"/>
    <x v="0"/>
    <n v="3292"/>
    <n v="4"/>
    <s v="35-39"/>
    <x v="2"/>
  </r>
  <r>
    <x v="335"/>
    <x v="174"/>
    <x v="0"/>
    <n v="29"/>
    <x v="0"/>
    <x v="3"/>
    <x v="2"/>
    <x v="0"/>
    <x v="7"/>
    <x v="315"/>
    <s v="Active"/>
    <x v="1"/>
    <n v="89900"/>
    <x v="9"/>
    <n v="92.6"/>
    <n v="2"/>
    <x v="14"/>
    <n v="2"/>
    <n v="24"/>
    <n v="11"/>
    <x v="6"/>
    <n v="7492"/>
    <n v="0.5"/>
    <s v="25-29"/>
    <x v="1"/>
  </r>
  <r>
    <x v="336"/>
    <x v="175"/>
    <x v="1"/>
    <n v="30"/>
    <x v="2"/>
    <x v="6"/>
    <x v="2"/>
    <x v="0"/>
    <x v="0"/>
    <x v="83"/>
    <s v="Active"/>
    <x v="1"/>
    <n v="79500"/>
    <x v="28"/>
    <n v="96.5"/>
    <n v="3"/>
    <x v="7"/>
    <n v="1"/>
    <n v="3"/>
    <n v="7"/>
    <x v="3"/>
    <n v="6625"/>
    <n v="4.2"/>
    <s v="30-34"/>
    <x v="2"/>
  </r>
  <r>
    <x v="337"/>
    <x v="176"/>
    <x v="0"/>
    <n v="32"/>
    <x v="11"/>
    <x v="2"/>
    <x v="3"/>
    <x v="0"/>
    <x v="5"/>
    <x v="316"/>
    <s v="Active"/>
    <x v="1"/>
    <n v="49000"/>
    <x v="27"/>
    <n v="96.3"/>
    <n v="6"/>
    <x v="9"/>
    <n v="1"/>
    <n v="10"/>
    <n v="27"/>
    <x v="0"/>
    <n v="4083"/>
    <n v="5.5"/>
    <s v="30-34"/>
    <x v="1"/>
  </r>
  <r>
    <x v="338"/>
    <x v="63"/>
    <x v="1"/>
    <n v="48"/>
    <x v="9"/>
    <x v="1"/>
    <x v="1"/>
    <x v="0"/>
    <x v="1"/>
    <x v="317"/>
    <s v="Active"/>
    <x v="0"/>
    <n v="30500"/>
    <x v="22"/>
    <n v="88.1"/>
    <n v="1"/>
    <x v="9"/>
    <n v="1"/>
    <n v="19"/>
    <n v="25"/>
    <x v="4"/>
    <n v="2542"/>
    <n v="1.6"/>
    <s v="45+"/>
    <x v="3"/>
  </r>
  <r>
    <x v="339"/>
    <x v="146"/>
    <x v="0"/>
    <n v="29"/>
    <x v="2"/>
    <x v="5"/>
    <x v="3"/>
    <x v="0"/>
    <x v="6"/>
    <x v="318"/>
    <s v="Active"/>
    <x v="1"/>
    <n v="62600"/>
    <x v="0"/>
    <n v="85.3"/>
    <n v="5"/>
    <x v="2"/>
    <n v="0"/>
    <n v="27"/>
    <n v="8"/>
    <x v="1"/>
    <n v="5217"/>
    <n v="7.4"/>
    <s v="25-29"/>
    <x v="2"/>
  </r>
  <r>
    <x v="340"/>
    <x v="177"/>
    <x v="1"/>
    <n v="33"/>
    <x v="7"/>
    <x v="7"/>
    <x v="0"/>
    <x v="3"/>
    <x v="3"/>
    <x v="319"/>
    <s v="Active"/>
    <x v="0"/>
    <n v="63600"/>
    <x v="17"/>
    <n v="85.6"/>
    <n v="8"/>
    <x v="14"/>
    <n v="0"/>
    <n v="8"/>
    <n v="13"/>
    <x v="3"/>
    <n v="5300"/>
    <n v="3"/>
    <s v="30-34"/>
    <x v="2"/>
  </r>
  <r>
    <x v="341"/>
    <x v="168"/>
    <x v="0"/>
    <n v="47"/>
    <x v="9"/>
    <x v="7"/>
    <x v="2"/>
    <x v="0"/>
    <x v="1"/>
    <x v="320"/>
    <s v="Active"/>
    <x v="1"/>
    <n v="48900"/>
    <x v="3"/>
    <n v="91.3"/>
    <n v="8"/>
    <x v="7"/>
    <n v="1"/>
    <n v="11"/>
    <n v="22"/>
    <x v="1"/>
    <n v="4075"/>
    <n v="5.2"/>
    <s v="45+"/>
    <x v="1"/>
  </r>
  <r>
    <x v="342"/>
    <x v="130"/>
    <x v="0"/>
    <n v="32"/>
    <x v="5"/>
    <x v="4"/>
    <x v="1"/>
    <x v="2"/>
    <x v="2"/>
    <x v="321"/>
    <s v="Resigned"/>
    <x v="1"/>
    <n v="30300"/>
    <x v="27"/>
    <n v="84.8"/>
    <n v="5"/>
    <x v="13"/>
    <n v="2"/>
    <n v="22"/>
    <n v="17"/>
    <x v="5"/>
    <n v="2525"/>
    <n v="4.4000000000000004"/>
    <s v="30-34"/>
    <x v="1"/>
  </r>
  <r>
    <x v="343"/>
    <x v="39"/>
    <x v="0"/>
    <n v="50"/>
    <x v="3"/>
    <x v="4"/>
    <x v="2"/>
    <x v="0"/>
    <x v="0"/>
    <x v="322"/>
    <s v="Active"/>
    <x v="1"/>
    <n v="66500"/>
    <x v="26"/>
    <n v="92.8"/>
    <n v="5"/>
    <x v="0"/>
    <n v="2"/>
    <n v="21"/>
    <n v="20"/>
    <x v="3"/>
    <n v="5542"/>
    <n v="6.5"/>
    <s v="45+"/>
    <x v="1"/>
  </r>
  <r>
    <x v="344"/>
    <x v="178"/>
    <x v="0"/>
    <n v="47"/>
    <x v="7"/>
    <x v="7"/>
    <x v="3"/>
    <x v="0"/>
    <x v="7"/>
    <x v="323"/>
    <s v="Active"/>
    <x v="1"/>
    <n v="40800"/>
    <x v="3"/>
    <n v="80.400000000000006"/>
    <n v="5"/>
    <x v="9"/>
    <n v="2"/>
    <n v="9"/>
    <n v="21"/>
    <x v="4"/>
    <n v="3400"/>
    <n v="2.2999999999999998"/>
    <s v="45+"/>
    <x v="1"/>
  </r>
  <r>
    <x v="345"/>
    <x v="73"/>
    <x v="0"/>
    <n v="23"/>
    <x v="12"/>
    <x v="5"/>
    <x v="2"/>
    <x v="0"/>
    <x v="3"/>
    <x v="324"/>
    <s v="Active"/>
    <x v="0"/>
    <n v="103200"/>
    <x v="20"/>
    <n v="100"/>
    <n v="5"/>
    <x v="11"/>
    <n v="0"/>
    <n v="5"/>
    <n v="19"/>
    <x v="0"/>
    <n v="8600"/>
    <n v="3.8"/>
    <s v="20-24"/>
    <x v="1"/>
  </r>
  <r>
    <x v="346"/>
    <x v="179"/>
    <x v="1"/>
    <n v="39"/>
    <x v="3"/>
    <x v="3"/>
    <x v="2"/>
    <x v="0"/>
    <x v="5"/>
    <x v="225"/>
    <s v="Active"/>
    <x v="1"/>
    <n v="101200"/>
    <x v="12"/>
    <n v="84.1"/>
    <n v="2"/>
    <x v="5"/>
    <n v="1"/>
    <n v="12"/>
    <n v="23"/>
    <x v="5"/>
    <n v="8433"/>
    <n v="3.4"/>
    <s v="35-39"/>
    <x v="1"/>
  </r>
  <r>
    <x v="347"/>
    <x v="53"/>
    <x v="0"/>
    <n v="49"/>
    <x v="14"/>
    <x v="0"/>
    <x v="3"/>
    <x v="2"/>
    <x v="6"/>
    <x v="325"/>
    <s v="Active"/>
    <x v="1"/>
    <n v="59400"/>
    <x v="29"/>
    <n v="87.7"/>
    <n v="3"/>
    <x v="2"/>
    <n v="3"/>
    <n v="30"/>
    <n v="15"/>
    <x v="1"/>
    <n v="4950"/>
    <n v="5.7"/>
    <s v="45+"/>
    <x v="2"/>
  </r>
  <r>
    <x v="348"/>
    <x v="50"/>
    <x v="1"/>
    <n v="36"/>
    <x v="9"/>
    <x v="2"/>
    <x v="0"/>
    <x v="0"/>
    <x v="4"/>
    <x v="326"/>
    <s v="Active"/>
    <x v="0"/>
    <n v="85800"/>
    <x v="16"/>
    <n v="88.1"/>
    <n v="5"/>
    <x v="11"/>
    <n v="2"/>
    <n v="4"/>
    <n v="16"/>
    <x v="6"/>
    <n v="7150"/>
    <n v="7.4"/>
    <s v="35-39"/>
    <x v="3"/>
  </r>
  <r>
    <x v="349"/>
    <x v="64"/>
    <x v="0"/>
    <n v="37"/>
    <x v="4"/>
    <x v="3"/>
    <x v="2"/>
    <x v="0"/>
    <x v="3"/>
    <x v="327"/>
    <s v="Active"/>
    <x v="1"/>
    <n v="86700"/>
    <x v="4"/>
    <n v="98.3"/>
    <n v="0"/>
    <x v="13"/>
    <n v="0"/>
    <n v="27"/>
    <n v="9"/>
    <x v="2"/>
    <n v="7225"/>
    <n v="3.5"/>
    <s v="35-39"/>
    <x v="1"/>
  </r>
  <r>
    <x v="350"/>
    <x v="108"/>
    <x v="0"/>
    <n v="30"/>
    <x v="5"/>
    <x v="2"/>
    <x v="2"/>
    <x v="0"/>
    <x v="3"/>
    <x v="328"/>
    <s v="Active"/>
    <x v="2"/>
    <n v="59200"/>
    <x v="18"/>
    <n v="91"/>
    <n v="0"/>
    <x v="5"/>
    <n v="4"/>
    <n v="26"/>
    <n v="25"/>
    <x v="3"/>
    <n v="4933"/>
    <n v="2.8"/>
    <s v="30-34"/>
    <x v="2"/>
  </r>
  <r>
    <x v="351"/>
    <x v="132"/>
    <x v="1"/>
    <n v="29"/>
    <x v="4"/>
    <x v="1"/>
    <x v="1"/>
    <x v="0"/>
    <x v="2"/>
    <x v="329"/>
    <s v="Active"/>
    <x v="0"/>
    <n v="38900"/>
    <x v="0"/>
    <n v="85.7"/>
    <n v="6"/>
    <x v="4"/>
    <n v="1"/>
    <n v="3"/>
    <n v="16"/>
    <x v="3"/>
    <n v="3242"/>
    <n v="7"/>
    <s v="25-29"/>
    <x v="1"/>
  </r>
  <r>
    <x v="352"/>
    <x v="18"/>
    <x v="1"/>
    <n v="40"/>
    <x v="9"/>
    <x v="2"/>
    <x v="0"/>
    <x v="1"/>
    <x v="7"/>
    <x v="330"/>
    <s v="Active"/>
    <x v="1"/>
    <n v="75800"/>
    <x v="16"/>
    <n v="90.6"/>
    <n v="0"/>
    <x v="1"/>
    <n v="2"/>
    <n v="2"/>
    <n v="26"/>
    <x v="3"/>
    <n v="6317"/>
    <n v="5.2"/>
    <s v="40-44"/>
    <x v="1"/>
  </r>
  <r>
    <x v="353"/>
    <x v="95"/>
    <x v="0"/>
    <n v="37"/>
    <x v="9"/>
    <x v="4"/>
    <x v="4"/>
    <x v="0"/>
    <x v="5"/>
    <x v="331"/>
    <s v="Active"/>
    <x v="1"/>
    <n v="115800"/>
    <x v="14"/>
    <n v="91.2"/>
    <n v="4"/>
    <x v="0"/>
    <n v="0"/>
    <n v="29"/>
    <n v="22"/>
    <x v="3"/>
    <n v="9650"/>
    <n v="3.1"/>
    <s v="35-39"/>
    <x v="2"/>
  </r>
  <r>
    <x v="354"/>
    <x v="46"/>
    <x v="1"/>
    <n v="38"/>
    <x v="9"/>
    <x v="0"/>
    <x v="1"/>
    <x v="2"/>
    <x v="3"/>
    <x v="332"/>
    <s v="Active"/>
    <x v="1"/>
    <n v="35500"/>
    <x v="12"/>
    <n v="92.9"/>
    <n v="7"/>
    <x v="7"/>
    <n v="4"/>
    <n v="22"/>
    <n v="13"/>
    <x v="4"/>
    <n v="2958"/>
    <n v="4.9000000000000004"/>
    <s v="35-39"/>
    <x v="3"/>
  </r>
  <r>
    <x v="355"/>
    <x v="92"/>
    <x v="1"/>
    <n v="28"/>
    <x v="10"/>
    <x v="3"/>
    <x v="3"/>
    <x v="1"/>
    <x v="1"/>
    <x v="333"/>
    <s v="Active"/>
    <x v="0"/>
    <n v="72100"/>
    <x v="9"/>
    <n v="85.5"/>
    <n v="5"/>
    <x v="2"/>
    <n v="1"/>
    <n v="4"/>
    <n v="27"/>
    <x v="1"/>
    <n v="6008"/>
    <n v="1.4"/>
    <s v="25-29"/>
    <x v="2"/>
  </r>
  <r>
    <x v="356"/>
    <x v="108"/>
    <x v="0"/>
    <n v="24"/>
    <x v="3"/>
    <x v="7"/>
    <x v="3"/>
    <x v="0"/>
    <x v="5"/>
    <x v="334"/>
    <s v="Active"/>
    <x v="0"/>
    <n v="35600"/>
    <x v="2"/>
    <n v="95.4"/>
    <n v="2"/>
    <x v="10"/>
    <n v="3"/>
    <n v="17"/>
    <n v="28"/>
    <x v="5"/>
    <n v="2967"/>
    <n v="1.2"/>
    <s v="20-24"/>
    <x v="1"/>
  </r>
  <r>
    <x v="357"/>
    <x v="180"/>
    <x v="1"/>
    <n v="20"/>
    <x v="12"/>
    <x v="2"/>
    <x v="2"/>
    <x v="0"/>
    <x v="4"/>
    <x v="335"/>
    <s v="Active"/>
    <x v="0"/>
    <n v="76300"/>
    <x v="5"/>
    <n v="91.7"/>
    <n v="1"/>
    <x v="5"/>
    <n v="1"/>
    <n v="2"/>
    <n v="23"/>
    <x v="4"/>
    <n v="6358"/>
    <n v="8.3000000000000007"/>
    <s v="20-24"/>
    <x v="0"/>
  </r>
  <r>
    <x v="358"/>
    <x v="27"/>
    <x v="0"/>
    <n v="24"/>
    <x v="5"/>
    <x v="4"/>
    <x v="2"/>
    <x v="0"/>
    <x v="4"/>
    <x v="336"/>
    <s v="Active"/>
    <x v="0"/>
    <n v="61500"/>
    <x v="20"/>
    <n v="98.3"/>
    <n v="1"/>
    <x v="14"/>
    <n v="1"/>
    <n v="4"/>
    <n v="19"/>
    <x v="2"/>
    <n v="5125"/>
    <n v="7.2"/>
    <s v="20-24"/>
    <x v="3"/>
  </r>
  <r>
    <x v="359"/>
    <x v="181"/>
    <x v="0"/>
    <n v="22"/>
    <x v="8"/>
    <x v="5"/>
    <x v="1"/>
    <x v="0"/>
    <x v="3"/>
    <x v="30"/>
    <s v="Active"/>
    <x v="0"/>
    <n v="43200"/>
    <x v="5"/>
    <n v="90.1"/>
    <n v="3"/>
    <x v="15"/>
    <n v="2"/>
    <n v="8"/>
    <n v="11"/>
    <x v="0"/>
    <n v="3600"/>
    <n v="5"/>
    <s v="20-24"/>
    <x v="2"/>
  </r>
  <r>
    <x v="360"/>
    <x v="138"/>
    <x v="1"/>
    <n v="20"/>
    <x v="12"/>
    <x v="5"/>
    <x v="0"/>
    <x v="3"/>
    <x v="4"/>
    <x v="254"/>
    <s v="Active"/>
    <x v="2"/>
    <n v="125800"/>
    <x v="5"/>
    <n v="90.6"/>
    <n v="8"/>
    <x v="12"/>
    <n v="1"/>
    <n v="27"/>
    <n v="21"/>
    <x v="4"/>
    <n v="10483"/>
    <n v="3.6"/>
    <s v="20-24"/>
    <x v="3"/>
  </r>
  <r>
    <x v="361"/>
    <x v="182"/>
    <x v="0"/>
    <n v="38"/>
    <x v="6"/>
    <x v="6"/>
    <x v="1"/>
    <x v="0"/>
    <x v="3"/>
    <x v="337"/>
    <s v="Active"/>
    <x v="1"/>
    <n v="41300"/>
    <x v="12"/>
    <n v="90.2"/>
    <n v="8"/>
    <x v="13"/>
    <n v="4"/>
    <n v="5"/>
    <n v="15"/>
    <x v="3"/>
    <n v="3442"/>
    <n v="2.9"/>
    <s v="35-39"/>
    <x v="2"/>
  </r>
  <r>
    <x v="362"/>
    <x v="104"/>
    <x v="0"/>
    <n v="46"/>
    <x v="0"/>
    <x v="7"/>
    <x v="2"/>
    <x v="0"/>
    <x v="3"/>
    <x v="338"/>
    <s v="Resigned"/>
    <x v="0"/>
    <n v="53300"/>
    <x v="19"/>
    <n v="97.3"/>
    <n v="0"/>
    <x v="1"/>
    <n v="4"/>
    <n v="14"/>
    <n v="20"/>
    <x v="2"/>
    <n v="4442"/>
    <n v="2.4"/>
    <s v="45+"/>
    <x v="3"/>
  </r>
  <r>
    <x v="363"/>
    <x v="30"/>
    <x v="1"/>
    <n v="25"/>
    <x v="7"/>
    <x v="6"/>
    <x v="3"/>
    <x v="2"/>
    <x v="2"/>
    <x v="339"/>
    <s v="Active"/>
    <x v="1"/>
    <n v="57900"/>
    <x v="9"/>
    <n v="94.4"/>
    <n v="4"/>
    <x v="4"/>
    <n v="1"/>
    <n v="26"/>
    <n v="26"/>
    <x v="1"/>
    <n v="4825"/>
    <n v="4.8"/>
    <s v="25-29"/>
    <x v="1"/>
  </r>
  <r>
    <x v="364"/>
    <x v="183"/>
    <x v="0"/>
    <n v="29"/>
    <x v="9"/>
    <x v="7"/>
    <x v="3"/>
    <x v="0"/>
    <x v="7"/>
    <x v="340"/>
    <s v="Active"/>
    <x v="1"/>
    <n v="39900"/>
    <x v="9"/>
    <n v="87.3"/>
    <n v="8"/>
    <x v="5"/>
    <n v="1"/>
    <n v="17"/>
    <n v="17"/>
    <x v="2"/>
    <n v="3325"/>
    <n v="2.6"/>
    <s v="25-29"/>
    <x v="3"/>
  </r>
  <r>
    <x v="365"/>
    <x v="160"/>
    <x v="0"/>
    <n v="24"/>
    <x v="8"/>
    <x v="5"/>
    <x v="1"/>
    <x v="0"/>
    <x v="1"/>
    <x v="341"/>
    <s v="Active"/>
    <x v="1"/>
    <n v="50600"/>
    <x v="10"/>
    <n v="100"/>
    <n v="3"/>
    <x v="2"/>
    <n v="4"/>
    <n v="7"/>
    <n v="23"/>
    <x v="2"/>
    <n v="4217"/>
    <n v="3.8"/>
    <s v="20-24"/>
    <x v="1"/>
  </r>
  <r>
    <x v="366"/>
    <x v="168"/>
    <x v="0"/>
    <n v="31"/>
    <x v="14"/>
    <x v="4"/>
    <x v="1"/>
    <x v="0"/>
    <x v="4"/>
    <x v="27"/>
    <s v="Active"/>
    <x v="1"/>
    <n v="31300"/>
    <x v="0"/>
    <n v="87.8"/>
    <n v="6"/>
    <x v="14"/>
    <n v="4"/>
    <n v="11"/>
    <n v="23"/>
    <x v="6"/>
    <n v="2608"/>
    <n v="6.1"/>
    <s v="30-34"/>
    <x v="2"/>
  </r>
  <r>
    <x v="367"/>
    <x v="170"/>
    <x v="0"/>
    <n v="31"/>
    <x v="4"/>
    <x v="0"/>
    <x v="2"/>
    <x v="2"/>
    <x v="5"/>
    <x v="342"/>
    <s v="Active"/>
    <x v="0"/>
    <n v="73700"/>
    <x v="27"/>
    <n v="88.4"/>
    <n v="5"/>
    <x v="8"/>
    <n v="2"/>
    <n v="29"/>
    <n v="21"/>
    <x v="4"/>
    <n v="6142"/>
    <n v="2.1"/>
    <s v="30-34"/>
    <x v="2"/>
  </r>
  <r>
    <x v="368"/>
    <x v="152"/>
    <x v="1"/>
    <n v="36"/>
    <x v="10"/>
    <x v="1"/>
    <x v="2"/>
    <x v="0"/>
    <x v="0"/>
    <x v="343"/>
    <s v="Active"/>
    <x v="1"/>
    <n v="63600"/>
    <x v="16"/>
    <n v="95.8"/>
    <n v="3"/>
    <x v="14"/>
    <n v="3"/>
    <n v="21"/>
    <n v="7"/>
    <x v="2"/>
    <n v="5300"/>
    <n v="3.4"/>
    <s v="35-39"/>
    <x v="1"/>
  </r>
  <r>
    <x v="369"/>
    <x v="37"/>
    <x v="1"/>
    <n v="46"/>
    <x v="14"/>
    <x v="5"/>
    <x v="1"/>
    <x v="0"/>
    <x v="3"/>
    <x v="344"/>
    <s v="Resigned"/>
    <x v="0"/>
    <n v="53100"/>
    <x v="21"/>
    <n v="90.2"/>
    <n v="6"/>
    <x v="11"/>
    <n v="4"/>
    <n v="5"/>
    <n v="14"/>
    <x v="1"/>
    <n v="4425"/>
    <n v="3.2"/>
    <s v="45+"/>
    <x v="3"/>
  </r>
  <r>
    <x v="370"/>
    <x v="21"/>
    <x v="0"/>
    <n v="21"/>
    <x v="4"/>
    <x v="3"/>
    <x v="1"/>
    <x v="0"/>
    <x v="7"/>
    <x v="345"/>
    <s v="Active"/>
    <x v="1"/>
    <n v="50600"/>
    <x v="30"/>
    <n v="85.6"/>
    <n v="6"/>
    <x v="15"/>
    <n v="3"/>
    <n v="28"/>
    <n v="12"/>
    <x v="5"/>
    <n v="4217"/>
    <n v="4.2"/>
    <s v="20-24"/>
    <x v="3"/>
  </r>
  <r>
    <x v="371"/>
    <x v="42"/>
    <x v="0"/>
    <n v="40"/>
    <x v="7"/>
    <x v="0"/>
    <x v="1"/>
    <x v="0"/>
    <x v="2"/>
    <x v="209"/>
    <s v="Active"/>
    <x v="0"/>
    <n v="39900"/>
    <x v="16"/>
    <n v="97.2"/>
    <n v="1"/>
    <x v="12"/>
    <n v="3"/>
    <n v="29"/>
    <n v="2"/>
    <x v="0"/>
    <n v="3325"/>
    <n v="7.5"/>
    <s v="40-44"/>
    <x v="1"/>
  </r>
  <r>
    <x v="372"/>
    <x v="184"/>
    <x v="1"/>
    <n v="44"/>
    <x v="5"/>
    <x v="3"/>
    <x v="2"/>
    <x v="0"/>
    <x v="1"/>
    <x v="346"/>
    <s v="Active"/>
    <x v="1"/>
    <n v="85200"/>
    <x v="11"/>
    <n v="100"/>
    <n v="6"/>
    <x v="5"/>
    <n v="4"/>
    <n v="7"/>
    <n v="10"/>
    <x v="1"/>
    <n v="7100"/>
    <n v="4.7"/>
    <s v="40-44"/>
    <x v="3"/>
  </r>
  <r>
    <x v="373"/>
    <x v="30"/>
    <x v="0"/>
    <n v="46"/>
    <x v="8"/>
    <x v="1"/>
    <x v="2"/>
    <x v="0"/>
    <x v="7"/>
    <x v="297"/>
    <s v="Active"/>
    <x v="0"/>
    <n v="64800"/>
    <x v="19"/>
    <n v="85.9"/>
    <n v="8"/>
    <x v="12"/>
    <n v="2"/>
    <n v="30"/>
    <n v="20"/>
    <x v="2"/>
    <n v="5400"/>
    <n v="0.4"/>
    <s v="45+"/>
    <x v="1"/>
  </r>
  <r>
    <x v="374"/>
    <x v="100"/>
    <x v="0"/>
    <n v="33"/>
    <x v="5"/>
    <x v="3"/>
    <x v="1"/>
    <x v="0"/>
    <x v="3"/>
    <x v="347"/>
    <s v="Active"/>
    <x v="2"/>
    <n v="51000"/>
    <x v="13"/>
    <n v="97.1"/>
    <n v="5"/>
    <x v="4"/>
    <n v="1"/>
    <n v="22"/>
    <n v="6"/>
    <x v="5"/>
    <n v="4250"/>
    <n v="4"/>
    <s v="30-34"/>
    <x v="1"/>
  </r>
  <r>
    <x v="375"/>
    <x v="146"/>
    <x v="1"/>
    <n v="31"/>
    <x v="8"/>
    <x v="6"/>
    <x v="2"/>
    <x v="2"/>
    <x v="5"/>
    <x v="348"/>
    <s v="Active"/>
    <x v="0"/>
    <n v="63200"/>
    <x v="24"/>
    <n v="88.5"/>
    <n v="5"/>
    <x v="7"/>
    <n v="0"/>
    <n v="14"/>
    <n v="8"/>
    <x v="0"/>
    <n v="5267"/>
    <n v="5.3"/>
    <s v="30-34"/>
    <x v="1"/>
  </r>
  <r>
    <x v="376"/>
    <x v="141"/>
    <x v="0"/>
    <n v="47"/>
    <x v="14"/>
    <x v="3"/>
    <x v="1"/>
    <x v="0"/>
    <x v="7"/>
    <x v="349"/>
    <s v="Active"/>
    <x v="0"/>
    <n v="49000"/>
    <x v="3"/>
    <n v="80.599999999999994"/>
    <n v="5"/>
    <x v="14"/>
    <n v="1"/>
    <n v="15"/>
    <n v="3"/>
    <x v="4"/>
    <n v="4083"/>
    <n v="4.0999999999999996"/>
    <s v="45+"/>
    <x v="1"/>
  </r>
  <r>
    <x v="377"/>
    <x v="17"/>
    <x v="1"/>
    <n v="32"/>
    <x v="11"/>
    <x v="5"/>
    <x v="0"/>
    <x v="0"/>
    <x v="2"/>
    <x v="350"/>
    <s v="Active"/>
    <x v="2"/>
    <n v="116300"/>
    <x v="28"/>
    <n v="94.3"/>
    <n v="1"/>
    <x v="9"/>
    <n v="0"/>
    <n v="28"/>
    <n v="21"/>
    <x v="5"/>
    <n v="9692"/>
    <n v="1.2"/>
    <s v="30-34"/>
    <x v="1"/>
  </r>
  <r>
    <x v="378"/>
    <x v="185"/>
    <x v="0"/>
    <n v="24"/>
    <x v="12"/>
    <x v="7"/>
    <x v="0"/>
    <x v="1"/>
    <x v="0"/>
    <x v="351"/>
    <s v="On Leave"/>
    <x v="1"/>
    <n v="65800"/>
    <x v="9"/>
    <n v="81.599999999999994"/>
    <n v="5"/>
    <x v="12"/>
    <n v="4"/>
    <n v="30"/>
    <n v="16"/>
    <x v="0"/>
    <n v="5483"/>
    <n v="5.6"/>
    <s v="20-24"/>
    <x v="1"/>
  </r>
  <r>
    <x v="379"/>
    <x v="24"/>
    <x v="0"/>
    <n v="24"/>
    <x v="7"/>
    <x v="3"/>
    <x v="2"/>
    <x v="0"/>
    <x v="2"/>
    <x v="352"/>
    <s v="Active"/>
    <x v="1"/>
    <n v="101100"/>
    <x v="30"/>
    <n v="87.3"/>
    <n v="5"/>
    <x v="11"/>
    <n v="1"/>
    <n v="4"/>
    <n v="30"/>
    <x v="4"/>
    <n v="8425"/>
    <n v="5.2"/>
    <s v="20-24"/>
    <x v="1"/>
  </r>
  <r>
    <x v="380"/>
    <x v="92"/>
    <x v="0"/>
    <n v="36"/>
    <x v="3"/>
    <x v="5"/>
    <x v="0"/>
    <x v="2"/>
    <x v="4"/>
    <x v="353"/>
    <s v="Active"/>
    <x v="0"/>
    <n v="105800"/>
    <x v="17"/>
    <n v="89.6"/>
    <n v="8"/>
    <x v="14"/>
    <n v="1"/>
    <n v="10"/>
    <n v="7"/>
    <x v="0"/>
    <n v="8817"/>
    <n v="6.9"/>
    <s v="35-39"/>
    <x v="1"/>
  </r>
  <r>
    <x v="381"/>
    <x v="108"/>
    <x v="0"/>
    <n v="24"/>
    <x v="5"/>
    <x v="5"/>
    <x v="0"/>
    <x v="0"/>
    <x v="4"/>
    <x v="218"/>
    <s v="Resigned"/>
    <x v="0"/>
    <n v="116300"/>
    <x v="9"/>
    <n v="90.8"/>
    <n v="1"/>
    <x v="2"/>
    <n v="0"/>
    <n v="29"/>
    <n v="2"/>
    <x v="1"/>
    <n v="9692"/>
    <n v="3.3"/>
    <s v="20-24"/>
    <x v="1"/>
  </r>
  <r>
    <x v="382"/>
    <x v="145"/>
    <x v="1"/>
    <n v="43"/>
    <x v="11"/>
    <x v="1"/>
    <x v="0"/>
    <x v="0"/>
    <x v="0"/>
    <x v="354"/>
    <s v="Active"/>
    <x v="0"/>
    <n v="103400"/>
    <x v="23"/>
    <n v="96.5"/>
    <n v="8"/>
    <x v="14"/>
    <n v="2"/>
    <n v="24"/>
    <n v="23"/>
    <x v="4"/>
    <n v="8617"/>
    <n v="8.5"/>
    <s v="40-44"/>
    <x v="1"/>
  </r>
  <r>
    <x v="383"/>
    <x v="142"/>
    <x v="1"/>
    <n v="44"/>
    <x v="6"/>
    <x v="3"/>
    <x v="2"/>
    <x v="0"/>
    <x v="3"/>
    <x v="355"/>
    <s v="Active"/>
    <x v="1"/>
    <n v="97200"/>
    <x v="11"/>
    <n v="87.9"/>
    <n v="4"/>
    <x v="1"/>
    <n v="4"/>
    <n v="16"/>
    <n v="6"/>
    <x v="3"/>
    <n v="8100"/>
    <n v="1.1000000000000001"/>
    <s v="40-44"/>
    <x v="1"/>
  </r>
  <r>
    <x v="384"/>
    <x v="186"/>
    <x v="0"/>
    <n v="45"/>
    <x v="0"/>
    <x v="6"/>
    <x v="3"/>
    <x v="0"/>
    <x v="5"/>
    <x v="203"/>
    <s v="Active"/>
    <x v="0"/>
    <n v="55000"/>
    <x v="21"/>
    <n v="98"/>
    <n v="8"/>
    <x v="3"/>
    <n v="4"/>
    <n v="12"/>
    <n v="3"/>
    <x v="1"/>
    <n v="4583"/>
    <n v="7"/>
    <s v="45+"/>
    <x v="1"/>
  </r>
  <r>
    <x v="385"/>
    <x v="97"/>
    <x v="0"/>
    <n v="38"/>
    <x v="9"/>
    <x v="6"/>
    <x v="1"/>
    <x v="0"/>
    <x v="1"/>
    <x v="356"/>
    <s v="Active"/>
    <x v="0"/>
    <n v="38500"/>
    <x v="14"/>
    <n v="90.5"/>
    <n v="1"/>
    <x v="11"/>
    <n v="4"/>
    <n v="19"/>
    <n v="23"/>
    <x v="3"/>
    <n v="3208"/>
    <n v="5.7"/>
    <s v="35-39"/>
    <x v="1"/>
  </r>
  <r>
    <x v="386"/>
    <x v="187"/>
    <x v="0"/>
    <n v="23"/>
    <x v="14"/>
    <x v="5"/>
    <x v="3"/>
    <x v="0"/>
    <x v="4"/>
    <x v="357"/>
    <s v="Active"/>
    <x v="0"/>
    <n v="56500"/>
    <x v="30"/>
    <n v="85.6"/>
    <n v="4"/>
    <x v="3"/>
    <n v="1"/>
    <n v="30"/>
    <n v="22"/>
    <x v="6"/>
    <n v="4708"/>
    <n v="5.5"/>
    <s v="20-24"/>
    <x v="2"/>
  </r>
  <r>
    <x v="387"/>
    <x v="188"/>
    <x v="1"/>
    <n v="26"/>
    <x v="14"/>
    <x v="5"/>
    <x v="2"/>
    <x v="0"/>
    <x v="2"/>
    <x v="358"/>
    <s v="Active"/>
    <x v="1"/>
    <n v="86400"/>
    <x v="15"/>
    <n v="94"/>
    <n v="1"/>
    <x v="9"/>
    <n v="3"/>
    <n v="25"/>
    <n v="30"/>
    <x v="0"/>
    <n v="7200"/>
    <n v="5.4"/>
    <s v="25-29"/>
    <x v="1"/>
  </r>
  <r>
    <x v="388"/>
    <x v="115"/>
    <x v="1"/>
    <n v="42"/>
    <x v="12"/>
    <x v="7"/>
    <x v="1"/>
    <x v="0"/>
    <x v="1"/>
    <x v="359"/>
    <s v="Active"/>
    <x v="0"/>
    <n v="25500"/>
    <x v="25"/>
    <n v="100"/>
    <n v="4"/>
    <x v="5"/>
    <n v="0"/>
    <n v="27"/>
    <n v="15"/>
    <x v="3"/>
    <n v="2125"/>
    <n v="5.3"/>
    <s v="40-44"/>
    <x v="3"/>
  </r>
  <r>
    <x v="389"/>
    <x v="5"/>
    <x v="1"/>
    <n v="36"/>
    <x v="12"/>
    <x v="5"/>
    <x v="3"/>
    <x v="0"/>
    <x v="2"/>
    <x v="360"/>
    <s v="On Leave"/>
    <x v="2"/>
    <n v="63100"/>
    <x v="17"/>
    <n v="88.7"/>
    <n v="6"/>
    <x v="5"/>
    <n v="1"/>
    <n v="26"/>
    <n v="18"/>
    <x v="5"/>
    <n v="5258"/>
    <n v="3.7"/>
    <s v="35-39"/>
    <x v="3"/>
  </r>
  <r>
    <x v="390"/>
    <x v="124"/>
    <x v="0"/>
    <n v="30"/>
    <x v="4"/>
    <x v="2"/>
    <x v="3"/>
    <x v="0"/>
    <x v="1"/>
    <x v="361"/>
    <s v="Active"/>
    <x v="1"/>
    <n v="46300"/>
    <x v="18"/>
    <n v="85.8"/>
    <n v="6"/>
    <x v="2"/>
    <n v="2"/>
    <n v="24"/>
    <n v="30"/>
    <x v="1"/>
    <n v="3858"/>
    <n v="7.5"/>
    <s v="30-34"/>
    <x v="1"/>
  </r>
  <r>
    <x v="391"/>
    <x v="189"/>
    <x v="1"/>
    <n v="25"/>
    <x v="6"/>
    <x v="3"/>
    <x v="1"/>
    <x v="0"/>
    <x v="5"/>
    <x v="362"/>
    <s v="Active"/>
    <x v="0"/>
    <n v="48100"/>
    <x v="15"/>
    <n v="88.1"/>
    <n v="6"/>
    <x v="6"/>
    <n v="2"/>
    <n v="15"/>
    <n v="13"/>
    <x v="2"/>
    <n v="4008"/>
    <n v="5.0999999999999996"/>
    <s v="25-29"/>
    <x v="1"/>
  </r>
  <r>
    <x v="392"/>
    <x v="137"/>
    <x v="0"/>
    <n v="32"/>
    <x v="5"/>
    <x v="0"/>
    <x v="2"/>
    <x v="0"/>
    <x v="0"/>
    <x v="288"/>
    <s v="Resigned"/>
    <x v="0"/>
    <n v="64500"/>
    <x v="1"/>
    <n v="82.3"/>
    <n v="4"/>
    <x v="8"/>
    <n v="1"/>
    <n v="17"/>
    <n v="28"/>
    <x v="0"/>
    <n v="5375"/>
    <n v="4.7"/>
    <s v="30-34"/>
    <x v="1"/>
  </r>
  <r>
    <x v="393"/>
    <x v="6"/>
    <x v="1"/>
    <n v="31"/>
    <x v="6"/>
    <x v="2"/>
    <x v="0"/>
    <x v="0"/>
    <x v="6"/>
    <x v="363"/>
    <s v="On Leave"/>
    <x v="0"/>
    <n v="92900"/>
    <x v="24"/>
    <n v="92.5"/>
    <n v="6"/>
    <x v="10"/>
    <n v="0"/>
    <n v="12"/>
    <n v="7"/>
    <x v="4"/>
    <n v="7742"/>
    <n v="7.6"/>
    <s v="30-34"/>
    <x v="3"/>
  </r>
  <r>
    <x v="394"/>
    <x v="6"/>
    <x v="0"/>
    <n v="49"/>
    <x v="7"/>
    <x v="5"/>
    <x v="2"/>
    <x v="0"/>
    <x v="7"/>
    <x v="364"/>
    <s v="Active"/>
    <x v="1"/>
    <n v="80100"/>
    <x v="21"/>
    <n v="83.2"/>
    <n v="5"/>
    <x v="2"/>
    <n v="4"/>
    <n v="28"/>
    <n v="8"/>
    <x v="0"/>
    <n v="6675"/>
    <n v="5.6"/>
    <s v="45+"/>
    <x v="1"/>
  </r>
  <r>
    <x v="395"/>
    <x v="44"/>
    <x v="0"/>
    <n v="44"/>
    <x v="6"/>
    <x v="2"/>
    <x v="2"/>
    <x v="0"/>
    <x v="7"/>
    <x v="241"/>
    <s v="Active"/>
    <x v="1"/>
    <n v="59300"/>
    <x v="21"/>
    <n v="94.2"/>
    <n v="6"/>
    <x v="12"/>
    <n v="4"/>
    <n v="2"/>
    <n v="17"/>
    <x v="1"/>
    <n v="4942"/>
    <n v="2.4"/>
    <s v="40-44"/>
    <x v="1"/>
  </r>
  <r>
    <x v="396"/>
    <x v="32"/>
    <x v="1"/>
    <n v="24"/>
    <x v="9"/>
    <x v="5"/>
    <x v="2"/>
    <x v="0"/>
    <x v="0"/>
    <x v="365"/>
    <s v="Active"/>
    <x v="0"/>
    <n v="92800"/>
    <x v="10"/>
    <n v="89.7"/>
    <n v="4"/>
    <x v="12"/>
    <n v="3"/>
    <n v="2"/>
    <n v="26"/>
    <x v="3"/>
    <n v="7733"/>
    <n v="5.7"/>
    <s v="20-24"/>
    <x v="2"/>
  </r>
  <r>
    <x v="397"/>
    <x v="190"/>
    <x v="1"/>
    <n v="43"/>
    <x v="14"/>
    <x v="7"/>
    <x v="3"/>
    <x v="0"/>
    <x v="0"/>
    <x v="28"/>
    <s v="Active"/>
    <x v="1"/>
    <n v="40600"/>
    <x v="11"/>
    <n v="94.5"/>
    <n v="1"/>
    <x v="9"/>
    <n v="1"/>
    <n v="5"/>
    <n v="28"/>
    <x v="4"/>
    <n v="3383"/>
    <n v="3.3"/>
    <s v="40-44"/>
    <x v="3"/>
  </r>
  <r>
    <x v="398"/>
    <x v="187"/>
    <x v="0"/>
    <n v="46"/>
    <x v="13"/>
    <x v="4"/>
    <x v="1"/>
    <x v="1"/>
    <x v="3"/>
    <x v="345"/>
    <s v="Active"/>
    <x v="1"/>
    <n v="28300"/>
    <x v="8"/>
    <n v="89.7"/>
    <n v="8"/>
    <x v="8"/>
    <n v="3"/>
    <n v="14"/>
    <n v="14"/>
    <x v="5"/>
    <n v="2358"/>
    <n v="4.2"/>
    <s v="45+"/>
    <x v="1"/>
  </r>
  <r>
    <x v="399"/>
    <x v="112"/>
    <x v="0"/>
    <n v="29"/>
    <x v="12"/>
    <x v="1"/>
    <x v="0"/>
    <x v="0"/>
    <x v="4"/>
    <x v="366"/>
    <s v="Resigned"/>
    <x v="1"/>
    <n v="91700"/>
    <x v="0"/>
    <n v="93.4"/>
    <n v="1"/>
    <x v="9"/>
    <n v="2"/>
    <n v="18"/>
    <n v="3"/>
    <x v="3"/>
    <n v="7642"/>
    <n v="3.3"/>
    <s v="25-29"/>
    <x v="2"/>
  </r>
  <r>
    <x v="400"/>
    <x v="185"/>
    <x v="0"/>
    <n v="30"/>
    <x v="12"/>
    <x v="2"/>
    <x v="1"/>
    <x v="0"/>
    <x v="4"/>
    <x v="296"/>
    <s v="Active"/>
    <x v="0"/>
    <n v="35300"/>
    <x v="28"/>
    <n v="86.1"/>
    <n v="2"/>
    <x v="0"/>
    <n v="4"/>
    <n v="2"/>
    <n v="23"/>
    <x v="1"/>
    <n v="2942"/>
    <n v="8.5"/>
    <s v="30-34"/>
    <x v="1"/>
  </r>
  <r>
    <x v="401"/>
    <x v="148"/>
    <x v="1"/>
    <n v="28"/>
    <x v="13"/>
    <x v="5"/>
    <x v="1"/>
    <x v="3"/>
    <x v="2"/>
    <x v="367"/>
    <s v="Active"/>
    <x v="2"/>
    <n v="42100"/>
    <x v="15"/>
    <n v="92.4"/>
    <n v="8"/>
    <x v="7"/>
    <n v="4"/>
    <n v="20"/>
    <n v="23"/>
    <x v="3"/>
    <n v="3508"/>
    <n v="7.1"/>
    <s v="25-29"/>
    <x v="3"/>
  </r>
  <r>
    <x v="402"/>
    <x v="79"/>
    <x v="0"/>
    <n v="45"/>
    <x v="12"/>
    <x v="7"/>
    <x v="2"/>
    <x v="0"/>
    <x v="1"/>
    <x v="368"/>
    <s v="Active"/>
    <x v="1"/>
    <n v="53200"/>
    <x v="19"/>
    <n v="87.7"/>
    <n v="1"/>
    <x v="7"/>
    <n v="3"/>
    <n v="28"/>
    <n v="18"/>
    <x v="0"/>
    <n v="4433"/>
    <n v="5.4"/>
    <s v="45+"/>
    <x v="2"/>
  </r>
  <r>
    <x v="403"/>
    <x v="21"/>
    <x v="0"/>
    <n v="45"/>
    <x v="2"/>
    <x v="4"/>
    <x v="1"/>
    <x v="0"/>
    <x v="0"/>
    <x v="369"/>
    <s v="Active"/>
    <x v="0"/>
    <n v="36200"/>
    <x v="3"/>
    <n v="94"/>
    <n v="7"/>
    <x v="13"/>
    <n v="1"/>
    <n v="2"/>
    <n v="30"/>
    <x v="2"/>
    <n v="3017"/>
    <n v="7.8"/>
    <s v="45+"/>
    <x v="2"/>
  </r>
  <r>
    <x v="404"/>
    <x v="142"/>
    <x v="0"/>
    <n v="32"/>
    <x v="4"/>
    <x v="2"/>
    <x v="3"/>
    <x v="0"/>
    <x v="1"/>
    <x v="370"/>
    <s v="Active"/>
    <x v="0"/>
    <n v="47900"/>
    <x v="17"/>
    <n v="90.3"/>
    <n v="2"/>
    <x v="14"/>
    <n v="3"/>
    <n v="20"/>
    <n v="25"/>
    <x v="2"/>
    <n v="3992"/>
    <n v="0.6"/>
    <s v="30-34"/>
    <x v="2"/>
  </r>
  <r>
    <x v="405"/>
    <x v="154"/>
    <x v="1"/>
    <n v="22"/>
    <x v="7"/>
    <x v="5"/>
    <x v="5"/>
    <x v="0"/>
    <x v="2"/>
    <x v="371"/>
    <s v="Active"/>
    <x v="0"/>
    <n v="26400"/>
    <x v="30"/>
    <n v="96.5"/>
    <n v="5"/>
    <x v="12"/>
    <n v="2"/>
    <n v="2"/>
    <n v="6"/>
    <x v="0"/>
    <n v="2200"/>
    <n v="2.4"/>
    <s v="20-24"/>
    <x v="2"/>
  </r>
  <r>
    <x v="406"/>
    <x v="22"/>
    <x v="1"/>
    <n v="36"/>
    <x v="1"/>
    <x v="2"/>
    <x v="1"/>
    <x v="0"/>
    <x v="1"/>
    <x v="313"/>
    <s v="Active"/>
    <x v="1"/>
    <n v="34800"/>
    <x v="13"/>
    <n v="89.7"/>
    <n v="8"/>
    <x v="9"/>
    <n v="1"/>
    <n v="17"/>
    <n v="3"/>
    <x v="1"/>
    <n v="2900"/>
    <n v="0.1"/>
    <s v="35-39"/>
    <x v="2"/>
  </r>
  <r>
    <x v="407"/>
    <x v="176"/>
    <x v="1"/>
    <n v="49"/>
    <x v="5"/>
    <x v="5"/>
    <x v="1"/>
    <x v="0"/>
    <x v="4"/>
    <x v="372"/>
    <s v="Active"/>
    <x v="0"/>
    <n v="47600"/>
    <x v="19"/>
    <n v="87.3"/>
    <n v="2"/>
    <x v="4"/>
    <n v="2"/>
    <n v="7"/>
    <n v="22"/>
    <x v="1"/>
    <n v="3967"/>
    <n v="0.6"/>
    <s v="45+"/>
    <x v="1"/>
  </r>
  <r>
    <x v="408"/>
    <x v="191"/>
    <x v="0"/>
    <n v="49"/>
    <x v="10"/>
    <x v="1"/>
    <x v="1"/>
    <x v="0"/>
    <x v="6"/>
    <x v="373"/>
    <s v="Active"/>
    <x v="1"/>
    <n v="28900"/>
    <x v="26"/>
    <n v="91.7"/>
    <n v="8"/>
    <x v="13"/>
    <n v="1"/>
    <n v="15"/>
    <n v="21"/>
    <x v="1"/>
    <n v="2408"/>
    <n v="5.4"/>
    <s v="45+"/>
    <x v="1"/>
  </r>
  <r>
    <x v="409"/>
    <x v="84"/>
    <x v="1"/>
    <n v="37"/>
    <x v="8"/>
    <x v="0"/>
    <x v="2"/>
    <x v="0"/>
    <x v="7"/>
    <x v="374"/>
    <s v="Active"/>
    <x v="0"/>
    <n v="66300"/>
    <x v="17"/>
    <n v="100"/>
    <n v="6"/>
    <x v="2"/>
    <n v="3"/>
    <n v="2"/>
    <n v="24"/>
    <x v="1"/>
    <n v="5525"/>
    <n v="4.9000000000000004"/>
    <s v="35-39"/>
    <x v="2"/>
  </r>
  <r>
    <x v="410"/>
    <x v="101"/>
    <x v="0"/>
    <n v="24"/>
    <x v="7"/>
    <x v="7"/>
    <x v="0"/>
    <x v="0"/>
    <x v="3"/>
    <x v="375"/>
    <s v="Active"/>
    <x v="1"/>
    <n v="60100"/>
    <x v="9"/>
    <n v="96.4"/>
    <n v="4"/>
    <x v="2"/>
    <n v="0"/>
    <n v="21"/>
    <n v="27"/>
    <x v="3"/>
    <n v="5008"/>
    <n v="4.5999999999999996"/>
    <s v="20-24"/>
    <x v="1"/>
  </r>
  <r>
    <x v="411"/>
    <x v="89"/>
    <x v="0"/>
    <n v="35"/>
    <x v="3"/>
    <x v="0"/>
    <x v="3"/>
    <x v="0"/>
    <x v="2"/>
    <x v="376"/>
    <s v="On Leave"/>
    <x v="2"/>
    <n v="46500"/>
    <x v="12"/>
    <n v="87"/>
    <n v="7"/>
    <x v="7"/>
    <n v="3"/>
    <n v="10"/>
    <n v="25"/>
    <x v="4"/>
    <n v="3875"/>
    <n v="2.4"/>
    <s v="35-39"/>
    <x v="1"/>
  </r>
  <r>
    <x v="412"/>
    <x v="149"/>
    <x v="0"/>
    <n v="49"/>
    <x v="6"/>
    <x v="3"/>
    <x v="0"/>
    <x v="0"/>
    <x v="2"/>
    <x v="377"/>
    <s v="Resigned"/>
    <x v="1"/>
    <n v="107300"/>
    <x v="26"/>
    <n v="91"/>
    <n v="5"/>
    <x v="5"/>
    <n v="1"/>
    <n v="15"/>
    <n v="2"/>
    <x v="5"/>
    <n v="8942"/>
    <n v="3.5"/>
    <s v="45+"/>
    <x v="1"/>
  </r>
  <r>
    <x v="413"/>
    <x v="191"/>
    <x v="1"/>
    <n v="45"/>
    <x v="4"/>
    <x v="3"/>
    <x v="1"/>
    <x v="0"/>
    <x v="3"/>
    <x v="378"/>
    <s v="Active"/>
    <x v="0"/>
    <n v="43400"/>
    <x v="7"/>
    <n v="87.7"/>
    <n v="6"/>
    <x v="4"/>
    <n v="2"/>
    <n v="1"/>
    <n v="2"/>
    <x v="5"/>
    <n v="3617"/>
    <n v="5.0999999999999996"/>
    <s v="45+"/>
    <x v="2"/>
  </r>
  <r>
    <x v="414"/>
    <x v="192"/>
    <x v="0"/>
    <n v="42"/>
    <x v="10"/>
    <x v="5"/>
    <x v="3"/>
    <x v="0"/>
    <x v="4"/>
    <x v="335"/>
    <s v="On Leave"/>
    <x v="0"/>
    <n v="63200"/>
    <x v="11"/>
    <n v="86.6"/>
    <n v="2"/>
    <x v="5"/>
    <n v="3"/>
    <n v="0"/>
    <n v="9"/>
    <x v="2"/>
    <n v="5267"/>
    <n v="8.3000000000000007"/>
    <s v="40-44"/>
    <x v="3"/>
  </r>
  <r>
    <x v="415"/>
    <x v="34"/>
    <x v="1"/>
    <n v="35"/>
    <x v="5"/>
    <x v="2"/>
    <x v="1"/>
    <x v="0"/>
    <x v="4"/>
    <x v="379"/>
    <s v="Active"/>
    <x v="2"/>
    <n v="37600"/>
    <x v="24"/>
    <n v="91.1"/>
    <n v="5"/>
    <x v="10"/>
    <n v="1"/>
    <n v="7"/>
    <n v="12"/>
    <x v="4"/>
    <n v="3133"/>
    <n v="0.7"/>
    <s v="35-39"/>
    <x v="1"/>
  </r>
  <r>
    <x v="416"/>
    <x v="63"/>
    <x v="0"/>
    <n v="30"/>
    <x v="6"/>
    <x v="5"/>
    <x v="2"/>
    <x v="1"/>
    <x v="2"/>
    <x v="148"/>
    <s v="Active"/>
    <x v="1"/>
    <n v="99200"/>
    <x v="0"/>
    <n v="89.7"/>
    <n v="2"/>
    <x v="11"/>
    <n v="2"/>
    <n v="11"/>
    <n v="13"/>
    <x v="1"/>
    <n v="8267"/>
    <n v="3.8"/>
    <s v="30-34"/>
    <x v="2"/>
  </r>
  <r>
    <x v="417"/>
    <x v="193"/>
    <x v="0"/>
    <n v="41"/>
    <x v="7"/>
    <x v="1"/>
    <x v="3"/>
    <x v="0"/>
    <x v="3"/>
    <x v="380"/>
    <s v="Active"/>
    <x v="2"/>
    <n v="54700"/>
    <x v="4"/>
    <n v="85.8"/>
    <n v="6"/>
    <x v="13"/>
    <n v="2"/>
    <n v="18"/>
    <n v="5"/>
    <x v="4"/>
    <n v="4558"/>
    <n v="6.6"/>
    <s v="40-44"/>
    <x v="2"/>
  </r>
  <r>
    <x v="418"/>
    <x v="4"/>
    <x v="1"/>
    <n v="23"/>
    <x v="10"/>
    <x v="2"/>
    <x v="2"/>
    <x v="0"/>
    <x v="4"/>
    <x v="381"/>
    <s v="Resigned"/>
    <x v="0"/>
    <n v="69800"/>
    <x v="2"/>
    <n v="87.7"/>
    <n v="5"/>
    <x v="15"/>
    <n v="2"/>
    <n v="17"/>
    <n v="25"/>
    <x v="6"/>
    <n v="5817"/>
    <n v="2.6"/>
    <s v="20-24"/>
    <x v="2"/>
  </r>
  <r>
    <x v="419"/>
    <x v="68"/>
    <x v="1"/>
    <n v="50"/>
    <x v="5"/>
    <x v="2"/>
    <x v="2"/>
    <x v="0"/>
    <x v="4"/>
    <x v="382"/>
    <s v="Active"/>
    <x v="0"/>
    <n v="59900"/>
    <x v="6"/>
    <n v="91.3"/>
    <n v="7"/>
    <x v="10"/>
    <n v="1"/>
    <n v="17"/>
    <n v="8"/>
    <x v="6"/>
    <n v="4992"/>
    <n v="4.8"/>
    <s v="45+"/>
    <x v="1"/>
  </r>
  <r>
    <x v="420"/>
    <x v="193"/>
    <x v="1"/>
    <n v="28"/>
    <x v="8"/>
    <x v="2"/>
    <x v="3"/>
    <x v="0"/>
    <x v="0"/>
    <x v="383"/>
    <s v="Active"/>
    <x v="0"/>
    <n v="47100"/>
    <x v="0"/>
    <n v="88.1"/>
    <n v="7"/>
    <x v="12"/>
    <n v="2"/>
    <n v="20"/>
    <n v="26"/>
    <x v="6"/>
    <n v="3925"/>
    <n v="4.4000000000000004"/>
    <s v="25-29"/>
    <x v="3"/>
  </r>
  <r>
    <x v="421"/>
    <x v="24"/>
    <x v="0"/>
    <n v="34"/>
    <x v="11"/>
    <x v="0"/>
    <x v="2"/>
    <x v="0"/>
    <x v="6"/>
    <x v="176"/>
    <s v="Active"/>
    <x v="0"/>
    <n v="84500"/>
    <x v="24"/>
    <n v="90.9"/>
    <n v="5"/>
    <x v="14"/>
    <n v="2"/>
    <n v="21"/>
    <n v="14"/>
    <x v="0"/>
    <n v="7042"/>
    <n v="7.1"/>
    <s v="30-34"/>
    <x v="1"/>
  </r>
  <r>
    <x v="422"/>
    <x v="194"/>
    <x v="0"/>
    <n v="31"/>
    <x v="2"/>
    <x v="4"/>
    <x v="4"/>
    <x v="0"/>
    <x v="5"/>
    <x v="384"/>
    <s v="Active"/>
    <x v="1"/>
    <n v="96700"/>
    <x v="0"/>
    <n v="87.5"/>
    <n v="1"/>
    <x v="7"/>
    <n v="3"/>
    <n v="10"/>
    <n v="8"/>
    <x v="5"/>
    <n v="8058"/>
    <n v="8.1999999999999993"/>
    <s v="30-34"/>
    <x v="2"/>
  </r>
  <r>
    <x v="423"/>
    <x v="85"/>
    <x v="1"/>
    <n v="46"/>
    <x v="6"/>
    <x v="5"/>
    <x v="3"/>
    <x v="0"/>
    <x v="5"/>
    <x v="159"/>
    <s v="Active"/>
    <x v="0"/>
    <n v="57200"/>
    <x v="7"/>
    <n v="93.3"/>
    <n v="5"/>
    <x v="2"/>
    <n v="2"/>
    <n v="29"/>
    <n v="5"/>
    <x v="5"/>
    <n v="4767"/>
    <n v="1.7"/>
    <s v="45+"/>
    <x v="1"/>
  </r>
  <r>
    <x v="424"/>
    <x v="124"/>
    <x v="0"/>
    <n v="35"/>
    <x v="0"/>
    <x v="2"/>
    <x v="3"/>
    <x v="1"/>
    <x v="0"/>
    <x v="385"/>
    <s v="Active"/>
    <x v="1"/>
    <n v="45100"/>
    <x v="28"/>
    <n v="87.6"/>
    <n v="0"/>
    <x v="15"/>
    <n v="0"/>
    <n v="17"/>
    <n v="13"/>
    <x v="3"/>
    <n v="3758"/>
    <n v="0.6"/>
    <s v="35-39"/>
    <x v="1"/>
  </r>
  <r>
    <x v="425"/>
    <x v="107"/>
    <x v="1"/>
    <n v="23"/>
    <x v="7"/>
    <x v="6"/>
    <x v="2"/>
    <x v="0"/>
    <x v="4"/>
    <x v="386"/>
    <s v="Active"/>
    <x v="0"/>
    <n v="70900"/>
    <x v="5"/>
    <n v="94.2"/>
    <n v="5"/>
    <x v="7"/>
    <n v="1"/>
    <n v="5"/>
    <n v="22"/>
    <x v="1"/>
    <n v="5908"/>
    <n v="3.1"/>
    <s v="20-24"/>
    <x v="1"/>
  </r>
  <r>
    <x v="426"/>
    <x v="118"/>
    <x v="1"/>
    <n v="22"/>
    <x v="14"/>
    <x v="2"/>
    <x v="2"/>
    <x v="1"/>
    <x v="1"/>
    <x v="348"/>
    <s v="Active"/>
    <x v="1"/>
    <n v="64800"/>
    <x v="5"/>
    <n v="89.5"/>
    <n v="5"/>
    <x v="9"/>
    <n v="2"/>
    <n v="0"/>
    <n v="24"/>
    <x v="0"/>
    <n v="5400"/>
    <n v="5.3"/>
    <s v="20-24"/>
    <x v="1"/>
  </r>
  <r>
    <x v="427"/>
    <x v="152"/>
    <x v="0"/>
    <n v="46"/>
    <x v="13"/>
    <x v="0"/>
    <x v="1"/>
    <x v="0"/>
    <x v="7"/>
    <x v="387"/>
    <s v="Active"/>
    <x v="1"/>
    <n v="32600"/>
    <x v="7"/>
    <n v="80.3"/>
    <n v="5"/>
    <x v="3"/>
    <n v="2"/>
    <n v="8"/>
    <n v="19"/>
    <x v="0"/>
    <n v="2717"/>
    <n v="1.7"/>
    <s v="45+"/>
    <x v="1"/>
  </r>
  <r>
    <x v="428"/>
    <x v="12"/>
    <x v="0"/>
    <n v="40"/>
    <x v="0"/>
    <x v="4"/>
    <x v="3"/>
    <x v="0"/>
    <x v="7"/>
    <x v="388"/>
    <s v="Active"/>
    <x v="0"/>
    <n v="42000"/>
    <x v="4"/>
    <n v="89.7"/>
    <n v="8"/>
    <x v="4"/>
    <n v="4"/>
    <n v="19"/>
    <n v="14"/>
    <x v="3"/>
    <n v="3500"/>
    <n v="5.6"/>
    <s v="40-44"/>
    <x v="3"/>
  </r>
  <r>
    <x v="429"/>
    <x v="125"/>
    <x v="1"/>
    <n v="50"/>
    <x v="0"/>
    <x v="4"/>
    <x v="3"/>
    <x v="3"/>
    <x v="6"/>
    <x v="263"/>
    <s v="Active"/>
    <x v="1"/>
    <n v="48400"/>
    <x v="29"/>
    <n v="93.5"/>
    <n v="3"/>
    <x v="14"/>
    <n v="3"/>
    <n v="15"/>
    <n v="20"/>
    <x v="5"/>
    <n v="4033"/>
    <n v="5.8"/>
    <s v="45+"/>
    <x v="1"/>
  </r>
  <r>
    <x v="430"/>
    <x v="145"/>
    <x v="0"/>
    <n v="23"/>
    <x v="1"/>
    <x v="5"/>
    <x v="3"/>
    <x v="0"/>
    <x v="2"/>
    <x v="230"/>
    <s v="Active"/>
    <x v="1"/>
    <n v="63500"/>
    <x v="5"/>
    <n v="88.2"/>
    <n v="6"/>
    <x v="12"/>
    <n v="2"/>
    <n v="28"/>
    <n v="4"/>
    <x v="4"/>
    <n v="5292"/>
    <n v="5.7"/>
    <s v="20-24"/>
    <x v="1"/>
  </r>
  <r>
    <x v="431"/>
    <x v="99"/>
    <x v="0"/>
    <n v="21"/>
    <x v="1"/>
    <x v="4"/>
    <x v="1"/>
    <x v="1"/>
    <x v="4"/>
    <x v="389"/>
    <s v="Resigned"/>
    <x v="0"/>
    <n v="33400"/>
    <x v="5"/>
    <n v="90"/>
    <n v="2"/>
    <x v="8"/>
    <n v="3"/>
    <n v="29"/>
    <n v="15"/>
    <x v="0"/>
    <n v="2783"/>
    <n v="1.7"/>
    <s v="20-24"/>
    <x v="2"/>
  </r>
  <r>
    <x v="432"/>
    <x v="194"/>
    <x v="0"/>
    <n v="38"/>
    <x v="10"/>
    <x v="7"/>
    <x v="0"/>
    <x v="0"/>
    <x v="2"/>
    <x v="74"/>
    <s v="Active"/>
    <x v="1"/>
    <n v="68400"/>
    <x v="16"/>
    <n v="94.1"/>
    <n v="7"/>
    <x v="10"/>
    <n v="3"/>
    <n v="28"/>
    <n v="17"/>
    <x v="4"/>
    <n v="5700"/>
    <n v="3.8"/>
    <s v="35-39"/>
    <x v="1"/>
  </r>
  <r>
    <x v="433"/>
    <x v="195"/>
    <x v="0"/>
    <n v="26"/>
    <x v="13"/>
    <x v="3"/>
    <x v="2"/>
    <x v="0"/>
    <x v="1"/>
    <x v="390"/>
    <s v="Active"/>
    <x v="0"/>
    <n v="92700"/>
    <x v="9"/>
    <n v="98.6"/>
    <n v="1"/>
    <x v="6"/>
    <n v="0"/>
    <n v="4"/>
    <n v="26"/>
    <x v="1"/>
    <n v="7725"/>
    <n v="3"/>
    <s v="25-29"/>
    <x v="3"/>
  </r>
  <r>
    <x v="434"/>
    <x v="126"/>
    <x v="0"/>
    <n v="47"/>
    <x v="1"/>
    <x v="6"/>
    <x v="3"/>
    <x v="0"/>
    <x v="7"/>
    <x v="391"/>
    <s v="Active"/>
    <x v="1"/>
    <n v="46600"/>
    <x v="21"/>
    <n v="96.8"/>
    <n v="1"/>
    <x v="9"/>
    <n v="1"/>
    <n v="18"/>
    <n v="3"/>
    <x v="1"/>
    <n v="3883"/>
    <n v="3.8"/>
    <s v="45+"/>
    <x v="2"/>
  </r>
  <r>
    <x v="435"/>
    <x v="8"/>
    <x v="1"/>
    <n v="21"/>
    <x v="13"/>
    <x v="1"/>
    <x v="2"/>
    <x v="0"/>
    <x v="0"/>
    <x v="392"/>
    <s v="Active"/>
    <x v="0"/>
    <n v="71100"/>
    <x v="5"/>
    <n v="91.5"/>
    <n v="4"/>
    <x v="3"/>
    <n v="0"/>
    <n v="21"/>
    <n v="21"/>
    <x v="2"/>
    <n v="5925"/>
    <n v="2.6"/>
    <s v="20-24"/>
    <x v="1"/>
  </r>
  <r>
    <x v="436"/>
    <x v="89"/>
    <x v="0"/>
    <n v="20"/>
    <x v="8"/>
    <x v="5"/>
    <x v="0"/>
    <x v="0"/>
    <x v="0"/>
    <x v="393"/>
    <s v="Active"/>
    <x v="1"/>
    <n v="103100"/>
    <x v="10"/>
    <n v="93.8"/>
    <n v="0"/>
    <x v="2"/>
    <n v="1"/>
    <n v="16"/>
    <n v="25"/>
    <x v="1"/>
    <n v="8592"/>
    <n v="1.3"/>
    <s v="20-24"/>
    <x v="1"/>
  </r>
  <r>
    <x v="437"/>
    <x v="196"/>
    <x v="1"/>
    <n v="37"/>
    <x v="0"/>
    <x v="3"/>
    <x v="1"/>
    <x v="0"/>
    <x v="5"/>
    <x v="136"/>
    <s v="Active"/>
    <x v="1"/>
    <n v="43100"/>
    <x v="13"/>
    <n v="91.5"/>
    <n v="0"/>
    <x v="15"/>
    <n v="4"/>
    <n v="22"/>
    <n v="2"/>
    <x v="6"/>
    <n v="3592"/>
    <n v="1.1000000000000001"/>
    <s v="35-39"/>
    <x v="1"/>
  </r>
  <r>
    <x v="438"/>
    <x v="162"/>
    <x v="1"/>
    <n v="47"/>
    <x v="8"/>
    <x v="5"/>
    <x v="3"/>
    <x v="0"/>
    <x v="6"/>
    <x v="394"/>
    <s v="On Leave"/>
    <x v="0"/>
    <n v="67500"/>
    <x v="22"/>
    <n v="83.5"/>
    <n v="2"/>
    <x v="12"/>
    <n v="0"/>
    <n v="7"/>
    <n v="26"/>
    <x v="1"/>
    <n v="5625"/>
    <n v="0.3"/>
    <s v="45+"/>
    <x v="1"/>
  </r>
  <r>
    <x v="439"/>
    <x v="132"/>
    <x v="0"/>
    <n v="27"/>
    <x v="3"/>
    <x v="3"/>
    <x v="3"/>
    <x v="0"/>
    <x v="3"/>
    <x v="395"/>
    <s v="Active"/>
    <x v="0"/>
    <n v="56400"/>
    <x v="9"/>
    <n v="97.3"/>
    <n v="5"/>
    <x v="6"/>
    <n v="3"/>
    <n v="18"/>
    <n v="15"/>
    <x v="2"/>
    <n v="4700"/>
    <n v="1.3"/>
    <s v="25-29"/>
    <x v="1"/>
  </r>
  <r>
    <x v="440"/>
    <x v="197"/>
    <x v="0"/>
    <n v="27"/>
    <x v="7"/>
    <x v="1"/>
    <x v="2"/>
    <x v="0"/>
    <x v="0"/>
    <x v="93"/>
    <s v="Active"/>
    <x v="1"/>
    <n v="65100"/>
    <x v="20"/>
    <n v="97.6"/>
    <n v="5"/>
    <x v="7"/>
    <n v="2"/>
    <n v="17"/>
    <n v="23"/>
    <x v="0"/>
    <n v="5425"/>
    <n v="7"/>
    <s v="25-29"/>
    <x v="1"/>
  </r>
  <r>
    <x v="441"/>
    <x v="115"/>
    <x v="1"/>
    <n v="47"/>
    <x v="13"/>
    <x v="4"/>
    <x v="5"/>
    <x v="0"/>
    <x v="7"/>
    <x v="396"/>
    <s v="Active"/>
    <x v="0"/>
    <n v="18700"/>
    <x v="7"/>
    <n v="82.6"/>
    <n v="7"/>
    <x v="4"/>
    <n v="4"/>
    <n v="11"/>
    <n v="29"/>
    <x v="0"/>
    <n v="1558"/>
    <n v="8.6"/>
    <s v="45+"/>
    <x v="2"/>
  </r>
  <r>
    <x v="442"/>
    <x v="198"/>
    <x v="0"/>
    <n v="29"/>
    <x v="7"/>
    <x v="3"/>
    <x v="4"/>
    <x v="0"/>
    <x v="5"/>
    <x v="397"/>
    <s v="Active"/>
    <x v="0"/>
    <n v="127200"/>
    <x v="9"/>
    <n v="89.1"/>
    <n v="6"/>
    <x v="3"/>
    <n v="1"/>
    <n v="15"/>
    <n v="5"/>
    <x v="5"/>
    <n v="10600"/>
    <n v="2.1"/>
    <s v="25-29"/>
    <x v="2"/>
  </r>
  <r>
    <x v="443"/>
    <x v="148"/>
    <x v="1"/>
    <n v="37"/>
    <x v="12"/>
    <x v="5"/>
    <x v="3"/>
    <x v="0"/>
    <x v="3"/>
    <x v="398"/>
    <s v="Active"/>
    <x v="1"/>
    <n v="62700"/>
    <x v="12"/>
    <n v="98.7"/>
    <n v="0"/>
    <x v="15"/>
    <n v="0"/>
    <n v="13"/>
    <n v="6"/>
    <x v="4"/>
    <n v="5225"/>
    <n v="3.9"/>
    <s v="35-39"/>
    <x v="1"/>
  </r>
  <r>
    <x v="444"/>
    <x v="55"/>
    <x v="0"/>
    <n v="41"/>
    <x v="4"/>
    <x v="2"/>
    <x v="3"/>
    <x v="0"/>
    <x v="2"/>
    <x v="399"/>
    <s v="Active"/>
    <x v="1"/>
    <n v="55100"/>
    <x v="11"/>
    <n v="92.1"/>
    <n v="0"/>
    <x v="10"/>
    <n v="4"/>
    <n v="3"/>
    <n v="8"/>
    <x v="1"/>
    <n v="4592"/>
    <n v="1.9"/>
    <s v="40-44"/>
    <x v="3"/>
  </r>
  <r>
    <x v="445"/>
    <x v="199"/>
    <x v="0"/>
    <n v="46"/>
    <x v="3"/>
    <x v="6"/>
    <x v="3"/>
    <x v="2"/>
    <x v="1"/>
    <x v="400"/>
    <s v="Active"/>
    <x v="0"/>
    <n v="48300"/>
    <x v="22"/>
    <n v="86"/>
    <n v="3"/>
    <x v="15"/>
    <n v="0"/>
    <n v="7"/>
    <n v="12"/>
    <x v="4"/>
    <n v="4025"/>
    <n v="2.2999999999999998"/>
    <s v="45+"/>
    <x v="3"/>
  </r>
  <r>
    <x v="446"/>
    <x v="103"/>
    <x v="0"/>
    <n v="47"/>
    <x v="9"/>
    <x v="0"/>
    <x v="1"/>
    <x v="0"/>
    <x v="7"/>
    <x v="401"/>
    <s v="Active"/>
    <x v="2"/>
    <n v="36500"/>
    <x v="21"/>
    <n v="97.1"/>
    <n v="0"/>
    <x v="2"/>
    <n v="3"/>
    <n v="26"/>
    <n v="13"/>
    <x v="3"/>
    <n v="3042"/>
    <n v="5.4"/>
    <s v="45+"/>
    <x v="1"/>
  </r>
  <r>
    <x v="447"/>
    <x v="81"/>
    <x v="0"/>
    <n v="30"/>
    <x v="3"/>
    <x v="1"/>
    <x v="2"/>
    <x v="0"/>
    <x v="0"/>
    <x v="402"/>
    <s v="Active"/>
    <x v="0"/>
    <n v="74200"/>
    <x v="27"/>
    <n v="91.6"/>
    <n v="0"/>
    <x v="10"/>
    <n v="0"/>
    <n v="23"/>
    <n v="9"/>
    <x v="4"/>
    <n v="6183"/>
    <n v="6.9"/>
    <s v="30-34"/>
    <x v="2"/>
  </r>
  <r>
    <x v="448"/>
    <x v="19"/>
    <x v="0"/>
    <n v="46"/>
    <x v="14"/>
    <x v="2"/>
    <x v="4"/>
    <x v="0"/>
    <x v="6"/>
    <x v="403"/>
    <s v="Active"/>
    <x v="0"/>
    <n v="117500"/>
    <x v="8"/>
    <n v="97.5"/>
    <n v="0"/>
    <x v="12"/>
    <n v="1"/>
    <n v="29"/>
    <n v="22"/>
    <x v="1"/>
    <n v="9792"/>
    <n v="6.5"/>
    <s v="45+"/>
    <x v="1"/>
  </r>
  <r>
    <x v="449"/>
    <x v="44"/>
    <x v="1"/>
    <n v="42"/>
    <x v="14"/>
    <x v="2"/>
    <x v="3"/>
    <x v="2"/>
    <x v="6"/>
    <x v="404"/>
    <s v="Active"/>
    <x v="1"/>
    <n v="54700"/>
    <x v="25"/>
    <n v="91.4"/>
    <n v="2"/>
    <x v="5"/>
    <n v="1"/>
    <n v="11"/>
    <n v="8"/>
    <x v="5"/>
    <n v="4558"/>
    <n v="8.4"/>
    <s v="40-44"/>
    <x v="3"/>
  </r>
  <r>
    <x v="450"/>
    <x v="2"/>
    <x v="1"/>
    <n v="20"/>
    <x v="13"/>
    <x v="5"/>
    <x v="4"/>
    <x v="0"/>
    <x v="4"/>
    <x v="193"/>
    <s v="Active"/>
    <x v="2"/>
    <n v="173100"/>
    <x v="5"/>
    <n v="80.2"/>
    <n v="1"/>
    <x v="4"/>
    <n v="2"/>
    <n v="10"/>
    <n v="4"/>
    <x v="6"/>
    <n v="14425"/>
    <n v="7.3"/>
    <s v="20-24"/>
    <x v="1"/>
  </r>
  <r>
    <x v="451"/>
    <x v="6"/>
    <x v="1"/>
    <n v="26"/>
    <x v="5"/>
    <x v="3"/>
    <x v="0"/>
    <x v="0"/>
    <x v="3"/>
    <x v="405"/>
    <s v="Resigned"/>
    <x v="0"/>
    <n v="127500"/>
    <x v="2"/>
    <n v="100"/>
    <n v="7"/>
    <x v="1"/>
    <n v="2"/>
    <n v="12"/>
    <n v="3"/>
    <x v="2"/>
    <n v="10625"/>
    <n v="3.7"/>
    <s v="25-29"/>
    <x v="1"/>
  </r>
  <r>
    <x v="452"/>
    <x v="174"/>
    <x v="0"/>
    <n v="47"/>
    <x v="3"/>
    <x v="5"/>
    <x v="3"/>
    <x v="0"/>
    <x v="4"/>
    <x v="336"/>
    <s v="Resigned"/>
    <x v="0"/>
    <n v="75700"/>
    <x v="7"/>
    <n v="85.5"/>
    <n v="6"/>
    <x v="13"/>
    <n v="1"/>
    <n v="7"/>
    <n v="19"/>
    <x v="0"/>
    <n v="6308"/>
    <n v="7.2"/>
    <s v="45+"/>
    <x v="2"/>
  </r>
  <r>
    <x v="453"/>
    <x v="74"/>
    <x v="0"/>
    <n v="46"/>
    <x v="0"/>
    <x v="0"/>
    <x v="2"/>
    <x v="0"/>
    <x v="0"/>
    <x v="406"/>
    <s v="Active"/>
    <x v="1"/>
    <n v="69800"/>
    <x v="22"/>
    <n v="88.8"/>
    <n v="7"/>
    <x v="8"/>
    <n v="1"/>
    <n v="17"/>
    <n v="11"/>
    <x v="4"/>
    <n v="5817"/>
    <n v="3.4"/>
    <s v="45+"/>
    <x v="1"/>
  </r>
  <r>
    <x v="454"/>
    <x v="200"/>
    <x v="1"/>
    <n v="27"/>
    <x v="7"/>
    <x v="0"/>
    <x v="3"/>
    <x v="0"/>
    <x v="4"/>
    <x v="407"/>
    <s v="Active"/>
    <x v="1"/>
    <n v="54800"/>
    <x v="2"/>
    <n v="97"/>
    <n v="3"/>
    <x v="12"/>
    <n v="1"/>
    <n v="12"/>
    <n v="29"/>
    <x v="4"/>
    <n v="4567"/>
    <n v="4.7"/>
    <s v="25-29"/>
    <x v="2"/>
  </r>
  <r>
    <x v="455"/>
    <x v="126"/>
    <x v="0"/>
    <n v="44"/>
    <x v="2"/>
    <x v="5"/>
    <x v="2"/>
    <x v="3"/>
    <x v="2"/>
    <x v="408"/>
    <s v="Active"/>
    <x v="1"/>
    <n v="107700"/>
    <x v="11"/>
    <n v="100"/>
    <n v="8"/>
    <x v="13"/>
    <n v="4"/>
    <n v="3"/>
    <n v="20"/>
    <x v="1"/>
    <n v="8975"/>
    <n v="1.9"/>
    <s v="40-44"/>
    <x v="2"/>
  </r>
  <r>
    <x v="456"/>
    <x v="43"/>
    <x v="0"/>
    <n v="33"/>
    <x v="1"/>
    <x v="5"/>
    <x v="1"/>
    <x v="2"/>
    <x v="0"/>
    <x v="409"/>
    <s v="Active"/>
    <x v="1"/>
    <n v="48000"/>
    <x v="27"/>
    <n v="90.7"/>
    <n v="4"/>
    <x v="9"/>
    <n v="0"/>
    <n v="25"/>
    <n v="23"/>
    <x v="5"/>
    <n v="4000"/>
    <n v="5.6"/>
    <s v="30-34"/>
    <x v="1"/>
  </r>
  <r>
    <x v="457"/>
    <x v="85"/>
    <x v="0"/>
    <n v="43"/>
    <x v="4"/>
    <x v="3"/>
    <x v="2"/>
    <x v="0"/>
    <x v="4"/>
    <x v="410"/>
    <s v="Active"/>
    <x v="1"/>
    <n v="105400"/>
    <x v="3"/>
    <n v="92.8"/>
    <n v="6"/>
    <x v="13"/>
    <n v="4"/>
    <n v="30"/>
    <n v="16"/>
    <x v="5"/>
    <n v="8783"/>
    <n v="2.5"/>
    <s v="40-44"/>
    <x v="1"/>
  </r>
  <r>
    <x v="458"/>
    <x v="115"/>
    <x v="1"/>
    <n v="38"/>
    <x v="14"/>
    <x v="4"/>
    <x v="1"/>
    <x v="0"/>
    <x v="0"/>
    <x v="362"/>
    <s v="Active"/>
    <x v="1"/>
    <n v="27800"/>
    <x v="25"/>
    <n v="85.1"/>
    <n v="3"/>
    <x v="1"/>
    <n v="3"/>
    <n v="0"/>
    <n v="28"/>
    <x v="5"/>
    <n v="2317"/>
    <n v="5.0999999999999996"/>
    <s v="35-39"/>
    <x v="1"/>
  </r>
  <r>
    <x v="459"/>
    <x v="143"/>
    <x v="1"/>
    <n v="27"/>
    <x v="3"/>
    <x v="5"/>
    <x v="0"/>
    <x v="3"/>
    <x v="1"/>
    <x v="411"/>
    <s v="Active"/>
    <x v="1"/>
    <n v="119600"/>
    <x v="2"/>
    <n v="89.6"/>
    <n v="0"/>
    <x v="12"/>
    <n v="2"/>
    <n v="26"/>
    <n v="27"/>
    <x v="3"/>
    <n v="9967"/>
    <n v="1.7"/>
    <s v="25-29"/>
    <x v="1"/>
  </r>
  <r>
    <x v="460"/>
    <x v="128"/>
    <x v="1"/>
    <n v="38"/>
    <x v="6"/>
    <x v="5"/>
    <x v="0"/>
    <x v="0"/>
    <x v="4"/>
    <x v="412"/>
    <s v="Active"/>
    <x v="2"/>
    <n v="141000"/>
    <x v="12"/>
    <n v="96.5"/>
    <n v="7"/>
    <x v="13"/>
    <n v="0"/>
    <n v="22"/>
    <n v="18"/>
    <x v="4"/>
    <n v="11750"/>
    <n v="3.8"/>
    <s v="35-39"/>
    <x v="2"/>
  </r>
  <r>
    <x v="461"/>
    <x v="132"/>
    <x v="1"/>
    <n v="41"/>
    <x v="5"/>
    <x v="2"/>
    <x v="1"/>
    <x v="0"/>
    <x v="0"/>
    <x v="32"/>
    <s v="Active"/>
    <x v="0"/>
    <n v="32100"/>
    <x v="23"/>
    <n v="92.5"/>
    <n v="8"/>
    <x v="0"/>
    <n v="2"/>
    <n v="30"/>
    <n v="20"/>
    <x v="2"/>
    <n v="2675"/>
    <n v="8"/>
    <s v="40-44"/>
    <x v="1"/>
  </r>
  <r>
    <x v="462"/>
    <x v="86"/>
    <x v="1"/>
    <n v="23"/>
    <x v="2"/>
    <x v="3"/>
    <x v="3"/>
    <x v="0"/>
    <x v="4"/>
    <x v="413"/>
    <s v="Active"/>
    <x v="0"/>
    <n v="67800"/>
    <x v="30"/>
    <n v="99.7"/>
    <n v="8"/>
    <x v="14"/>
    <n v="3"/>
    <n v="9"/>
    <n v="4"/>
    <x v="2"/>
    <n v="5650"/>
    <n v="7.8"/>
    <s v="20-24"/>
    <x v="1"/>
  </r>
  <r>
    <x v="463"/>
    <x v="165"/>
    <x v="0"/>
    <n v="42"/>
    <x v="14"/>
    <x v="0"/>
    <x v="3"/>
    <x v="0"/>
    <x v="6"/>
    <x v="414"/>
    <s v="Active"/>
    <x v="0"/>
    <n v="44700"/>
    <x v="23"/>
    <n v="84"/>
    <n v="7"/>
    <x v="5"/>
    <n v="1"/>
    <n v="5"/>
    <n v="14"/>
    <x v="2"/>
    <n v="3725"/>
    <n v="0.8"/>
    <s v="40-44"/>
    <x v="1"/>
  </r>
  <r>
    <x v="464"/>
    <x v="165"/>
    <x v="0"/>
    <n v="43"/>
    <x v="9"/>
    <x v="5"/>
    <x v="2"/>
    <x v="0"/>
    <x v="1"/>
    <x v="415"/>
    <s v="Active"/>
    <x v="0"/>
    <n v="101700"/>
    <x v="8"/>
    <n v="83.8"/>
    <n v="0"/>
    <x v="10"/>
    <n v="2"/>
    <n v="10"/>
    <n v="3"/>
    <x v="1"/>
    <n v="8475"/>
    <n v="0.5"/>
    <s v="40-44"/>
    <x v="1"/>
  </r>
  <r>
    <x v="465"/>
    <x v="161"/>
    <x v="0"/>
    <n v="29"/>
    <x v="13"/>
    <x v="0"/>
    <x v="3"/>
    <x v="2"/>
    <x v="3"/>
    <x v="416"/>
    <s v="Active"/>
    <x v="1"/>
    <n v="60200"/>
    <x v="9"/>
    <n v="87.6"/>
    <n v="2"/>
    <x v="8"/>
    <n v="1"/>
    <n v="6"/>
    <n v="16"/>
    <x v="3"/>
    <n v="5017"/>
    <n v="6.1"/>
    <s v="25-29"/>
    <x v="3"/>
  </r>
  <r>
    <x v="466"/>
    <x v="105"/>
    <x v="1"/>
    <n v="41"/>
    <x v="4"/>
    <x v="5"/>
    <x v="2"/>
    <x v="0"/>
    <x v="2"/>
    <x v="417"/>
    <s v="Active"/>
    <x v="1"/>
    <n v="92000"/>
    <x v="14"/>
    <n v="87.8"/>
    <n v="4"/>
    <x v="4"/>
    <n v="2"/>
    <n v="9"/>
    <n v="18"/>
    <x v="6"/>
    <n v="7667"/>
    <n v="6.1"/>
    <s v="40-44"/>
    <x v="2"/>
  </r>
  <r>
    <x v="467"/>
    <x v="201"/>
    <x v="1"/>
    <n v="29"/>
    <x v="14"/>
    <x v="5"/>
    <x v="3"/>
    <x v="0"/>
    <x v="4"/>
    <x v="418"/>
    <s v="Active"/>
    <x v="1"/>
    <n v="55700"/>
    <x v="0"/>
    <n v="95.8"/>
    <n v="6"/>
    <x v="3"/>
    <n v="3"/>
    <n v="11"/>
    <n v="30"/>
    <x v="0"/>
    <n v="4642"/>
    <n v="2.1"/>
    <s v="25-29"/>
    <x v="1"/>
  </r>
  <r>
    <x v="468"/>
    <x v="173"/>
    <x v="1"/>
    <n v="23"/>
    <x v="5"/>
    <x v="1"/>
    <x v="1"/>
    <x v="0"/>
    <x v="6"/>
    <x v="419"/>
    <s v="Active"/>
    <x v="1"/>
    <n v="28900"/>
    <x v="2"/>
    <n v="88.9"/>
    <n v="7"/>
    <x v="10"/>
    <n v="2"/>
    <n v="20"/>
    <n v="2"/>
    <x v="3"/>
    <n v="2408"/>
    <n v="7.5"/>
    <s v="20-24"/>
    <x v="3"/>
  </r>
  <r>
    <x v="469"/>
    <x v="53"/>
    <x v="0"/>
    <n v="27"/>
    <x v="0"/>
    <x v="0"/>
    <x v="5"/>
    <x v="0"/>
    <x v="4"/>
    <x v="420"/>
    <s v="Resigned"/>
    <x v="1"/>
    <n v="26800"/>
    <x v="9"/>
    <n v="85.1"/>
    <n v="0"/>
    <x v="12"/>
    <n v="3"/>
    <n v="21"/>
    <n v="15"/>
    <x v="0"/>
    <n v="2233"/>
    <n v="4.2"/>
    <s v="25-29"/>
    <x v="1"/>
  </r>
  <r>
    <x v="470"/>
    <x v="174"/>
    <x v="0"/>
    <n v="26"/>
    <x v="6"/>
    <x v="6"/>
    <x v="1"/>
    <x v="0"/>
    <x v="1"/>
    <x v="421"/>
    <s v="Active"/>
    <x v="2"/>
    <n v="38100"/>
    <x v="15"/>
    <n v="93"/>
    <n v="4"/>
    <x v="9"/>
    <n v="0"/>
    <n v="27"/>
    <n v="2"/>
    <x v="4"/>
    <n v="3175"/>
    <n v="6.9"/>
    <s v="25-29"/>
    <x v="1"/>
  </r>
  <r>
    <x v="471"/>
    <x v="202"/>
    <x v="0"/>
    <n v="45"/>
    <x v="10"/>
    <x v="0"/>
    <x v="2"/>
    <x v="0"/>
    <x v="0"/>
    <x v="422"/>
    <s v="Active"/>
    <x v="1"/>
    <n v="66700"/>
    <x v="21"/>
    <n v="87.2"/>
    <n v="2"/>
    <x v="2"/>
    <n v="4"/>
    <n v="5"/>
    <n v="25"/>
    <x v="0"/>
    <n v="5558"/>
    <n v="0"/>
    <s v="45+"/>
    <x v="1"/>
  </r>
  <r>
    <x v="472"/>
    <x v="14"/>
    <x v="0"/>
    <n v="34"/>
    <x v="11"/>
    <x v="3"/>
    <x v="4"/>
    <x v="0"/>
    <x v="6"/>
    <x v="423"/>
    <s v="Active"/>
    <x v="1"/>
    <n v="126500"/>
    <x v="28"/>
    <n v="85.5"/>
    <n v="6"/>
    <x v="0"/>
    <n v="3"/>
    <n v="5"/>
    <n v="23"/>
    <x v="1"/>
    <n v="10542"/>
    <n v="5.2"/>
    <s v="30-34"/>
    <x v="1"/>
  </r>
  <r>
    <x v="473"/>
    <x v="8"/>
    <x v="1"/>
    <n v="27"/>
    <x v="11"/>
    <x v="3"/>
    <x v="3"/>
    <x v="1"/>
    <x v="3"/>
    <x v="424"/>
    <s v="Active"/>
    <x v="1"/>
    <n v="69200"/>
    <x v="18"/>
    <n v="96.3"/>
    <n v="5"/>
    <x v="3"/>
    <n v="2"/>
    <n v="24"/>
    <n v="26"/>
    <x v="1"/>
    <n v="5767"/>
    <n v="3.4"/>
    <s v="25-29"/>
    <x v="2"/>
  </r>
  <r>
    <x v="474"/>
    <x v="23"/>
    <x v="1"/>
    <n v="48"/>
    <x v="6"/>
    <x v="6"/>
    <x v="3"/>
    <x v="0"/>
    <x v="1"/>
    <x v="425"/>
    <s v="Resigned"/>
    <x v="0"/>
    <n v="55900"/>
    <x v="22"/>
    <n v="97.5"/>
    <n v="0"/>
    <x v="13"/>
    <n v="0"/>
    <n v="29"/>
    <n v="29"/>
    <x v="3"/>
    <n v="4658"/>
    <n v="1.2"/>
    <s v="45+"/>
    <x v="2"/>
  </r>
  <r>
    <x v="475"/>
    <x v="55"/>
    <x v="1"/>
    <n v="29"/>
    <x v="5"/>
    <x v="4"/>
    <x v="1"/>
    <x v="1"/>
    <x v="1"/>
    <x v="194"/>
    <s v="Active"/>
    <x v="0"/>
    <n v="28000"/>
    <x v="1"/>
    <n v="95.9"/>
    <n v="1"/>
    <x v="15"/>
    <n v="3"/>
    <n v="3"/>
    <n v="12"/>
    <x v="0"/>
    <n v="2333"/>
    <n v="4.9000000000000004"/>
    <s v="25-29"/>
    <x v="1"/>
  </r>
  <r>
    <x v="476"/>
    <x v="203"/>
    <x v="0"/>
    <n v="26"/>
    <x v="11"/>
    <x v="4"/>
    <x v="2"/>
    <x v="0"/>
    <x v="3"/>
    <x v="426"/>
    <s v="Active"/>
    <x v="1"/>
    <n v="62000"/>
    <x v="2"/>
    <n v="86.8"/>
    <n v="4"/>
    <x v="6"/>
    <n v="2"/>
    <n v="1"/>
    <n v="4"/>
    <x v="0"/>
    <n v="5167"/>
    <n v="1"/>
    <s v="25-29"/>
    <x v="1"/>
  </r>
  <r>
    <x v="477"/>
    <x v="204"/>
    <x v="1"/>
    <n v="49"/>
    <x v="0"/>
    <x v="1"/>
    <x v="1"/>
    <x v="0"/>
    <x v="2"/>
    <x v="427"/>
    <s v="Active"/>
    <x v="1"/>
    <n v="37200"/>
    <x v="22"/>
    <n v="88.1"/>
    <n v="4"/>
    <x v="0"/>
    <n v="3"/>
    <n v="24"/>
    <n v="14"/>
    <x v="5"/>
    <n v="3100"/>
    <n v="3.9"/>
    <s v="45+"/>
    <x v="3"/>
  </r>
  <r>
    <x v="478"/>
    <x v="191"/>
    <x v="0"/>
    <n v="38"/>
    <x v="8"/>
    <x v="2"/>
    <x v="2"/>
    <x v="0"/>
    <x v="3"/>
    <x v="428"/>
    <s v="Active"/>
    <x v="1"/>
    <n v="69700"/>
    <x v="16"/>
    <n v="93.7"/>
    <n v="0"/>
    <x v="2"/>
    <n v="3"/>
    <n v="25"/>
    <n v="24"/>
    <x v="2"/>
    <n v="5808"/>
    <n v="2.1"/>
    <s v="35-39"/>
    <x v="3"/>
  </r>
  <r>
    <x v="479"/>
    <x v="80"/>
    <x v="0"/>
    <n v="22"/>
    <x v="4"/>
    <x v="1"/>
    <x v="4"/>
    <x v="0"/>
    <x v="4"/>
    <x v="429"/>
    <s v="Active"/>
    <x v="1"/>
    <n v="131500"/>
    <x v="30"/>
    <n v="94.7"/>
    <n v="3"/>
    <x v="11"/>
    <n v="1"/>
    <n v="6"/>
    <n v="23"/>
    <x v="1"/>
    <n v="10958"/>
    <n v="3.7"/>
    <s v="20-24"/>
    <x v="3"/>
  </r>
  <r>
    <x v="480"/>
    <x v="53"/>
    <x v="0"/>
    <n v="28"/>
    <x v="5"/>
    <x v="3"/>
    <x v="1"/>
    <x v="0"/>
    <x v="2"/>
    <x v="39"/>
    <s v="Active"/>
    <x v="0"/>
    <n v="43800"/>
    <x v="9"/>
    <n v="89.9"/>
    <n v="8"/>
    <x v="3"/>
    <n v="2"/>
    <n v="20"/>
    <n v="10"/>
    <x v="4"/>
    <n v="3650"/>
    <n v="5.0999999999999996"/>
    <s v="25-29"/>
    <x v="0"/>
  </r>
  <r>
    <x v="481"/>
    <x v="107"/>
    <x v="0"/>
    <n v="35"/>
    <x v="0"/>
    <x v="3"/>
    <x v="2"/>
    <x v="0"/>
    <x v="5"/>
    <x v="430"/>
    <s v="Active"/>
    <x v="2"/>
    <n v="96500"/>
    <x v="28"/>
    <n v="97"/>
    <n v="8"/>
    <x v="10"/>
    <n v="4"/>
    <n v="21"/>
    <n v="16"/>
    <x v="4"/>
    <n v="8042"/>
    <n v="6.3"/>
    <s v="35-39"/>
    <x v="1"/>
  </r>
  <r>
    <x v="482"/>
    <x v="33"/>
    <x v="1"/>
    <n v="33"/>
    <x v="3"/>
    <x v="4"/>
    <x v="5"/>
    <x v="0"/>
    <x v="6"/>
    <x v="431"/>
    <s v="Active"/>
    <x v="0"/>
    <n v="20600"/>
    <x v="13"/>
    <n v="80.8"/>
    <n v="4"/>
    <x v="12"/>
    <n v="3"/>
    <n v="26"/>
    <n v="10"/>
    <x v="0"/>
    <n v="1717"/>
    <n v="4.0999999999999996"/>
    <s v="30-34"/>
    <x v="1"/>
  </r>
  <r>
    <x v="483"/>
    <x v="102"/>
    <x v="0"/>
    <n v="26"/>
    <x v="6"/>
    <x v="6"/>
    <x v="3"/>
    <x v="0"/>
    <x v="5"/>
    <x v="432"/>
    <s v="Active"/>
    <x v="1"/>
    <n v="58100"/>
    <x v="0"/>
    <n v="88.1"/>
    <n v="6"/>
    <x v="3"/>
    <n v="0"/>
    <n v="6"/>
    <n v="28"/>
    <x v="0"/>
    <n v="4842"/>
    <n v="5.2"/>
    <s v="25-29"/>
    <x v="2"/>
  </r>
  <r>
    <x v="484"/>
    <x v="205"/>
    <x v="0"/>
    <n v="31"/>
    <x v="10"/>
    <x v="5"/>
    <x v="1"/>
    <x v="0"/>
    <x v="2"/>
    <x v="433"/>
    <s v="Active"/>
    <x v="1"/>
    <n v="44700"/>
    <x v="27"/>
    <n v="100"/>
    <n v="1"/>
    <x v="1"/>
    <n v="2"/>
    <n v="20"/>
    <n v="26"/>
    <x v="0"/>
    <n v="3725"/>
    <n v="3.8"/>
    <s v="30-34"/>
    <x v="1"/>
  </r>
  <r>
    <x v="485"/>
    <x v="10"/>
    <x v="1"/>
    <n v="20"/>
    <x v="5"/>
    <x v="0"/>
    <x v="3"/>
    <x v="0"/>
    <x v="6"/>
    <x v="434"/>
    <s v="Active"/>
    <x v="0"/>
    <n v="48100"/>
    <x v="5"/>
    <n v="90.9"/>
    <n v="0"/>
    <x v="12"/>
    <n v="4"/>
    <n v="20"/>
    <n v="8"/>
    <x v="4"/>
    <n v="4008"/>
    <n v="1.6"/>
    <s v="20-24"/>
    <x v="1"/>
  </r>
  <r>
    <x v="486"/>
    <x v="44"/>
    <x v="0"/>
    <n v="35"/>
    <x v="3"/>
    <x v="1"/>
    <x v="1"/>
    <x v="0"/>
    <x v="0"/>
    <x v="435"/>
    <s v="On Leave"/>
    <x v="1"/>
    <n v="32200"/>
    <x v="28"/>
    <n v="88.6"/>
    <n v="1"/>
    <x v="0"/>
    <n v="2"/>
    <n v="21"/>
    <n v="26"/>
    <x v="4"/>
    <n v="2683"/>
    <n v="5.0999999999999996"/>
    <s v="35-39"/>
    <x v="1"/>
  </r>
  <r>
    <x v="487"/>
    <x v="88"/>
    <x v="0"/>
    <n v="22"/>
    <x v="14"/>
    <x v="0"/>
    <x v="3"/>
    <x v="0"/>
    <x v="1"/>
    <x v="436"/>
    <s v="Active"/>
    <x v="1"/>
    <n v="58800"/>
    <x v="10"/>
    <n v="93.4"/>
    <n v="3"/>
    <x v="8"/>
    <n v="4"/>
    <n v="23"/>
    <n v="8"/>
    <x v="6"/>
    <n v="4900"/>
    <n v="2.5"/>
    <s v="20-24"/>
    <x v="3"/>
  </r>
  <r>
    <x v="488"/>
    <x v="106"/>
    <x v="1"/>
    <n v="46"/>
    <x v="3"/>
    <x v="3"/>
    <x v="3"/>
    <x v="0"/>
    <x v="3"/>
    <x v="437"/>
    <s v="Active"/>
    <x v="0"/>
    <n v="62900"/>
    <x v="8"/>
    <n v="86.2"/>
    <n v="5"/>
    <x v="6"/>
    <n v="4"/>
    <n v="28"/>
    <n v="26"/>
    <x v="3"/>
    <n v="5242"/>
    <n v="6.6"/>
    <s v="45+"/>
    <x v="1"/>
  </r>
  <r>
    <x v="489"/>
    <x v="70"/>
    <x v="0"/>
    <n v="20"/>
    <x v="8"/>
    <x v="5"/>
    <x v="3"/>
    <x v="0"/>
    <x v="6"/>
    <x v="438"/>
    <s v="Active"/>
    <x v="1"/>
    <n v="62800"/>
    <x v="10"/>
    <n v="79.3"/>
    <n v="2"/>
    <x v="6"/>
    <n v="3"/>
    <n v="1"/>
    <n v="3"/>
    <x v="4"/>
    <n v="5233"/>
    <n v="7.6"/>
    <s v="20-24"/>
    <x v="1"/>
  </r>
  <r>
    <x v="490"/>
    <x v="122"/>
    <x v="1"/>
    <n v="25"/>
    <x v="5"/>
    <x v="1"/>
    <x v="2"/>
    <x v="0"/>
    <x v="2"/>
    <x v="439"/>
    <s v="Active"/>
    <x v="1"/>
    <n v="71700"/>
    <x v="30"/>
    <n v="100"/>
    <n v="1"/>
    <x v="4"/>
    <n v="1"/>
    <n v="30"/>
    <n v="3"/>
    <x v="6"/>
    <n v="5975"/>
    <n v="0.4"/>
    <s v="25-29"/>
    <x v="3"/>
  </r>
  <r>
    <x v="491"/>
    <x v="18"/>
    <x v="0"/>
    <n v="48"/>
    <x v="12"/>
    <x v="2"/>
    <x v="0"/>
    <x v="0"/>
    <x v="6"/>
    <x v="440"/>
    <s v="Active"/>
    <x v="0"/>
    <n v="77700"/>
    <x v="26"/>
    <n v="86.7"/>
    <n v="6"/>
    <x v="2"/>
    <n v="2"/>
    <n v="26"/>
    <n v="24"/>
    <x v="3"/>
    <n v="6475"/>
    <n v="3.2"/>
    <s v="45+"/>
    <x v="2"/>
  </r>
  <r>
    <x v="492"/>
    <x v="95"/>
    <x v="1"/>
    <n v="21"/>
    <x v="11"/>
    <x v="2"/>
    <x v="3"/>
    <x v="0"/>
    <x v="3"/>
    <x v="441"/>
    <s v="On Leave"/>
    <x v="0"/>
    <n v="40000"/>
    <x v="5"/>
    <n v="92.1"/>
    <n v="7"/>
    <x v="14"/>
    <n v="0"/>
    <n v="9"/>
    <n v="27"/>
    <x v="3"/>
    <n v="3333"/>
    <n v="3.7"/>
    <s v="20-24"/>
    <x v="3"/>
  </r>
  <r>
    <x v="493"/>
    <x v="139"/>
    <x v="0"/>
    <n v="26"/>
    <x v="7"/>
    <x v="4"/>
    <x v="1"/>
    <x v="1"/>
    <x v="1"/>
    <x v="442"/>
    <s v="Active"/>
    <x v="0"/>
    <n v="29700"/>
    <x v="30"/>
    <n v="91.9"/>
    <n v="8"/>
    <x v="3"/>
    <n v="0"/>
    <n v="24"/>
    <n v="23"/>
    <x v="0"/>
    <n v="2475"/>
    <n v="7.1"/>
    <s v="25-29"/>
    <x v="1"/>
  </r>
  <r>
    <x v="494"/>
    <x v="192"/>
    <x v="0"/>
    <n v="27"/>
    <x v="4"/>
    <x v="3"/>
    <x v="3"/>
    <x v="0"/>
    <x v="3"/>
    <x v="443"/>
    <s v="Active"/>
    <x v="2"/>
    <n v="65100"/>
    <x v="2"/>
    <n v="93.5"/>
    <n v="7"/>
    <x v="14"/>
    <n v="1"/>
    <n v="13"/>
    <n v="23"/>
    <x v="6"/>
    <n v="5425"/>
    <n v="8.5"/>
    <s v="25-29"/>
    <x v="0"/>
  </r>
  <r>
    <x v="495"/>
    <x v="147"/>
    <x v="1"/>
    <n v="50"/>
    <x v="0"/>
    <x v="6"/>
    <x v="0"/>
    <x v="2"/>
    <x v="7"/>
    <x v="444"/>
    <s v="Active"/>
    <x v="1"/>
    <n v="100300"/>
    <x v="31"/>
    <n v="87"/>
    <n v="1"/>
    <x v="4"/>
    <n v="0"/>
    <n v="25"/>
    <n v="22"/>
    <x v="5"/>
    <n v="8358"/>
    <n v="0.2"/>
    <s v="45+"/>
    <x v="3"/>
  </r>
  <r>
    <x v="496"/>
    <x v="206"/>
    <x v="1"/>
    <n v="32"/>
    <x v="14"/>
    <x v="1"/>
    <x v="2"/>
    <x v="0"/>
    <x v="6"/>
    <x v="445"/>
    <s v="Active"/>
    <x v="2"/>
    <n v="78100"/>
    <x v="24"/>
    <n v="78.099999999999994"/>
    <n v="2"/>
    <x v="8"/>
    <n v="2"/>
    <n v="4"/>
    <n v="2"/>
    <x v="0"/>
    <n v="6508"/>
    <n v="7.7"/>
    <s v="30-34"/>
    <x v="2"/>
  </r>
  <r>
    <x v="497"/>
    <x v="207"/>
    <x v="1"/>
    <n v="48"/>
    <x v="13"/>
    <x v="5"/>
    <x v="3"/>
    <x v="3"/>
    <x v="3"/>
    <x v="446"/>
    <s v="Active"/>
    <x v="1"/>
    <n v="75100"/>
    <x v="21"/>
    <n v="87.7"/>
    <n v="0"/>
    <x v="14"/>
    <n v="0"/>
    <n v="19"/>
    <n v="24"/>
    <x v="1"/>
    <n v="6258"/>
    <n v="5.3"/>
    <s v="45+"/>
    <x v="3"/>
  </r>
  <r>
    <x v="498"/>
    <x v="104"/>
    <x v="1"/>
    <n v="35"/>
    <x v="13"/>
    <x v="1"/>
    <x v="1"/>
    <x v="0"/>
    <x v="2"/>
    <x v="331"/>
    <s v="Active"/>
    <x v="1"/>
    <n v="33100"/>
    <x v="24"/>
    <n v="91.2"/>
    <n v="0"/>
    <x v="3"/>
    <n v="2"/>
    <n v="7"/>
    <n v="19"/>
    <x v="1"/>
    <n v="2758"/>
    <n v="3.1"/>
    <s v="35-39"/>
    <x v="3"/>
  </r>
  <r>
    <x v="499"/>
    <x v="26"/>
    <x v="1"/>
    <n v="48"/>
    <x v="4"/>
    <x v="7"/>
    <x v="3"/>
    <x v="3"/>
    <x v="0"/>
    <x v="447"/>
    <s v="Active"/>
    <x v="2"/>
    <n v="39400"/>
    <x v="3"/>
    <n v="91.5"/>
    <n v="5"/>
    <x v="5"/>
    <n v="4"/>
    <n v="19"/>
    <n v="17"/>
    <x v="5"/>
    <n v="3283"/>
    <n v="7.6"/>
    <s v="45+"/>
    <x v="2"/>
  </r>
  <r>
    <x v="500"/>
    <x v="185"/>
    <x v="0"/>
    <n v="50"/>
    <x v="12"/>
    <x v="2"/>
    <x v="3"/>
    <x v="0"/>
    <x v="7"/>
    <x v="448"/>
    <s v="Active"/>
    <x v="1"/>
    <n v="41100"/>
    <x v="22"/>
    <n v="98.8"/>
    <n v="2"/>
    <x v="10"/>
    <n v="3"/>
    <n v="17"/>
    <n v="25"/>
    <x v="4"/>
    <n v="3425"/>
    <n v="3.8"/>
    <s v="45+"/>
    <x v="1"/>
  </r>
  <r>
    <x v="501"/>
    <x v="39"/>
    <x v="0"/>
    <n v="41"/>
    <x v="0"/>
    <x v="7"/>
    <x v="4"/>
    <x v="0"/>
    <x v="4"/>
    <x v="449"/>
    <s v="Active"/>
    <x v="1"/>
    <n v="73500"/>
    <x v="23"/>
    <n v="89.6"/>
    <n v="3"/>
    <x v="2"/>
    <n v="1"/>
    <n v="20"/>
    <n v="11"/>
    <x v="0"/>
    <n v="6125"/>
    <n v="5.3"/>
    <s v="40-44"/>
    <x v="1"/>
  </r>
  <r>
    <x v="502"/>
    <x v="73"/>
    <x v="0"/>
    <n v="40"/>
    <x v="8"/>
    <x v="6"/>
    <x v="0"/>
    <x v="0"/>
    <x v="0"/>
    <x v="450"/>
    <s v="Active"/>
    <x v="1"/>
    <n v="82400"/>
    <x v="14"/>
    <n v="92"/>
    <n v="7"/>
    <x v="8"/>
    <n v="1"/>
    <n v="4"/>
    <n v="24"/>
    <x v="6"/>
    <n v="6867"/>
    <n v="4.2"/>
    <s v="40-44"/>
    <x v="1"/>
  </r>
  <r>
    <x v="503"/>
    <x v="208"/>
    <x v="0"/>
    <n v="29"/>
    <x v="14"/>
    <x v="5"/>
    <x v="1"/>
    <x v="0"/>
    <x v="0"/>
    <x v="451"/>
    <s v="Active"/>
    <x v="1"/>
    <n v="45400"/>
    <x v="9"/>
    <n v="87"/>
    <n v="4"/>
    <x v="1"/>
    <n v="0"/>
    <n v="3"/>
    <n v="17"/>
    <x v="6"/>
    <n v="3783"/>
    <n v="1"/>
    <s v="25-29"/>
    <x v="3"/>
  </r>
  <r>
    <x v="504"/>
    <x v="78"/>
    <x v="1"/>
    <n v="23"/>
    <x v="6"/>
    <x v="5"/>
    <x v="3"/>
    <x v="1"/>
    <x v="1"/>
    <x v="452"/>
    <s v="Active"/>
    <x v="0"/>
    <n v="59800"/>
    <x v="30"/>
    <n v="88"/>
    <n v="5"/>
    <x v="8"/>
    <n v="2"/>
    <n v="18"/>
    <n v="29"/>
    <x v="5"/>
    <n v="4983"/>
    <n v="3.9"/>
    <s v="20-24"/>
    <x v="3"/>
  </r>
  <r>
    <x v="505"/>
    <x v="41"/>
    <x v="1"/>
    <n v="44"/>
    <x v="7"/>
    <x v="4"/>
    <x v="1"/>
    <x v="0"/>
    <x v="0"/>
    <x v="200"/>
    <s v="On Leave"/>
    <x v="0"/>
    <n v="29800"/>
    <x v="3"/>
    <n v="100"/>
    <n v="8"/>
    <x v="11"/>
    <n v="3"/>
    <n v="10"/>
    <n v="14"/>
    <x v="6"/>
    <n v="2483"/>
    <n v="7.9"/>
    <s v="40-44"/>
    <x v="2"/>
  </r>
  <r>
    <x v="506"/>
    <x v="4"/>
    <x v="0"/>
    <n v="43"/>
    <x v="0"/>
    <x v="2"/>
    <x v="3"/>
    <x v="3"/>
    <x v="0"/>
    <x v="453"/>
    <s v="Active"/>
    <x v="0"/>
    <n v="50000"/>
    <x v="11"/>
    <n v="87.4"/>
    <n v="1"/>
    <x v="12"/>
    <n v="0"/>
    <n v="4"/>
    <n v="3"/>
    <x v="6"/>
    <n v="4167"/>
    <n v="1.1000000000000001"/>
    <s v="40-44"/>
    <x v="1"/>
  </r>
  <r>
    <x v="507"/>
    <x v="62"/>
    <x v="1"/>
    <n v="40"/>
    <x v="6"/>
    <x v="7"/>
    <x v="0"/>
    <x v="0"/>
    <x v="3"/>
    <x v="454"/>
    <s v="Active"/>
    <x v="1"/>
    <n v="64500"/>
    <x v="11"/>
    <n v="89.1"/>
    <n v="2"/>
    <x v="9"/>
    <n v="3"/>
    <n v="15"/>
    <n v="3"/>
    <x v="4"/>
    <n v="5375"/>
    <n v="3.6"/>
    <s v="40-44"/>
    <x v="1"/>
  </r>
  <r>
    <x v="508"/>
    <x v="85"/>
    <x v="0"/>
    <n v="32"/>
    <x v="10"/>
    <x v="0"/>
    <x v="3"/>
    <x v="0"/>
    <x v="5"/>
    <x v="455"/>
    <s v="Active"/>
    <x v="0"/>
    <n v="53800"/>
    <x v="1"/>
    <n v="96.4"/>
    <n v="4"/>
    <x v="12"/>
    <n v="2"/>
    <n v="8"/>
    <n v="11"/>
    <x v="4"/>
    <n v="4483"/>
    <n v="0.5"/>
    <s v="30-34"/>
    <x v="2"/>
  </r>
  <r>
    <x v="509"/>
    <x v="209"/>
    <x v="0"/>
    <n v="36"/>
    <x v="0"/>
    <x v="6"/>
    <x v="3"/>
    <x v="0"/>
    <x v="7"/>
    <x v="109"/>
    <s v="Active"/>
    <x v="1"/>
    <n v="49300"/>
    <x v="12"/>
    <n v="100"/>
    <n v="1"/>
    <x v="15"/>
    <n v="0"/>
    <n v="24"/>
    <n v="25"/>
    <x v="6"/>
    <n v="4108"/>
    <n v="1"/>
    <s v="35-39"/>
    <x v="3"/>
  </r>
  <r>
    <x v="510"/>
    <x v="143"/>
    <x v="1"/>
    <n v="27"/>
    <x v="6"/>
    <x v="1"/>
    <x v="1"/>
    <x v="3"/>
    <x v="7"/>
    <x v="456"/>
    <s v="Active"/>
    <x v="1"/>
    <n v="30400"/>
    <x v="9"/>
    <n v="95.1"/>
    <n v="7"/>
    <x v="15"/>
    <n v="0"/>
    <n v="24"/>
    <n v="29"/>
    <x v="2"/>
    <n v="2533"/>
    <n v="0.2"/>
    <s v="25-29"/>
    <x v="1"/>
  </r>
  <r>
    <x v="511"/>
    <x v="165"/>
    <x v="0"/>
    <n v="27"/>
    <x v="8"/>
    <x v="1"/>
    <x v="0"/>
    <x v="0"/>
    <x v="3"/>
    <x v="457"/>
    <s v="Active"/>
    <x v="1"/>
    <n v="77600"/>
    <x v="0"/>
    <n v="95.1"/>
    <n v="1"/>
    <x v="6"/>
    <n v="3"/>
    <n v="5"/>
    <n v="13"/>
    <x v="2"/>
    <n v="6467"/>
    <n v="8.1999999999999993"/>
    <s v="25-29"/>
    <x v="1"/>
  </r>
  <r>
    <x v="512"/>
    <x v="87"/>
    <x v="1"/>
    <n v="42"/>
    <x v="2"/>
    <x v="0"/>
    <x v="2"/>
    <x v="0"/>
    <x v="2"/>
    <x v="458"/>
    <s v="Active"/>
    <x v="2"/>
    <n v="70000"/>
    <x v="23"/>
    <n v="84.7"/>
    <n v="3"/>
    <x v="8"/>
    <n v="0"/>
    <n v="7"/>
    <n v="6"/>
    <x v="1"/>
    <n v="5833"/>
    <n v="0.5"/>
    <s v="40-44"/>
    <x v="1"/>
  </r>
  <r>
    <x v="513"/>
    <x v="98"/>
    <x v="1"/>
    <n v="26"/>
    <x v="3"/>
    <x v="5"/>
    <x v="3"/>
    <x v="0"/>
    <x v="7"/>
    <x v="459"/>
    <s v="Active"/>
    <x v="0"/>
    <n v="56500"/>
    <x v="15"/>
    <n v="93.6"/>
    <n v="2"/>
    <x v="5"/>
    <n v="3"/>
    <n v="0"/>
    <n v="9"/>
    <x v="6"/>
    <n v="4708"/>
    <n v="4.8"/>
    <s v="25-29"/>
    <x v="2"/>
  </r>
  <r>
    <x v="514"/>
    <x v="55"/>
    <x v="1"/>
    <n v="43"/>
    <x v="11"/>
    <x v="5"/>
    <x v="1"/>
    <x v="0"/>
    <x v="7"/>
    <x v="460"/>
    <s v="Active"/>
    <x v="1"/>
    <n v="48000"/>
    <x v="25"/>
    <n v="89.5"/>
    <n v="3"/>
    <x v="15"/>
    <n v="2"/>
    <n v="30"/>
    <n v="18"/>
    <x v="5"/>
    <n v="4000"/>
    <n v="2.8"/>
    <s v="40-44"/>
    <x v="3"/>
  </r>
  <r>
    <x v="515"/>
    <x v="110"/>
    <x v="1"/>
    <n v="20"/>
    <x v="10"/>
    <x v="5"/>
    <x v="3"/>
    <x v="2"/>
    <x v="5"/>
    <x v="461"/>
    <s v="Active"/>
    <x v="1"/>
    <n v="72300"/>
    <x v="5"/>
    <n v="93.4"/>
    <n v="3"/>
    <x v="5"/>
    <n v="3"/>
    <n v="0"/>
    <n v="10"/>
    <x v="4"/>
    <n v="6025"/>
    <n v="5.6"/>
    <s v="20-24"/>
    <x v="3"/>
  </r>
  <r>
    <x v="516"/>
    <x v="63"/>
    <x v="0"/>
    <n v="34"/>
    <x v="7"/>
    <x v="5"/>
    <x v="4"/>
    <x v="0"/>
    <x v="7"/>
    <x v="462"/>
    <s v="Active"/>
    <x v="0"/>
    <n v="147000"/>
    <x v="12"/>
    <n v="89.6"/>
    <n v="5"/>
    <x v="1"/>
    <n v="2"/>
    <n v="22"/>
    <n v="25"/>
    <x v="0"/>
    <n v="12250"/>
    <n v="4.0999999999999996"/>
    <s v="30-34"/>
    <x v="3"/>
  </r>
  <r>
    <x v="517"/>
    <x v="201"/>
    <x v="0"/>
    <n v="34"/>
    <x v="2"/>
    <x v="5"/>
    <x v="3"/>
    <x v="0"/>
    <x v="5"/>
    <x v="463"/>
    <s v="Active"/>
    <x v="1"/>
    <n v="63600"/>
    <x v="12"/>
    <n v="88.1"/>
    <n v="8"/>
    <x v="15"/>
    <n v="2"/>
    <n v="27"/>
    <n v="23"/>
    <x v="2"/>
    <n v="5300"/>
    <n v="3.4"/>
    <s v="30-34"/>
    <x v="3"/>
  </r>
  <r>
    <x v="518"/>
    <x v="210"/>
    <x v="1"/>
    <n v="47"/>
    <x v="3"/>
    <x v="2"/>
    <x v="3"/>
    <x v="0"/>
    <x v="1"/>
    <x v="150"/>
    <s v="Active"/>
    <x v="2"/>
    <n v="52600"/>
    <x v="22"/>
    <n v="83.7"/>
    <n v="2"/>
    <x v="12"/>
    <n v="4"/>
    <n v="4"/>
    <n v="16"/>
    <x v="0"/>
    <n v="4383"/>
    <n v="3.9"/>
    <s v="45+"/>
    <x v="1"/>
  </r>
  <r>
    <x v="519"/>
    <x v="211"/>
    <x v="0"/>
    <n v="38"/>
    <x v="0"/>
    <x v="4"/>
    <x v="3"/>
    <x v="1"/>
    <x v="5"/>
    <x v="464"/>
    <s v="Active"/>
    <x v="1"/>
    <n v="41600"/>
    <x v="16"/>
    <n v="90.6"/>
    <n v="0"/>
    <x v="7"/>
    <n v="3"/>
    <n v="17"/>
    <n v="14"/>
    <x v="4"/>
    <n v="3467"/>
    <n v="5.5"/>
    <s v="35-39"/>
    <x v="2"/>
  </r>
  <r>
    <x v="520"/>
    <x v="212"/>
    <x v="1"/>
    <n v="23"/>
    <x v="2"/>
    <x v="3"/>
    <x v="2"/>
    <x v="0"/>
    <x v="7"/>
    <x v="465"/>
    <s v="Active"/>
    <x v="0"/>
    <n v="80000"/>
    <x v="20"/>
    <n v="91.9"/>
    <n v="7"/>
    <x v="0"/>
    <n v="1"/>
    <n v="3"/>
    <n v="15"/>
    <x v="6"/>
    <n v="6667"/>
    <n v="2.4"/>
    <s v="20-24"/>
    <x v="1"/>
  </r>
  <r>
    <x v="521"/>
    <x v="97"/>
    <x v="0"/>
    <n v="46"/>
    <x v="3"/>
    <x v="5"/>
    <x v="3"/>
    <x v="0"/>
    <x v="2"/>
    <x v="466"/>
    <s v="Active"/>
    <x v="0"/>
    <n v="66000"/>
    <x v="7"/>
    <n v="80.599999999999994"/>
    <n v="6"/>
    <x v="6"/>
    <n v="4"/>
    <n v="15"/>
    <n v="9"/>
    <x v="4"/>
    <n v="5500"/>
    <n v="4.4000000000000004"/>
    <s v="45+"/>
    <x v="1"/>
  </r>
  <r>
    <x v="522"/>
    <x v="191"/>
    <x v="1"/>
    <n v="25"/>
    <x v="13"/>
    <x v="4"/>
    <x v="1"/>
    <x v="0"/>
    <x v="7"/>
    <x v="467"/>
    <s v="On Leave"/>
    <x v="0"/>
    <n v="33500"/>
    <x v="2"/>
    <n v="87.9"/>
    <n v="1"/>
    <x v="5"/>
    <n v="4"/>
    <n v="19"/>
    <n v="18"/>
    <x v="1"/>
    <n v="2792"/>
    <n v="8.3000000000000007"/>
    <s v="25-29"/>
    <x v="3"/>
  </r>
  <r>
    <x v="523"/>
    <x v="83"/>
    <x v="1"/>
    <n v="29"/>
    <x v="2"/>
    <x v="4"/>
    <x v="2"/>
    <x v="0"/>
    <x v="4"/>
    <x v="468"/>
    <s v="Active"/>
    <x v="0"/>
    <n v="68400"/>
    <x v="27"/>
    <n v="89.7"/>
    <n v="4"/>
    <x v="3"/>
    <n v="3"/>
    <n v="21"/>
    <n v="12"/>
    <x v="0"/>
    <n v="5700"/>
    <n v="0.6"/>
    <s v="25-29"/>
    <x v="1"/>
  </r>
  <r>
    <x v="524"/>
    <x v="33"/>
    <x v="1"/>
    <n v="50"/>
    <x v="1"/>
    <x v="5"/>
    <x v="2"/>
    <x v="0"/>
    <x v="2"/>
    <x v="469"/>
    <s v="Active"/>
    <x v="1"/>
    <n v="102300"/>
    <x v="26"/>
    <n v="93.9"/>
    <n v="3"/>
    <x v="11"/>
    <n v="4"/>
    <n v="23"/>
    <n v="9"/>
    <x v="1"/>
    <n v="8525"/>
    <n v="0.9"/>
    <s v="45+"/>
    <x v="2"/>
  </r>
  <r>
    <x v="525"/>
    <x v="190"/>
    <x v="1"/>
    <n v="31"/>
    <x v="6"/>
    <x v="7"/>
    <x v="2"/>
    <x v="0"/>
    <x v="7"/>
    <x v="470"/>
    <s v="Active"/>
    <x v="1"/>
    <n v="45300"/>
    <x v="18"/>
    <n v="88.1"/>
    <n v="8"/>
    <x v="5"/>
    <n v="4"/>
    <n v="28"/>
    <n v="15"/>
    <x v="2"/>
    <n v="3775"/>
    <n v="1.1000000000000001"/>
    <s v="30-34"/>
    <x v="1"/>
  </r>
  <r>
    <x v="526"/>
    <x v="121"/>
    <x v="0"/>
    <n v="45"/>
    <x v="7"/>
    <x v="5"/>
    <x v="0"/>
    <x v="3"/>
    <x v="6"/>
    <x v="471"/>
    <s v="Active"/>
    <x v="0"/>
    <n v="119200"/>
    <x v="7"/>
    <n v="94.1"/>
    <n v="3"/>
    <x v="13"/>
    <n v="0"/>
    <n v="18"/>
    <n v="2"/>
    <x v="6"/>
    <n v="9933"/>
    <n v="6.1"/>
    <s v="45+"/>
    <x v="2"/>
  </r>
  <r>
    <x v="527"/>
    <x v="5"/>
    <x v="0"/>
    <n v="44"/>
    <x v="11"/>
    <x v="3"/>
    <x v="3"/>
    <x v="3"/>
    <x v="4"/>
    <x v="472"/>
    <s v="Active"/>
    <x v="2"/>
    <n v="57600"/>
    <x v="8"/>
    <n v="92.4"/>
    <n v="4"/>
    <x v="8"/>
    <n v="2"/>
    <n v="27"/>
    <n v="13"/>
    <x v="6"/>
    <n v="4800"/>
    <n v="5.0999999999999996"/>
    <s v="40-44"/>
    <x v="2"/>
  </r>
  <r>
    <x v="528"/>
    <x v="83"/>
    <x v="1"/>
    <n v="23"/>
    <x v="10"/>
    <x v="3"/>
    <x v="1"/>
    <x v="0"/>
    <x v="2"/>
    <x v="473"/>
    <s v="Active"/>
    <x v="1"/>
    <n v="47800"/>
    <x v="30"/>
    <n v="95.3"/>
    <n v="7"/>
    <x v="6"/>
    <n v="1"/>
    <n v="27"/>
    <n v="21"/>
    <x v="6"/>
    <n v="3983"/>
    <n v="2.2000000000000002"/>
    <s v="20-24"/>
    <x v="2"/>
  </r>
  <r>
    <x v="529"/>
    <x v="213"/>
    <x v="1"/>
    <n v="25"/>
    <x v="3"/>
    <x v="6"/>
    <x v="4"/>
    <x v="0"/>
    <x v="6"/>
    <x v="14"/>
    <s v="Active"/>
    <x v="2"/>
    <n v="133700"/>
    <x v="9"/>
    <n v="88.4"/>
    <n v="2"/>
    <x v="5"/>
    <n v="3"/>
    <n v="29"/>
    <n v="11"/>
    <x v="4"/>
    <n v="11142"/>
    <n v="1.8"/>
    <s v="25-29"/>
    <x v="2"/>
  </r>
  <r>
    <x v="530"/>
    <x v="214"/>
    <x v="1"/>
    <n v="44"/>
    <x v="0"/>
    <x v="6"/>
    <x v="3"/>
    <x v="0"/>
    <x v="6"/>
    <x v="474"/>
    <s v="Active"/>
    <x v="0"/>
    <n v="47100"/>
    <x v="23"/>
    <n v="89.6"/>
    <n v="5"/>
    <x v="12"/>
    <n v="0"/>
    <n v="6"/>
    <n v="13"/>
    <x v="5"/>
    <n v="3925"/>
    <n v="7.6"/>
    <s v="40-44"/>
    <x v="2"/>
  </r>
  <r>
    <x v="531"/>
    <x v="69"/>
    <x v="0"/>
    <n v="33"/>
    <x v="1"/>
    <x v="2"/>
    <x v="2"/>
    <x v="0"/>
    <x v="3"/>
    <x v="475"/>
    <s v="Active"/>
    <x v="0"/>
    <n v="60100"/>
    <x v="13"/>
    <n v="93.9"/>
    <n v="5"/>
    <x v="5"/>
    <n v="1"/>
    <n v="14"/>
    <n v="20"/>
    <x v="2"/>
    <n v="5008"/>
    <n v="0.2"/>
    <s v="30-34"/>
    <x v="3"/>
  </r>
  <r>
    <x v="532"/>
    <x v="215"/>
    <x v="1"/>
    <n v="49"/>
    <x v="2"/>
    <x v="4"/>
    <x v="2"/>
    <x v="0"/>
    <x v="6"/>
    <x v="476"/>
    <s v="Active"/>
    <x v="0"/>
    <n v="60900"/>
    <x v="29"/>
    <n v="85.9"/>
    <n v="6"/>
    <x v="8"/>
    <n v="1"/>
    <n v="17"/>
    <n v="28"/>
    <x v="3"/>
    <n v="5075"/>
    <n v="3.7"/>
    <s v="45+"/>
    <x v="1"/>
  </r>
  <r>
    <x v="533"/>
    <x v="193"/>
    <x v="1"/>
    <n v="32"/>
    <x v="14"/>
    <x v="2"/>
    <x v="3"/>
    <x v="0"/>
    <x v="7"/>
    <x v="477"/>
    <s v="Active"/>
    <x v="1"/>
    <n v="41600"/>
    <x v="17"/>
    <n v="90.7"/>
    <n v="8"/>
    <x v="3"/>
    <n v="0"/>
    <n v="8"/>
    <n v="16"/>
    <x v="1"/>
    <n v="3467"/>
    <n v="3.8"/>
    <s v="30-34"/>
    <x v="3"/>
  </r>
  <r>
    <x v="534"/>
    <x v="79"/>
    <x v="1"/>
    <n v="44"/>
    <x v="0"/>
    <x v="5"/>
    <x v="1"/>
    <x v="0"/>
    <x v="5"/>
    <x v="478"/>
    <s v="Active"/>
    <x v="1"/>
    <n v="43500"/>
    <x v="3"/>
    <n v="96"/>
    <n v="2"/>
    <x v="6"/>
    <n v="3"/>
    <n v="27"/>
    <n v="4"/>
    <x v="2"/>
    <n v="3625"/>
    <n v="7.7"/>
    <s v="40-44"/>
    <x v="1"/>
  </r>
  <r>
    <x v="535"/>
    <x v="212"/>
    <x v="0"/>
    <n v="50"/>
    <x v="7"/>
    <x v="5"/>
    <x v="2"/>
    <x v="0"/>
    <x v="6"/>
    <x v="479"/>
    <s v="Active"/>
    <x v="0"/>
    <n v="96900"/>
    <x v="26"/>
    <n v="87.7"/>
    <n v="4"/>
    <x v="14"/>
    <n v="2"/>
    <n v="6"/>
    <n v="27"/>
    <x v="2"/>
    <n v="8075"/>
    <n v="4.4000000000000004"/>
    <s v="45+"/>
    <x v="2"/>
  </r>
  <r>
    <x v="536"/>
    <x v="111"/>
    <x v="1"/>
    <n v="41"/>
    <x v="14"/>
    <x v="1"/>
    <x v="0"/>
    <x v="1"/>
    <x v="6"/>
    <x v="480"/>
    <s v="Active"/>
    <x v="1"/>
    <n v="104000"/>
    <x v="4"/>
    <n v="92.6"/>
    <n v="4"/>
    <x v="2"/>
    <n v="0"/>
    <n v="30"/>
    <n v="10"/>
    <x v="3"/>
    <n v="8667"/>
    <n v="3.9"/>
    <s v="40-44"/>
    <x v="1"/>
  </r>
  <r>
    <x v="537"/>
    <x v="88"/>
    <x v="1"/>
    <n v="40"/>
    <x v="9"/>
    <x v="6"/>
    <x v="2"/>
    <x v="0"/>
    <x v="5"/>
    <x v="481"/>
    <s v="Active"/>
    <x v="0"/>
    <n v="71200"/>
    <x v="14"/>
    <n v="91"/>
    <n v="4"/>
    <x v="6"/>
    <n v="4"/>
    <n v="0"/>
    <n v="9"/>
    <x v="0"/>
    <n v="5933"/>
    <n v="0.9"/>
    <s v="40-44"/>
    <x v="1"/>
  </r>
  <r>
    <x v="538"/>
    <x v="90"/>
    <x v="1"/>
    <n v="22"/>
    <x v="7"/>
    <x v="3"/>
    <x v="3"/>
    <x v="0"/>
    <x v="2"/>
    <x v="482"/>
    <s v="Active"/>
    <x v="0"/>
    <n v="57200"/>
    <x v="5"/>
    <n v="98.3"/>
    <n v="5"/>
    <x v="5"/>
    <n v="1"/>
    <n v="12"/>
    <n v="11"/>
    <x v="2"/>
    <n v="4767"/>
    <n v="5.6"/>
    <s v="20-24"/>
    <x v="1"/>
  </r>
  <r>
    <x v="539"/>
    <x v="216"/>
    <x v="0"/>
    <n v="40"/>
    <x v="14"/>
    <x v="5"/>
    <x v="1"/>
    <x v="0"/>
    <x v="1"/>
    <x v="483"/>
    <s v="Active"/>
    <x v="2"/>
    <n v="41200"/>
    <x v="16"/>
    <n v="91.4"/>
    <n v="0"/>
    <x v="15"/>
    <n v="4"/>
    <n v="3"/>
    <n v="29"/>
    <x v="1"/>
    <n v="3433"/>
    <n v="7.8"/>
    <s v="40-44"/>
    <x v="2"/>
  </r>
  <r>
    <x v="540"/>
    <x v="103"/>
    <x v="0"/>
    <n v="34"/>
    <x v="5"/>
    <x v="7"/>
    <x v="1"/>
    <x v="0"/>
    <x v="6"/>
    <x v="230"/>
    <s v="Active"/>
    <x v="1"/>
    <n v="22900"/>
    <x v="27"/>
    <n v="93.7"/>
    <n v="8"/>
    <x v="2"/>
    <n v="3"/>
    <n v="1"/>
    <n v="9"/>
    <x v="6"/>
    <n v="1908"/>
    <n v="5.7"/>
    <s v="30-34"/>
    <x v="1"/>
  </r>
  <r>
    <x v="541"/>
    <x v="217"/>
    <x v="1"/>
    <n v="22"/>
    <x v="10"/>
    <x v="0"/>
    <x v="3"/>
    <x v="0"/>
    <x v="1"/>
    <x v="484"/>
    <s v="Active"/>
    <x v="0"/>
    <n v="47500"/>
    <x v="5"/>
    <n v="90.2"/>
    <n v="2"/>
    <x v="9"/>
    <n v="2"/>
    <n v="9"/>
    <n v="17"/>
    <x v="6"/>
    <n v="3958"/>
    <n v="0.1"/>
    <s v="20-24"/>
    <x v="3"/>
  </r>
  <r>
    <x v="542"/>
    <x v="217"/>
    <x v="1"/>
    <n v="24"/>
    <x v="8"/>
    <x v="1"/>
    <x v="3"/>
    <x v="0"/>
    <x v="3"/>
    <x v="485"/>
    <s v="Active"/>
    <x v="2"/>
    <n v="52900"/>
    <x v="30"/>
    <n v="88.4"/>
    <n v="5"/>
    <x v="11"/>
    <n v="2"/>
    <n v="4"/>
    <n v="12"/>
    <x v="4"/>
    <n v="4408"/>
    <n v="3.7"/>
    <s v="20-24"/>
    <x v="3"/>
  </r>
  <r>
    <x v="543"/>
    <x v="210"/>
    <x v="0"/>
    <n v="32"/>
    <x v="9"/>
    <x v="4"/>
    <x v="4"/>
    <x v="1"/>
    <x v="0"/>
    <x v="486"/>
    <s v="Active"/>
    <x v="1"/>
    <n v="92000"/>
    <x v="18"/>
    <n v="92.1"/>
    <n v="3"/>
    <x v="4"/>
    <n v="2"/>
    <n v="24"/>
    <n v="24"/>
    <x v="3"/>
    <n v="7667"/>
    <n v="2"/>
    <s v="30-34"/>
    <x v="3"/>
  </r>
  <r>
    <x v="544"/>
    <x v="218"/>
    <x v="1"/>
    <n v="45"/>
    <x v="9"/>
    <x v="1"/>
    <x v="2"/>
    <x v="0"/>
    <x v="1"/>
    <x v="487"/>
    <s v="Active"/>
    <x v="0"/>
    <n v="82100"/>
    <x v="11"/>
    <n v="88.2"/>
    <n v="6"/>
    <x v="7"/>
    <n v="4"/>
    <n v="2"/>
    <n v="25"/>
    <x v="6"/>
    <n v="6842"/>
    <n v="2"/>
    <s v="45+"/>
    <x v="1"/>
  </r>
  <r>
    <x v="545"/>
    <x v="163"/>
    <x v="1"/>
    <n v="45"/>
    <x v="3"/>
    <x v="5"/>
    <x v="2"/>
    <x v="0"/>
    <x v="7"/>
    <x v="488"/>
    <s v="Active"/>
    <x v="1"/>
    <n v="96400"/>
    <x v="8"/>
    <n v="96.2"/>
    <n v="7"/>
    <x v="5"/>
    <n v="3"/>
    <n v="4"/>
    <n v="25"/>
    <x v="1"/>
    <n v="8033"/>
    <n v="2.2999999999999998"/>
    <s v="45+"/>
    <x v="3"/>
  </r>
  <r>
    <x v="546"/>
    <x v="218"/>
    <x v="0"/>
    <n v="34"/>
    <x v="7"/>
    <x v="6"/>
    <x v="3"/>
    <x v="0"/>
    <x v="3"/>
    <x v="489"/>
    <s v="Resigned"/>
    <x v="2"/>
    <n v="51500"/>
    <x v="12"/>
    <n v="96.9"/>
    <n v="3"/>
    <x v="0"/>
    <n v="4"/>
    <n v="10"/>
    <n v="27"/>
    <x v="1"/>
    <n v="4292"/>
    <n v="5.9"/>
    <s v="30-34"/>
    <x v="1"/>
  </r>
  <r>
    <x v="547"/>
    <x v="219"/>
    <x v="0"/>
    <n v="36"/>
    <x v="11"/>
    <x v="7"/>
    <x v="1"/>
    <x v="2"/>
    <x v="2"/>
    <x v="490"/>
    <s v="Active"/>
    <x v="0"/>
    <n v="24400"/>
    <x v="13"/>
    <n v="91.4"/>
    <n v="5"/>
    <x v="11"/>
    <n v="1"/>
    <n v="25"/>
    <n v="23"/>
    <x v="3"/>
    <n v="2033"/>
    <n v="1.4"/>
    <s v="35-39"/>
    <x v="1"/>
  </r>
  <r>
    <x v="548"/>
    <x v="55"/>
    <x v="0"/>
    <n v="25"/>
    <x v="1"/>
    <x v="1"/>
    <x v="4"/>
    <x v="0"/>
    <x v="4"/>
    <x v="491"/>
    <s v="Active"/>
    <x v="1"/>
    <n v="121600"/>
    <x v="10"/>
    <n v="88.8"/>
    <n v="6"/>
    <x v="9"/>
    <n v="2"/>
    <n v="17"/>
    <n v="9"/>
    <x v="6"/>
    <n v="10133"/>
    <n v="1.8"/>
    <s v="25-29"/>
    <x v="1"/>
  </r>
  <r>
    <x v="549"/>
    <x v="133"/>
    <x v="0"/>
    <n v="42"/>
    <x v="11"/>
    <x v="6"/>
    <x v="3"/>
    <x v="0"/>
    <x v="4"/>
    <x v="492"/>
    <s v="Active"/>
    <x v="2"/>
    <n v="50300"/>
    <x v="23"/>
    <n v="92.1"/>
    <n v="6"/>
    <x v="9"/>
    <n v="3"/>
    <n v="30"/>
    <n v="19"/>
    <x v="2"/>
    <n v="4192"/>
    <n v="6.1"/>
    <s v="40-44"/>
    <x v="1"/>
  </r>
  <r>
    <x v="550"/>
    <x v="168"/>
    <x v="0"/>
    <n v="37"/>
    <x v="8"/>
    <x v="7"/>
    <x v="1"/>
    <x v="0"/>
    <x v="4"/>
    <x v="493"/>
    <s v="Active"/>
    <x v="1"/>
    <n v="24200"/>
    <x v="16"/>
    <n v="84.6"/>
    <n v="8"/>
    <x v="13"/>
    <n v="4"/>
    <n v="19"/>
    <n v="8"/>
    <x v="3"/>
    <n v="2017"/>
    <n v="2.2000000000000002"/>
    <s v="35-39"/>
    <x v="1"/>
  </r>
  <r>
    <x v="551"/>
    <x v="163"/>
    <x v="1"/>
    <n v="22"/>
    <x v="5"/>
    <x v="2"/>
    <x v="3"/>
    <x v="0"/>
    <x v="2"/>
    <x v="494"/>
    <s v="Active"/>
    <x v="1"/>
    <n v="44100"/>
    <x v="2"/>
    <n v="87.2"/>
    <n v="7"/>
    <x v="13"/>
    <n v="4"/>
    <n v="1"/>
    <n v="4"/>
    <x v="6"/>
    <n v="3675"/>
    <n v="0.2"/>
    <s v="20-24"/>
    <x v="3"/>
  </r>
  <r>
    <x v="552"/>
    <x v="37"/>
    <x v="1"/>
    <n v="45"/>
    <x v="13"/>
    <x v="6"/>
    <x v="0"/>
    <x v="2"/>
    <x v="6"/>
    <x v="495"/>
    <s v="Resigned"/>
    <x v="0"/>
    <n v="106900"/>
    <x v="19"/>
    <n v="85.5"/>
    <n v="2"/>
    <x v="7"/>
    <n v="4"/>
    <n v="23"/>
    <n v="9"/>
    <x v="5"/>
    <n v="8908"/>
    <n v="6.5"/>
    <s v="45+"/>
    <x v="1"/>
  </r>
  <r>
    <x v="553"/>
    <x v="176"/>
    <x v="1"/>
    <n v="28"/>
    <x v="6"/>
    <x v="0"/>
    <x v="0"/>
    <x v="0"/>
    <x v="2"/>
    <x v="496"/>
    <s v="Active"/>
    <x v="0"/>
    <n v="91000"/>
    <x v="20"/>
    <n v="87.3"/>
    <n v="3"/>
    <x v="4"/>
    <n v="4"/>
    <n v="22"/>
    <n v="6"/>
    <x v="1"/>
    <n v="7583"/>
    <n v="6.1"/>
    <s v="25-29"/>
    <x v="1"/>
  </r>
  <r>
    <x v="554"/>
    <x v="22"/>
    <x v="1"/>
    <n v="27"/>
    <x v="9"/>
    <x v="3"/>
    <x v="5"/>
    <x v="0"/>
    <x v="2"/>
    <x v="497"/>
    <s v="Active"/>
    <x v="0"/>
    <n v="27700"/>
    <x v="2"/>
    <n v="87.9"/>
    <n v="8"/>
    <x v="12"/>
    <n v="4"/>
    <n v="15"/>
    <n v="28"/>
    <x v="1"/>
    <n v="2308"/>
    <n v="1.8"/>
    <s v="25-29"/>
    <x v="1"/>
  </r>
  <r>
    <x v="555"/>
    <x v="17"/>
    <x v="1"/>
    <n v="39"/>
    <x v="5"/>
    <x v="6"/>
    <x v="0"/>
    <x v="0"/>
    <x v="7"/>
    <x v="498"/>
    <s v="Active"/>
    <x v="0"/>
    <n v="89300"/>
    <x v="16"/>
    <n v="84.6"/>
    <n v="6"/>
    <x v="3"/>
    <n v="1"/>
    <n v="22"/>
    <n v="6"/>
    <x v="3"/>
    <n v="7442"/>
    <n v="1.4"/>
    <s v="35-39"/>
    <x v="1"/>
  </r>
  <r>
    <x v="556"/>
    <x v="157"/>
    <x v="0"/>
    <n v="30"/>
    <x v="13"/>
    <x v="0"/>
    <x v="3"/>
    <x v="0"/>
    <x v="1"/>
    <x v="499"/>
    <s v="Active"/>
    <x v="0"/>
    <n v="45700"/>
    <x v="28"/>
    <n v="89.7"/>
    <n v="6"/>
    <x v="15"/>
    <n v="2"/>
    <n v="22"/>
    <n v="20"/>
    <x v="3"/>
    <n v="3808"/>
    <n v="3.4"/>
    <s v="30-34"/>
    <x v="1"/>
  </r>
  <r>
    <x v="557"/>
    <x v="17"/>
    <x v="1"/>
    <n v="47"/>
    <x v="1"/>
    <x v="0"/>
    <x v="5"/>
    <x v="2"/>
    <x v="4"/>
    <x v="500"/>
    <s v="Active"/>
    <x v="1"/>
    <n v="21300"/>
    <x v="19"/>
    <n v="90"/>
    <n v="0"/>
    <x v="7"/>
    <n v="4"/>
    <n v="24"/>
    <n v="18"/>
    <x v="0"/>
    <n v="1775"/>
    <n v="3.8"/>
    <s v="45+"/>
    <x v="1"/>
  </r>
  <r>
    <x v="558"/>
    <x v="117"/>
    <x v="0"/>
    <n v="43"/>
    <x v="3"/>
    <x v="7"/>
    <x v="0"/>
    <x v="0"/>
    <x v="2"/>
    <x v="501"/>
    <s v="Active"/>
    <x v="1"/>
    <n v="60800"/>
    <x v="8"/>
    <n v="93.9"/>
    <n v="1"/>
    <x v="11"/>
    <n v="1"/>
    <n v="17"/>
    <n v="30"/>
    <x v="5"/>
    <n v="5067"/>
    <n v="2.8"/>
    <s v="40-44"/>
    <x v="2"/>
  </r>
  <r>
    <x v="559"/>
    <x v="220"/>
    <x v="0"/>
    <n v="30"/>
    <x v="11"/>
    <x v="5"/>
    <x v="0"/>
    <x v="0"/>
    <x v="6"/>
    <x v="502"/>
    <s v="Active"/>
    <x v="1"/>
    <n v="129700"/>
    <x v="1"/>
    <n v="91.5"/>
    <n v="0"/>
    <x v="12"/>
    <n v="3"/>
    <n v="5"/>
    <n v="30"/>
    <x v="3"/>
    <n v="10808"/>
    <n v="7.9"/>
    <s v="30-34"/>
    <x v="3"/>
  </r>
  <r>
    <x v="560"/>
    <x v="146"/>
    <x v="1"/>
    <n v="27"/>
    <x v="8"/>
    <x v="3"/>
    <x v="2"/>
    <x v="2"/>
    <x v="6"/>
    <x v="327"/>
    <s v="Active"/>
    <x v="1"/>
    <n v="88500"/>
    <x v="0"/>
    <n v="98.1"/>
    <n v="3"/>
    <x v="6"/>
    <n v="3"/>
    <n v="14"/>
    <n v="15"/>
    <x v="4"/>
    <n v="7375"/>
    <n v="3.5"/>
    <s v="25-29"/>
    <x v="3"/>
  </r>
  <r>
    <x v="561"/>
    <x v="115"/>
    <x v="0"/>
    <n v="49"/>
    <x v="2"/>
    <x v="5"/>
    <x v="2"/>
    <x v="0"/>
    <x v="4"/>
    <x v="503"/>
    <s v="Active"/>
    <x v="0"/>
    <n v="104400"/>
    <x v="19"/>
    <n v="93.9"/>
    <n v="3"/>
    <x v="4"/>
    <n v="1"/>
    <n v="11"/>
    <n v="19"/>
    <x v="1"/>
    <n v="8700"/>
    <n v="1.4"/>
    <s v="45+"/>
    <x v="1"/>
  </r>
  <r>
    <x v="562"/>
    <x v="13"/>
    <x v="1"/>
    <n v="41"/>
    <x v="11"/>
    <x v="7"/>
    <x v="0"/>
    <x v="0"/>
    <x v="5"/>
    <x v="504"/>
    <s v="Active"/>
    <x v="1"/>
    <n v="72200"/>
    <x v="4"/>
    <n v="100"/>
    <n v="4"/>
    <x v="11"/>
    <n v="1"/>
    <n v="28"/>
    <n v="30"/>
    <x v="2"/>
    <n v="6017"/>
    <n v="2.1"/>
    <s v="40-44"/>
    <x v="1"/>
  </r>
  <r>
    <x v="563"/>
    <x v="221"/>
    <x v="0"/>
    <n v="49"/>
    <x v="9"/>
    <x v="1"/>
    <x v="2"/>
    <x v="0"/>
    <x v="5"/>
    <x v="505"/>
    <s v="Active"/>
    <x v="2"/>
    <n v="63600"/>
    <x v="21"/>
    <n v="85.3"/>
    <n v="4"/>
    <x v="9"/>
    <n v="1"/>
    <n v="29"/>
    <n v="29"/>
    <x v="0"/>
    <n v="5300"/>
    <n v="7"/>
    <s v="45+"/>
    <x v="3"/>
  </r>
  <r>
    <x v="564"/>
    <x v="62"/>
    <x v="0"/>
    <n v="20"/>
    <x v="3"/>
    <x v="6"/>
    <x v="0"/>
    <x v="0"/>
    <x v="7"/>
    <x v="506"/>
    <s v="Active"/>
    <x v="0"/>
    <n v="95800"/>
    <x v="5"/>
    <n v="96"/>
    <n v="0"/>
    <x v="13"/>
    <n v="3"/>
    <n v="3"/>
    <n v="3"/>
    <x v="2"/>
    <n v="7983"/>
    <n v="4.2"/>
    <s v="20-24"/>
    <x v="2"/>
  </r>
  <r>
    <x v="565"/>
    <x v="0"/>
    <x v="0"/>
    <n v="21"/>
    <x v="5"/>
    <x v="3"/>
    <x v="2"/>
    <x v="0"/>
    <x v="5"/>
    <x v="486"/>
    <s v="Active"/>
    <x v="2"/>
    <n v="98500"/>
    <x v="5"/>
    <n v="83.2"/>
    <n v="6"/>
    <x v="12"/>
    <n v="4"/>
    <n v="28"/>
    <n v="24"/>
    <x v="6"/>
    <n v="8208"/>
    <n v="2"/>
    <s v="20-24"/>
    <x v="1"/>
  </r>
  <r>
    <x v="566"/>
    <x v="188"/>
    <x v="0"/>
    <n v="39"/>
    <x v="9"/>
    <x v="1"/>
    <x v="4"/>
    <x v="0"/>
    <x v="3"/>
    <x v="507"/>
    <s v="Active"/>
    <x v="0"/>
    <n v="119400"/>
    <x v="12"/>
    <n v="96.3"/>
    <n v="5"/>
    <x v="7"/>
    <n v="2"/>
    <n v="11"/>
    <n v="19"/>
    <x v="4"/>
    <n v="9950"/>
    <n v="1"/>
    <s v="35-39"/>
    <x v="2"/>
  </r>
  <r>
    <x v="567"/>
    <x v="138"/>
    <x v="1"/>
    <n v="23"/>
    <x v="4"/>
    <x v="6"/>
    <x v="4"/>
    <x v="0"/>
    <x v="5"/>
    <x v="508"/>
    <s v="Active"/>
    <x v="1"/>
    <n v="123100"/>
    <x v="2"/>
    <n v="92.9"/>
    <n v="7"/>
    <x v="7"/>
    <n v="4"/>
    <n v="25"/>
    <n v="8"/>
    <x v="5"/>
    <n v="10258"/>
    <n v="5.3"/>
    <s v="20-24"/>
    <x v="3"/>
  </r>
  <r>
    <x v="568"/>
    <x v="117"/>
    <x v="0"/>
    <n v="21"/>
    <x v="8"/>
    <x v="5"/>
    <x v="1"/>
    <x v="2"/>
    <x v="4"/>
    <x v="509"/>
    <s v="Active"/>
    <x v="0"/>
    <n v="49800"/>
    <x v="5"/>
    <n v="89.9"/>
    <n v="3"/>
    <x v="0"/>
    <n v="0"/>
    <n v="10"/>
    <n v="18"/>
    <x v="5"/>
    <n v="4150"/>
    <n v="5.9"/>
    <s v="20-24"/>
    <x v="2"/>
  </r>
  <r>
    <x v="569"/>
    <x v="222"/>
    <x v="1"/>
    <n v="44"/>
    <x v="8"/>
    <x v="5"/>
    <x v="0"/>
    <x v="0"/>
    <x v="7"/>
    <x v="510"/>
    <s v="Active"/>
    <x v="1"/>
    <n v="104500"/>
    <x v="11"/>
    <n v="92.1"/>
    <n v="0"/>
    <x v="14"/>
    <n v="1"/>
    <n v="21"/>
    <n v="19"/>
    <x v="2"/>
    <n v="8708"/>
    <n v="1"/>
    <s v="40-44"/>
    <x v="1"/>
  </r>
  <r>
    <x v="570"/>
    <x v="152"/>
    <x v="0"/>
    <n v="21"/>
    <x v="1"/>
    <x v="0"/>
    <x v="3"/>
    <x v="0"/>
    <x v="4"/>
    <x v="511"/>
    <s v="Active"/>
    <x v="2"/>
    <n v="56800"/>
    <x v="10"/>
    <n v="88.5"/>
    <n v="2"/>
    <x v="2"/>
    <n v="4"/>
    <n v="8"/>
    <n v="17"/>
    <x v="5"/>
    <n v="4733"/>
    <n v="1.2"/>
    <s v="20-24"/>
    <x v="1"/>
  </r>
  <r>
    <x v="571"/>
    <x v="125"/>
    <x v="0"/>
    <n v="32"/>
    <x v="8"/>
    <x v="2"/>
    <x v="3"/>
    <x v="0"/>
    <x v="5"/>
    <x v="512"/>
    <s v="Active"/>
    <x v="0"/>
    <n v="44200"/>
    <x v="24"/>
    <n v="88.1"/>
    <n v="8"/>
    <x v="8"/>
    <n v="2"/>
    <n v="26"/>
    <n v="24"/>
    <x v="0"/>
    <n v="3683"/>
    <n v="1.9"/>
    <s v="30-34"/>
    <x v="1"/>
  </r>
  <r>
    <x v="572"/>
    <x v="203"/>
    <x v="0"/>
    <n v="48"/>
    <x v="4"/>
    <x v="5"/>
    <x v="2"/>
    <x v="1"/>
    <x v="3"/>
    <x v="513"/>
    <s v="Active"/>
    <x v="0"/>
    <n v="97900"/>
    <x v="21"/>
    <n v="93.2"/>
    <n v="6"/>
    <x v="8"/>
    <n v="4"/>
    <n v="0"/>
    <n v="8"/>
    <x v="2"/>
    <n v="8158"/>
    <n v="1"/>
    <s v="45+"/>
    <x v="1"/>
  </r>
  <r>
    <x v="573"/>
    <x v="223"/>
    <x v="0"/>
    <n v="41"/>
    <x v="5"/>
    <x v="5"/>
    <x v="1"/>
    <x v="0"/>
    <x v="4"/>
    <x v="514"/>
    <s v="Active"/>
    <x v="0"/>
    <n v="42300"/>
    <x v="4"/>
    <n v="82.9"/>
    <n v="1"/>
    <x v="12"/>
    <n v="0"/>
    <n v="17"/>
    <n v="19"/>
    <x v="0"/>
    <n v="3525"/>
    <n v="6.1"/>
    <s v="40-44"/>
    <x v="1"/>
  </r>
  <r>
    <x v="574"/>
    <x v="89"/>
    <x v="0"/>
    <n v="40"/>
    <x v="9"/>
    <x v="1"/>
    <x v="3"/>
    <x v="2"/>
    <x v="1"/>
    <x v="515"/>
    <s v="Active"/>
    <x v="2"/>
    <n v="54100"/>
    <x v="16"/>
    <n v="92.6"/>
    <n v="2"/>
    <x v="10"/>
    <n v="0"/>
    <n v="5"/>
    <n v="13"/>
    <x v="1"/>
    <n v="4508"/>
    <n v="7.8"/>
    <s v="40-44"/>
    <x v="3"/>
  </r>
  <r>
    <x v="575"/>
    <x v="57"/>
    <x v="0"/>
    <n v="39"/>
    <x v="6"/>
    <x v="2"/>
    <x v="0"/>
    <x v="0"/>
    <x v="4"/>
    <x v="516"/>
    <s v="Active"/>
    <x v="1"/>
    <n v="87700"/>
    <x v="14"/>
    <n v="90.4"/>
    <n v="1"/>
    <x v="13"/>
    <n v="4"/>
    <n v="30"/>
    <n v="27"/>
    <x v="4"/>
    <n v="7308"/>
    <n v="2.8"/>
    <s v="35-39"/>
    <x v="1"/>
  </r>
  <r>
    <x v="576"/>
    <x v="153"/>
    <x v="1"/>
    <n v="25"/>
    <x v="14"/>
    <x v="2"/>
    <x v="1"/>
    <x v="2"/>
    <x v="4"/>
    <x v="517"/>
    <s v="Active"/>
    <x v="1"/>
    <n v="34900"/>
    <x v="15"/>
    <n v="89.4"/>
    <n v="3"/>
    <x v="12"/>
    <n v="2"/>
    <n v="11"/>
    <n v="30"/>
    <x v="0"/>
    <n v="2908"/>
    <n v="4.8"/>
    <s v="25-29"/>
    <x v="2"/>
  </r>
  <r>
    <x v="577"/>
    <x v="139"/>
    <x v="1"/>
    <n v="23"/>
    <x v="4"/>
    <x v="5"/>
    <x v="3"/>
    <x v="0"/>
    <x v="6"/>
    <x v="518"/>
    <s v="Active"/>
    <x v="0"/>
    <n v="72300"/>
    <x v="5"/>
    <n v="88.5"/>
    <n v="1"/>
    <x v="1"/>
    <n v="4"/>
    <n v="27"/>
    <n v="17"/>
    <x v="4"/>
    <n v="6025"/>
    <n v="0.3"/>
    <s v="20-24"/>
    <x v="2"/>
  </r>
  <r>
    <x v="578"/>
    <x v="155"/>
    <x v="0"/>
    <n v="44"/>
    <x v="11"/>
    <x v="5"/>
    <x v="4"/>
    <x v="0"/>
    <x v="2"/>
    <x v="519"/>
    <s v="Active"/>
    <x v="0"/>
    <n v="175000"/>
    <x v="7"/>
    <n v="92.2"/>
    <n v="3"/>
    <x v="15"/>
    <n v="1"/>
    <n v="22"/>
    <n v="15"/>
    <x v="4"/>
    <n v="14583"/>
    <n v="1.7"/>
    <s v="40-44"/>
    <x v="1"/>
  </r>
  <r>
    <x v="579"/>
    <x v="212"/>
    <x v="0"/>
    <n v="46"/>
    <x v="6"/>
    <x v="3"/>
    <x v="3"/>
    <x v="0"/>
    <x v="4"/>
    <x v="520"/>
    <s v="Active"/>
    <x v="0"/>
    <n v="67700"/>
    <x v="21"/>
    <n v="96.2"/>
    <n v="6"/>
    <x v="14"/>
    <n v="2"/>
    <n v="28"/>
    <n v="8"/>
    <x v="1"/>
    <n v="5642"/>
    <n v="8.5"/>
    <s v="45+"/>
    <x v="1"/>
  </r>
  <r>
    <x v="580"/>
    <x v="141"/>
    <x v="0"/>
    <n v="45"/>
    <x v="14"/>
    <x v="0"/>
    <x v="3"/>
    <x v="1"/>
    <x v="6"/>
    <x v="521"/>
    <s v="Active"/>
    <x v="0"/>
    <n v="46800"/>
    <x v="7"/>
    <n v="100"/>
    <n v="7"/>
    <x v="10"/>
    <n v="3"/>
    <n v="2"/>
    <n v="26"/>
    <x v="6"/>
    <n v="3900"/>
    <n v="5"/>
    <s v="45+"/>
    <x v="1"/>
  </r>
  <r>
    <x v="581"/>
    <x v="71"/>
    <x v="1"/>
    <n v="34"/>
    <x v="13"/>
    <x v="3"/>
    <x v="3"/>
    <x v="0"/>
    <x v="5"/>
    <x v="522"/>
    <s v="Active"/>
    <x v="1"/>
    <n v="70200"/>
    <x v="12"/>
    <n v="96.6"/>
    <n v="5"/>
    <x v="0"/>
    <n v="2"/>
    <n v="0"/>
    <n v="9"/>
    <x v="0"/>
    <n v="5850"/>
    <n v="5.7"/>
    <s v="30-34"/>
    <x v="1"/>
  </r>
  <r>
    <x v="582"/>
    <x v="224"/>
    <x v="1"/>
    <n v="42"/>
    <x v="6"/>
    <x v="3"/>
    <x v="3"/>
    <x v="0"/>
    <x v="5"/>
    <x v="173"/>
    <s v="Active"/>
    <x v="0"/>
    <n v="65400"/>
    <x v="8"/>
    <n v="95.2"/>
    <n v="8"/>
    <x v="13"/>
    <n v="4"/>
    <n v="6"/>
    <n v="15"/>
    <x v="0"/>
    <n v="5450"/>
    <n v="1.1000000000000001"/>
    <s v="40-44"/>
    <x v="1"/>
  </r>
  <r>
    <x v="583"/>
    <x v="30"/>
    <x v="0"/>
    <n v="50"/>
    <x v="11"/>
    <x v="7"/>
    <x v="2"/>
    <x v="0"/>
    <x v="0"/>
    <x v="523"/>
    <s v="Active"/>
    <x v="1"/>
    <n v="54900"/>
    <x v="6"/>
    <n v="87.1"/>
    <n v="5"/>
    <x v="11"/>
    <n v="4"/>
    <n v="27"/>
    <n v="23"/>
    <x v="0"/>
    <n v="4575"/>
    <n v="3.2"/>
    <s v="45+"/>
    <x v="3"/>
  </r>
  <r>
    <x v="584"/>
    <x v="77"/>
    <x v="0"/>
    <n v="22"/>
    <x v="10"/>
    <x v="5"/>
    <x v="0"/>
    <x v="2"/>
    <x v="4"/>
    <x v="524"/>
    <s v="Active"/>
    <x v="1"/>
    <n v="138800"/>
    <x v="30"/>
    <n v="88"/>
    <n v="2"/>
    <x v="7"/>
    <n v="3"/>
    <n v="17"/>
    <n v="21"/>
    <x v="5"/>
    <n v="11567"/>
    <n v="2.5"/>
    <s v="20-24"/>
    <x v="1"/>
  </r>
  <r>
    <x v="585"/>
    <x v="85"/>
    <x v="1"/>
    <n v="47"/>
    <x v="4"/>
    <x v="7"/>
    <x v="3"/>
    <x v="0"/>
    <x v="3"/>
    <x v="525"/>
    <s v="Resigned"/>
    <x v="0"/>
    <n v="33600"/>
    <x v="22"/>
    <n v="91"/>
    <n v="0"/>
    <x v="0"/>
    <n v="0"/>
    <n v="11"/>
    <n v="15"/>
    <x v="6"/>
    <n v="2800"/>
    <n v="6.1"/>
    <s v="45+"/>
    <x v="3"/>
  </r>
  <r>
    <x v="586"/>
    <x v="101"/>
    <x v="0"/>
    <n v="45"/>
    <x v="2"/>
    <x v="7"/>
    <x v="0"/>
    <x v="0"/>
    <x v="0"/>
    <x v="442"/>
    <s v="Active"/>
    <x v="0"/>
    <n v="61900"/>
    <x v="11"/>
    <n v="93.2"/>
    <n v="8"/>
    <x v="6"/>
    <n v="4"/>
    <n v="28"/>
    <n v="28"/>
    <x v="1"/>
    <n v="5158"/>
    <n v="7.1"/>
    <s v="45+"/>
    <x v="1"/>
  </r>
  <r>
    <x v="587"/>
    <x v="104"/>
    <x v="0"/>
    <n v="23"/>
    <x v="13"/>
    <x v="2"/>
    <x v="3"/>
    <x v="0"/>
    <x v="7"/>
    <x v="526"/>
    <s v="Active"/>
    <x v="0"/>
    <n v="47900"/>
    <x v="2"/>
    <n v="88.7"/>
    <n v="2"/>
    <x v="3"/>
    <n v="0"/>
    <n v="21"/>
    <n v="4"/>
    <x v="3"/>
    <n v="3992"/>
    <n v="8.3000000000000007"/>
    <s v="20-24"/>
    <x v="1"/>
  </r>
  <r>
    <x v="588"/>
    <x v="209"/>
    <x v="0"/>
    <n v="36"/>
    <x v="14"/>
    <x v="4"/>
    <x v="3"/>
    <x v="0"/>
    <x v="6"/>
    <x v="527"/>
    <s v="Active"/>
    <x v="1"/>
    <n v="49400"/>
    <x v="13"/>
    <n v="96.9"/>
    <n v="0"/>
    <x v="13"/>
    <n v="0"/>
    <n v="19"/>
    <n v="9"/>
    <x v="5"/>
    <n v="4117"/>
    <n v="5"/>
    <s v="35-39"/>
    <x v="1"/>
  </r>
  <r>
    <x v="589"/>
    <x v="135"/>
    <x v="1"/>
    <n v="25"/>
    <x v="14"/>
    <x v="0"/>
    <x v="2"/>
    <x v="1"/>
    <x v="5"/>
    <x v="486"/>
    <s v="Active"/>
    <x v="0"/>
    <n v="75200"/>
    <x v="10"/>
    <n v="87.6"/>
    <n v="1"/>
    <x v="9"/>
    <n v="1"/>
    <n v="15"/>
    <n v="20"/>
    <x v="3"/>
    <n v="6267"/>
    <n v="2"/>
    <s v="25-29"/>
    <x v="1"/>
  </r>
  <r>
    <x v="590"/>
    <x v="141"/>
    <x v="0"/>
    <n v="21"/>
    <x v="14"/>
    <x v="5"/>
    <x v="2"/>
    <x v="1"/>
    <x v="7"/>
    <x v="440"/>
    <s v="Active"/>
    <x v="1"/>
    <n v="99800"/>
    <x v="5"/>
    <n v="84.7"/>
    <n v="2"/>
    <x v="0"/>
    <n v="0"/>
    <n v="25"/>
    <n v="13"/>
    <x v="4"/>
    <n v="8317"/>
    <n v="3.2"/>
    <s v="20-24"/>
    <x v="2"/>
  </r>
  <r>
    <x v="591"/>
    <x v="131"/>
    <x v="0"/>
    <n v="39"/>
    <x v="5"/>
    <x v="6"/>
    <x v="2"/>
    <x v="0"/>
    <x v="0"/>
    <x v="528"/>
    <s v="Active"/>
    <x v="1"/>
    <n v="72500"/>
    <x v="25"/>
    <n v="96.2"/>
    <n v="7"/>
    <x v="15"/>
    <n v="2"/>
    <n v="19"/>
    <n v="12"/>
    <x v="6"/>
    <n v="6042"/>
    <n v="3.4"/>
    <s v="35-39"/>
    <x v="2"/>
  </r>
  <r>
    <x v="592"/>
    <x v="91"/>
    <x v="0"/>
    <n v="32"/>
    <x v="5"/>
    <x v="2"/>
    <x v="1"/>
    <x v="0"/>
    <x v="1"/>
    <x v="329"/>
    <s v="Active"/>
    <x v="1"/>
    <n v="34600"/>
    <x v="28"/>
    <n v="92.2"/>
    <n v="7"/>
    <x v="15"/>
    <n v="0"/>
    <n v="24"/>
    <n v="22"/>
    <x v="1"/>
    <n v="2883"/>
    <n v="7"/>
    <s v="30-34"/>
    <x v="1"/>
  </r>
  <r>
    <x v="593"/>
    <x v="89"/>
    <x v="0"/>
    <n v="34"/>
    <x v="14"/>
    <x v="4"/>
    <x v="1"/>
    <x v="3"/>
    <x v="6"/>
    <x v="529"/>
    <s v="Active"/>
    <x v="1"/>
    <n v="35300"/>
    <x v="12"/>
    <n v="89.6"/>
    <n v="1"/>
    <x v="0"/>
    <n v="1"/>
    <n v="6"/>
    <n v="12"/>
    <x v="6"/>
    <n v="2942"/>
    <n v="5.3"/>
    <s v="30-34"/>
    <x v="2"/>
  </r>
  <r>
    <x v="594"/>
    <x v="113"/>
    <x v="0"/>
    <n v="24"/>
    <x v="2"/>
    <x v="1"/>
    <x v="3"/>
    <x v="2"/>
    <x v="2"/>
    <x v="530"/>
    <s v="Active"/>
    <x v="2"/>
    <n v="43700"/>
    <x v="20"/>
    <n v="84.1"/>
    <n v="5"/>
    <x v="8"/>
    <n v="4"/>
    <n v="16"/>
    <n v="4"/>
    <x v="1"/>
    <n v="3642"/>
    <n v="6.4"/>
    <s v="20-24"/>
    <x v="1"/>
  </r>
  <r>
    <x v="595"/>
    <x v="214"/>
    <x v="0"/>
    <n v="47"/>
    <x v="10"/>
    <x v="4"/>
    <x v="3"/>
    <x v="0"/>
    <x v="5"/>
    <x v="531"/>
    <s v="Active"/>
    <x v="2"/>
    <n v="48600"/>
    <x v="21"/>
    <n v="95.9"/>
    <n v="1"/>
    <x v="8"/>
    <n v="4"/>
    <n v="3"/>
    <n v="10"/>
    <x v="1"/>
    <n v="4050"/>
    <n v="4.8"/>
    <s v="45+"/>
    <x v="1"/>
  </r>
  <r>
    <x v="596"/>
    <x v="37"/>
    <x v="1"/>
    <n v="43"/>
    <x v="13"/>
    <x v="2"/>
    <x v="2"/>
    <x v="0"/>
    <x v="5"/>
    <x v="532"/>
    <s v="Active"/>
    <x v="1"/>
    <n v="75600"/>
    <x v="23"/>
    <n v="100"/>
    <n v="6"/>
    <x v="15"/>
    <n v="3"/>
    <n v="9"/>
    <n v="12"/>
    <x v="2"/>
    <n v="6300"/>
    <n v="0.7"/>
    <s v="40-44"/>
    <x v="1"/>
  </r>
  <r>
    <x v="597"/>
    <x v="44"/>
    <x v="0"/>
    <n v="38"/>
    <x v="0"/>
    <x v="3"/>
    <x v="5"/>
    <x v="0"/>
    <x v="7"/>
    <x v="340"/>
    <s v="On Leave"/>
    <x v="1"/>
    <n v="27800"/>
    <x v="12"/>
    <n v="93.5"/>
    <n v="2"/>
    <x v="9"/>
    <n v="0"/>
    <n v="5"/>
    <n v="24"/>
    <x v="4"/>
    <n v="2317"/>
    <n v="2.6"/>
    <s v="35-39"/>
    <x v="1"/>
  </r>
  <r>
    <x v="598"/>
    <x v="11"/>
    <x v="1"/>
    <n v="25"/>
    <x v="14"/>
    <x v="5"/>
    <x v="2"/>
    <x v="0"/>
    <x v="0"/>
    <x v="533"/>
    <s v="Active"/>
    <x v="2"/>
    <n v="90200"/>
    <x v="20"/>
    <n v="87.8"/>
    <n v="7"/>
    <x v="3"/>
    <n v="2"/>
    <n v="1"/>
    <n v="20"/>
    <x v="2"/>
    <n v="7517"/>
    <n v="4.0999999999999996"/>
    <s v="25-29"/>
    <x v="1"/>
  </r>
  <r>
    <x v="599"/>
    <x v="191"/>
    <x v="0"/>
    <n v="36"/>
    <x v="12"/>
    <x v="4"/>
    <x v="3"/>
    <x v="0"/>
    <x v="0"/>
    <x v="534"/>
    <s v="Active"/>
    <x v="1"/>
    <n v="38500"/>
    <x v="14"/>
    <n v="92.2"/>
    <n v="2"/>
    <x v="4"/>
    <n v="3"/>
    <n v="3"/>
    <n v="11"/>
    <x v="4"/>
    <n v="3208"/>
    <n v="0.5"/>
    <s v="35-39"/>
    <x v="1"/>
  </r>
  <r>
    <x v="600"/>
    <x v="144"/>
    <x v="0"/>
    <n v="44"/>
    <x v="6"/>
    <x v="5"/>
    <x v="3"/>
    <x v="0"/>
    <x v="4"/>
    <x v="355"/>
    <s v="Active"/>
    <x v="1"/>
    <n v="72300"/>
    <x v="8"/>
    <n v="93.8"/>
    <n v="5"/>
    <x v="12"/>
    <n v="3"/>
    <n v="17"/>
    <n v="30"/>
    <x v="2"/>
    <n v="6025"/>
    <n v="1.1000000000000001"/>
    <s v="40-44"/>
    <x v="3"/>
  </r>
  <r>
    <x v="601"/>
    <x v="34"/>
    <x v="1"/>
    <n v="50"/>
    <x v="1"/>
    <x v="2"/>
    <x v="3"/>
    <x v="0"/>
    <x v="3"/>
    <x v="535"/>
    <s v="On Leave"/>
    <x v="0"/>
    <n v="45000"/>
    <x v="6"/>
    <n v="93.5"/>
    <n v="0"/>
    <x v="9"/>
    <n v="1"/>
    <n v="0"/>
    <n v="24"/>
    <x v="0"/>
    <n v="3750"/>
    <n v="4.8"/>
    <s v="45+"/>
    <x v="1"/>
  </r>
  <r>
    <x v="602"/>
    <x v="193"/>
    <x v="0"/>
    <n v="47"/>
    <x v="1"/>
    <x v="2"/>
    <x v="1"/>
    <x v="0"/>
    <x v="0"/>
    <x v="536"/>
    <s v="Active"/>
    <x v="1"/>
    <n v="31800"/>
    <x v="7"/>
    <n v="86.9"/>
    <n v="7"/>
    <x v="5"/>
    <n v="4"/>
    <n v="0"/>
    <n v="17"/>
    <x v="6"/>
    <n v="2650"/>
    <n v="7.2"/>
    <s v="45+"/>
    <x v="1"/>
  </r>
  <r>
    <x v="603"/>
    <x v="103"/>
    <x v="1"/>
    <n v="20"/>
    <x v="8"/>
    <x v="3"/>
    <x v="0"/>
    <x v="0"/>
    <x v="5"/>
    <x v="537"/>
    <s v="Active"/>
    <x v="0"/>
    <n v="110200"/>
    <x v="5"/>
    <n v="88.5"/>
    <n v="6"/>
    <x v="1"/>
    <n v="0"/>
    <n v="15"/>
    <n v="5"/>
    <x v="1"/>
    <n v="9183"/>
    <n v="8.1"/>
    <s v="20-24"/>
    <x v="1"/>
  </r>
  <r>
    <x v="604"/>
    <x v="225"/>
    <x v="0"/>
    <n v="21"/>
    <x v="10"/>
    <x v="0"/>
    <x v="1"/>
    <x v="0"/>
    <x v="5"/>
    <x v="538"/>
    <s v="Active"/>
    <x v="0"/>
    <n v="36900"/>
    <x v="5"/>
    <n v="87.3"/>
    <n v="0"/>
    <x v="0"/>
    <n v="0"/>
    <n v="24"/>
    <n v="2"/>
    <x v="6"/>
    <n v="3075"/>
    <n v="6.2"/>
    <s v="20-24"/>
    <x v="1"/>
  </r>
  <r>
    <x v="605"/>
    <x v="35"/>
    <x v="1"/>
    <n v="20"/>
    <x v="12"/>
    <x v="3"/>
    <x v="3"/>
    <x v="0"/>
    <x v="0"/>
    <x v="539"/>
    <s v="Active"/>
    <x v="0"/>
    <n v="67100"/>
    <x v="5"/>
    <n v="92.8"/>
    <n v="6"/>
    <x v="0"/>
    <n v="4"/>
    <n v="12"/>
    <n v="5"/>
    <x v="2"/>
    <n v="5592"/>
    <n v="4.7"/>
    <s v="20-24"/>
    <x v="1"/>
  </r>
  <r>
    <x v="606"/>
    <x v="36"/>
    <x v="1"/>
    <n v="27"/>
    <x v="2"/>
    <x v="5"/>
    <x v="0"/>
    <x v="0"/>
    <x v="3"/>
    <x v="540"/>
    <s v="Active"/>
    <x v="1"/>
    <n v="132800"/>
    <x v="0"/>
    <n v="90.7"/>
    <n v="4"/>
    <x v="4"/>
    <n v="1"/>
    <n v="13"/>
    <n v="28"/>
    <x v="2"/>
    <n v="11067"/>
    <n v="2.6"/>
    <s v="25-29"/>
    <x v="1"/>
  </r>
  <r>
    <x v="607"/>
    <x v="3"/>
    <x v="0"/>
    <n v="48"/>
    <x v="13"/>
    <x v="2"/>
    <x v="2"/>
    <x v="0"/>
    <x v="3"/>
    <x v="541"/>
    <s v="Active"/>
    <x v="0"/>
    <n v="66800"/>
    <x v="3"/>
    <n v="96.8"/>
    <n v="1"/>
    <x v="1"/>
    <n v="1"/>
    <n v="10"/>
    <n v="27"/>
    <x v="1"/>
    <n v="5567"/>
    <n v="7.8"/>
    <s v="45+"/>
    <x v="1"/>
  </r>
  <r>
    <x v="608"/>
    <x v="57"/>
    <x v="1"/>
    <n v="23"/>
    <x v="6"/>
    <x v="5"/>
    <x v="3"/>
    <x v="0"/>
    <x v="7"/>
    <x v="542"/>
    <s v="On Leave"/>
    <x v="0"/>
    <n v="69500"/>
    <x v="5"/>
    <n v="92.2"/>
    <n v="0"/>
    <x v="1"/>
    <n v="1"/>
    <n v="24"/>
    <n v="28"/>
    <x v="5"/>
    <n v="5792"/>
    <n v="4.7"/>
    <s v="20-24"/>
    <x v="3"/>
  </r>
  <r>
    <x v="609"/>
    <x v="190"/>
    <x v="0"/>
    <n v="37"/>
    <x v="11"/>
    <x v="3"/>
    <x v="3"/>
    <x v="2"/>
    <x v="6"/>
    <x v="543"/>
    <s v="Active"/>
    <x v="0"/>
    <n v="67400"/>
    <x v="4"/>
    <n v="94.6"/>
    <n v="1"/>
    <x v="15"/>
    <n v="2"/>
    <n v="19"/>
    <n v="28"/>
    <x v="6"/>
    <n v="5617"/>
    <n v="0.5"/>
    <s v="35-39"/>
    <x v="1"/>
  </r>
  <r>
    <x v="610"/>
    <x v="156"/>
    <x v="1"/>
    <n v="42"/>
    <x v="14"/>
    <x v="6"/>
    <x v="2"/>
    <x v="0"/>
    <x v="4"/>
    <x v="544"/>
    <s v="Active"/>
    <x v="2"/>
    <n v="68700"/>
    <x v="4"/>
    <n v="89.7"/>
    <n v="5"/>
    <x v="11"/>
    <n v="0"/>
    <n v="29"/>
    <n v="9"/>
    <x v="0"/>
    <n v="5725"/>
    <n v="0.6"/>
    <s v="40-44"/>
    <x v="2"/>
  </r>
  <r>
    <x v="611"/>
    <x v="100"/>
    <x v="0"/>
    <n v="43"/>
    <x v="4"/>
    <x v="2"/>
    <x v="4"/>
    <x v="0"/>
    <x v="1"/>
    <x v="301"/>
    <s v="Active"/>
    <x v="1"/>
    <n v="97400"/>
    <x v="7"/>
    <n v="82"/>
    <n v="1"/>
    <x v="7"/>
    <n v="1"/>
    <n v="28"/>
    <n v="17"/>
    <x v="0"/>
    <n v="8117"/>
    <n v="6.2"/>
    <s v="40-44"/>
    <x v="1"/>
  </r>
  <r>
    <x v="612"/>
    <x v="55"/>
    <x v="0"/>
    <n v="28"/>
    <x v="3"/>
    <x v="7"/>
    <x v="0"/>
    <x v="2"/>
    <x v="7"/>
    <x v="545"/>
    <s v="Active"/>
    <x v="1"/>
    <n v="76300"/>
    <x v="20"/>
    <n v="97.7"/>
    <n v="5"/>
    <x v="9"/>
    <n v="1"/>
    <n v="7"/>
    <n v="7"/>
    <x v="1"/>
    <n v="6358"/>
    <n v="3.4"/>
    <s v="25-29"/>
    <x v="1"/>
  </r>
  <r>
    <x v="613"/>
    <x v="66"/>
    <x v="1"/>
    <n v="34"/>
    <x v="10"/>
    <x v="5"/>
    <x v="3"/>
    <x v="0"/>
    <x v="1"/>
    <x v="546"/>
    <s v="Active"/>
    <x v="1"/>
    <n v="69800"/>
    <x v="13"/>
    <n v="91.6"/>
    <n v="7"/>
    <x v="10"/>
    <n v="4"/>
    <n v="27"/>
    <n v="2"/>
    <x v="3"/>
    <n v="5817"/>
    <n v="3.2"/>
    <s v="30-34"/>
    <x v="2"/>
  </r>
  <r>
    <x v="614"/>
    <x v="116"/>
    <x v="0"/>
    <n v="35"/>
    <x v="9"/>
    <x v="5"/>
    <x v="4"/>
    <x v="3"/>
    <x v="4"/>
    <x v="547"/>
    <s v="Active"/>
    <x v="2"/>
    <n v="162500"/>
    <x v="28"/>
    <n v="93.1"/>
    <n v="7"/>
    <x v="15"/>
    <n v="3"/>
    <n v="9"/>
    <n v="17"/>
    <x v="3"/>
    <n v="13542"/>
    <n v="7.9"/>
    <s v="35-39"/>
    <x v="1"/>
  </r>
  <r>
    <x v="615"/>
    <x v="68"/>
    <x v="0"/>
    <n v="40"/>
    <x v="1"/>
    <x v="3"/>
    <x v="5"/>
    <x v="0"/>
    <x v="2"/>
    <x v="548"/>
    <s v="Active"/>
    <x v="1"/>
    <n v="24300"/>
    <x v="25"/>
    <n v="95.1"/>
    <n v="5"/>
    <x v="13"/>
    <n v="3"/>
    <n v="15"/>
    <n v="2"/>
    <x v="4"/>
    <n v="2025"/>
    <n v="4.9000000000000004"/>
    <s v="40-44"/>
    <x v="1"/>
  </r>
  <r>
    <x v="616"/>
    <x v="216"/>
    <x v="0"/>
    <n v="49"/>
    <x v="5"/>
    <x v="4"/>
    <x v="5"/>
    <x v="0"/>
    <x v="3"/>
    <x v="549"/>
    <s v="Active"/>
    <x v="0"/>
    <n v="22700"/>
    <x v="29"/>
    <n v="92.3"/>
    <n v="4"/>
    <x v="8"/>
    <n v="3"/>
    <n v="26"/>
    <n v="21"/>
    <x v="5"/>
    <n v="1892"/>
    <n v="5.4"/>
    <s v="45+"/>
    <x v="2"/>
  </r>
  <r>
    <x v="617"/>
    <x v="95"/>
    <x v="1"/>
    <n v="22"/>
    <x v="2"/>
    <x v="5"/>
    <x v="0"/>
    <x v="0"/>
    <x v="7"/>
    <x v="550"/>
    <s v="Active"/>
    <x v="1"/>
    <n v="124700"/>
    <x v="5"/>
    <n v="81.7"/>
    <n v="3"/>
    <x v="6"/>
    <n v="0"/>
    <n v="6"/>
    <n v="17"/>
    <x v="2"/>
    <n v="10392"/>
    <n v="4.5"/>
    <s v="20-24"/>
    <x v="1"/>
  </r>
  <r>
    <x v="618"/>
    <x v="226"/>
    <x v="1"/>
    <n v="20"/>
    <x v="5"/>
    <x v="1"/>
    <x v="1"/>
    <x v="0"/>
    <x v="4"/>
    <x v="551"/>
    <s v="Resigned"/>
    <x v="1"/>
    <n v="38000"/>
    <x v="5"/>
    <n v="89.2"/>
    <n v="5"/>
    <x v="7"/>
    <n v="2"/>
    <n v="4"/>
    <n v="28"/>
    <x v="3"/>
    <n v="3167"/>
    <n v="7.8"/>
    <s v="20-24"/>
    <x v="3"/>
  </r>
  <r>
    <x v="619"/>
    <x v="78"/>
    <x v="0"/>
    <n v="50"/>
    <x v="0"/>
    <x v="2"/>
    <x v="1"/>
    <x v="0"/>
    <x v="3"/>
    <x v="552"/>
    <s v="Active"/>
    <x v="1"/>
    <n v="38500"/>
    <x v="6"/>
    <n v="88.6"/>
    <n v="4"/>
    <x v="15"/>
    <n v="0"/>
    <n v="30"/>
    <n v="23"/>
    <x v="4"/>
    <n v="3208"/>
    <n v="2.7"/>
    <s v="45+"/>
    <x v="1"/>
  </r>
  <r>
    <x v="620"/>
    <x v="196"/>
    <x v="1"/>
    <n v="43"/>
    <x v="4"/>
    <x v="5"/>
    <x v="1"/>
    <x v="1"/>
    <x v="5"/>
    <x v="42"/>
    <s v="Active"/>
    <x v="1"/>
    <n v="53000"/>
    <x v="23"/>
    <n v="88.8"/>
    <n v="3"/>
    <x v="0"/>
    <n v="4"/>
    <n v="9"/>
    <n v="5"/>
    <x v="6"/>
    <n v="4417"/>
    <n v="0.4"/>
    <s v="40-44"/>
    <x v="1"/>
  </r>
  <r>
    <x v="621"/>
    <x v="197"/>
    <x v="0"/>
    <n v="32"/>
    <x v="4"/>
    <x v="0"/>
    <x v="3"/>
    <x v="1"/>
    <x v="3"/>
    <x v="553"/>
    <s v="Active"/>
    <x v="0"/>
    <n v="58900"/>
    <x v="24"/>
    <n v="90"/>
    <n v="5"/>
    <x v="5"/>
    <n v="1"/>
    <n v="17"/>
    <n v="28"/>
    <x v="6"/>
    <n v="4908"/>
    <n v="6.3"/>
    <s v="30-34"/>
    <x v="1"/>
  </r>
  <r>
    <x v="622"/>
    <x v="52"/>
    <x v="1"/>
    <n v="33"/>
    <x v="6"/>
    <x v="5"/>
    <x v="2"/>
    <x v="0"/>
    <x v="1"/>
    <x v="310"/>
    <s v="Active"/>
    <x v="1"/>
    <n v="80500"/>
    <x v="28"/>
    <n v="91.3"/>
    <n v="8"/>
    <x v="2"/>
    <n v="0"/>
    <n v="24"/>
    <n v="26"/>
    <x v="3"/>
    <n v="6708"/>
    <n v="2.6"/>
    <s v="30-34"/>
    <x v="1"/>
  </r>
  <r>
    <x v="623"/>
    <x v="142"/>
    <x v="0"/>
    <n v="25"/>
    <x v="3"/>
    <x v="1"/>
    <x v="2"/>
    <x v="0"/>
    <x v="5"/>
    <x v="554"/>
    <s v="Active"/>
    <x v="0"/>
    <n v="79500"/>
    <x v="30"/>
    <n v="100"/>
    <n v="8"/>
    <x v="9"/>
    <n v="3"/>
    <n v="6"/>
    <n v="3"/>
    <x v="4"/>
    <n v="6625"/>
    <n v="7.1"/>
    <s v="25-29"/>
    <x v="1"/>
  </r>
  <r>
    <x v="624"/>
    <x v="35"/>
    <x v="0"/>
    <n v="24"/>
    <x v="3"/>
    <x v="3"/>
    <x v="1"/>
    <x v="0"/>
    <x v="0"/>
    <x v="555"/>
    <s v="Active"/>
    <x v="0"/>
    <n v="38000"/>
    <x v="20"/>
    <n v="93.6"/>
    <n v="7"/>
    <x v="14"/>
    <n v="2"/>
    <n v="3"/>
    <n v="15"/>
    <x v="6"/>
    <n v="3167"/>
    <n v="0.9"/>
    <s v="20-24"/>
    <x v="1"/>
  </r>
  <r>
    <x v="625"/>
    <x v="77"/>
    <x v="0"/>
    <n v="48"/>
    <x v="13"/>
    <x v="3"/>
    <x v="3"/>
    <x v="0"/>
    <x v="4"/>
    <x v="556"/>
    <s v="Active"/>
    <x v="1"/>
    <n v="70100"/>
    <x v="3"/>
    <n v="94.6"/>
    <n v="0"/>
    <x v="11"/>
    <n v="4"/>
    <n v="30"/>
    <n v="7"/>
    <x v="4"/>
    <n v="5842"/>
    <n v="8.1"/>
    <s v="45+"/>
    <x v="1"/>
  </r>
  <r>
    <x v="626"/>
    <x v="155"/>
    <x v="1"/>
    <n v="42"/>
    <x v="7"/>
    <x v="2"/>
    <x v="0"/>
    <x v="0"/>
    <x v="4"/>
    <x v="111"/>
    <s v="Active"/>
    <x v="1"/>
    <n v="81900"/>
    <x v="25"/>
    <n v="88.7"/>
    <n v="8"/>
    <x v="12"/>
    <n v="1"/>
    <n v="9"/>
    <n v="24"/>
    <x v="6"/>
    <n v="6825"/>
    <n v="6.3"/>
    <s v="40-44"/>
    <x v="2"/>
  </r>
  <r>
    <x v="627"/>
    <x v="180"/>
    <x v="1"/>
    <n v="24"/>
    <x v="9"/>
    <x v="5"/>
    <x v="0"/>
    <x v="0"/>
    <x v="0"/>
    <x v="557"/>
    <s v="Active"/>
    <x v="1"/>
    <n v="126400"/>
    <x v="5"/>
    <n v="98.4"/>
    <n v="4"/>
    <x v="13"/>
    <n v="2"/>
    <n v="29"/>
    <n v="21"/>
    <x v="6"/>
    <n v="10533"/>
    <n v="7.9"/>
    <s v="20-24"/>
    <x v="1"/>
  </r>
  <r>
    <x v="628"/>
    <x v="182"/>
    <x v="0"/>
    <n v="46"/>
    <x v="2"/>
    <x v="3"/>
    <x v="3"/>
    <x v="0"/>
    <x v="5"/>
    <x v="558"/>
    <s v="Active"/>
    <x v="1"/>
    <n v="53500"/>
    <x v="7"/>
    <n v="91.7"/>
    <n v="2"/>
    <x v="10"/>
    <n v="0"/>
    <n v="17"/>
    <n v="13"/>
    <x v="0"/>
    <n v="4458"/>
    <n v="5.7"/>
    <s v="45+"/>
    <x v="1"/>
  </r>
  <r>
    <x v="629"/>
    <x v="38"/>
    <x v="1"/>
    <n v="23"/>
    <x v="7"/>
    <x v="6"/>
    <x v="4"/>
    <x v="0"/>
    <x v="4"/>
    <x v="559"/>
    <s v="Active"/>
    <x v="0"/>
    <n v="129800"/>
    <x v="5"/>
    <n v="90.9"/>
    <n v="7"/>
    <x v="3"/>
    <n v="0"/>
    <n v="17"/>
    <n v="6"/>
    <x v="6"/>
    <n v="10817"/>
    <n v="5.0999999999999996"/>
    <s v="20-24"/>
    <x v="1"/>
  </r>
  <r>
    <x v="630"/>
    <x v="40"/>
    <x v="1"/>
    <n v="40"/>
    <x v="5"/>
    <x v="5"/>
    <x v="2"/>
    <x v="0"/>
    <x v="3"/>
    <x v="560"/>
    <s v="Active"/>
    <x v="0"/>
    <n v="83600"/>
    <x v="4"/>
    <n v="82.1"/>
    <n v="7"/>
    <x v="10"/>
    <n v="2"/>
    <n v="2"/>
    <n v="15"/>
    <x v="1"/>
    <n v="6967"/>
    <n v="8.1"/>
    <s v="40-44"/>
    <x v="1"/>
  </r>
  <r>
    <x v="631"/>
    <x v="200"/>
    <x v="1"/>
    <n v="31"/>
    <x v="11"/>
    <x v="3"/>
    <x v="1"/>
    <x v="0"/>
    <x v="6"/>
    <x v="561"/>
    <s v="Active"/>
    <x v="2"/>
    <n v="42800"/>
    <x v="27"/>
    <n v="94.5"/>
    <n v="8"/>
    <x v="13"/>
    <n v="2"/>
    <n v="12"/>
    <n v="6"/>
    <x v="0"/>
    <n v="3567"/>
    <n v="1.2"/>
    <s v="30-34"/>
    <x v="1"/>
  </r>
  <r>
    <x v="632"/>
    <x v="194"/>
    <x v="1"/>
    <n v="33"/>
    <x v="0"/>
    <x v="7"/>
    <x v="5"/>
    <x v="0"/>
    <x v="7"/>
    <x v="562"/>
    <s v="Active"/>
    <x v="0"/>
    <n v="18100"/>
    <x v="27"/>
    <n v="95.7"/>
    <n v="1"/>
    <x v="15"/>
    <n v="1"/>
    <n v="30"/>
    <n v="19"/>
    <x v="2"/>
    <n v="1508"/>
    <n v="6.9"/>
    <s v="30-34"/>
    <x v="2"/>
  </r>
  <r>
    <x v="633"/>
    <x v="201"/>
    <x v="1"/>
    <n v="46"/>
    <x v="13"/>
    <x v="7"/>
    <x v="1"/>
    <x v="0"/>
    <x v="7"/>
    <x v="563"/>
    <s v="Active"/>
    <x v="0"/>
    <n v="27200"/>
    <x v="8"/>
    <n v="95.5"/>
    <n v="3"/>
    <x v="3"/>
    <n v="3"/>
    <n v="30"/>
    <n v="17"/>
    <x v="2"/>
    <n v="2267"/>
    <n v="4.4000000000000004"/>
    <s v="45+"/>
    <x v="1"/>
  </r>
  <r>
    <x v="634"/>
    <x v="174"/>
    <x v="0"/>
    <n v="42"/>
    <x v="6"/>
    <x v="2"/>
    <x v="2"/>
    <x v="1"/>
    <x v="4"/>
    <x v="564"/>
    <s v="Active"/>
    <x v="1"/>
    <n v="58100"/>
    <x v="23"/>
    <n v="84"/>
    <n v="1"/>
    <x v="12"/>
    <n v="2"/>
    <n v="13"/>
    <n v="22"/>
    <x v="0"/>
    <n v="4842"/>
    <n v="2.2999999999999998"/>
    <s v="40-44"/>
    <x v="1"/>
  </r>
  <r>
    <x v="635"/>
    <x v="31"/>
    <x v="1"/>
    <n v="33"/>
    <x v="4"/>
    <x v="0"/>
    <x v="1"/>
    <x v="0"/>
    <x v="1"/>
    <x v="565"/>
    <s v="Active"/>
    <x v="1"/>
    <n v="35800"/>
    <x v="27"/>
    <n v="95.7"/>
    <n v="5"/>
    <x v="14"/>
    <n v="1"/>
    <n v="21"/>
    <n v="17"/>
    <x v="0"/>
    <n v="2983"/>
    <n v="3.9"/>
    <s v="30-34"/>
    <x v="3"/>
  </r>
  <r>
    <x v="636"/>
    <x v="218"/>
    <x v="0"/>
    <n v="30"/>
    <x v="2"/>
    <x v="0"/>
    <x v="3"/>
    <x v="0"/>
    <x v="2"/>
    <x v="566"/>
    <s v="On Leave"/>
    <x v="0"/>
    <n v="44900"/>
    <x v="1"/>
    <n v="89.4"/>
    <n v="0"/>
    <x v="1"/>
    <n v="2"/>
    <n v="13"/>
    <n v="11"/>
    <x v="4"/>
    <n v="3742"/>
    <n v="5.9"/>
    <s v="30-34"/>
    <x v="1"/>
  </r>
  <r>
    <x v="637"/>
    <x v="49"/>
    <x v="0"/>
    <n v="41"/>
    <x v="9"/>
    <x v="2"/>
    <x v="1"/>
    <x v="0"/>
    <x v="7"/>
    <x v="567"/>
    <s v="Active"/>
    <x v="1"/>
    <n v="35300"/>
    <x v="14"/>
    <n v="84.7"/>
    <n v="2"/>
    <x v="4"/>
    <n v="2"/>
    <n v="0"/>
    <n v="12"/>
    <x v="0"/>
    <n v="2942"/>
    <n v="0"/>
    <s v="40-44"/>
    <x v="3"/>
  </r>
  <r>
    <x v="638"/>
    <x v="148"/>
    <x v="1"/>
    <n v="29"/>
    <x v="12"/>
    <x v="0"/>
    <x v="0"/>
    <x v="0"/>
    <x v="4"/>
    <x v="568"/>
    <s v="Active"/>
    <x v="1"/>
    <n v="112500"/>
    <x v="0"/>
    <n v="100"/>
    <n v="1"/>
    <x v="8"/>
    <n v="3"/>
    <n v="4"/>
    <n v="22"/>
    <x v="6"/>
    <n v="9375"/>
    <n v="6.8"/>
    <s v="25-29"/>
    <x v="1"/>
  </r>
  <r>
    <x v="639"/>
    <x v="169"/>
    <x v="1"/>
    <n v="29"/>
    <x v="8"/>
    <x v="1"/>
    <x v="3"/>
    <x v="0"/>
    <x v="2"/>
    <x v="569"/>
    <s v="Active"/>
    <x v="1"/>
    <n v="51200"/>
    <x v="1"/>
    <n v="98.6"/>
    <n v="6"/>
    <x v="9"/>
    <n v="1"/>
    <n v="9"/>
    <n v="6"/>
    <x v="1"/>
    <n v="4267"/>
    <n v="8.3000000000000007"/>
    <s v="25-29"/>
    <x v="2"/>
  </r>
  <r>
    <x v="640"/>
    <x v="16"/>
    <x v="1"/>
    <n v="48"/>
    <x v="14"/>
    <x v="7"/>
    <x v="0"/>
    <x v="0"/>
    <x v="6"/>
    <x v="570"/>
    <s v="Active"/>
    <x v="1"/>
    <n v="61500"/>
    <x v="6"/>
    <n v="94.3"/>
    <n v="7"/>
    <x v="14"/>
    <n v="0"/>
    <n v="13"/>
    <n v="5"/>
    <x v="0"/>
    <n v="5125"/>
    <n v="4.2"/>
    <s v="45+"/>
    <x v="2"/>
  </r>
  <r>
    <x v="641"/>
    <x v="112"/>
    <x v="1"/>
    <n v="47"/>
    <x v="1"/>
    <x v="7"/>
    <x v="4"/>
    <x v="0"/>
    <x v="3"/>
    <x v="571"/>
    <s v="Active"/>
    <x v="0"/>
    <n v="81800"/>
    <x v="19"/>
    <n v="93.6"/>
    <n v="1"/>
    <x v="12"/>
    <n v="1"/>
    <n v="18"/>
    <n v="27"/>
    <x v="4"/>
    <n v="6817"/>
    <n v="8.1"/>
    <s v="45+"/>
    <x v="3"/>
  </r>
  <r>
    <x v="642"/>
    <x v="227"/>
    <x v="1"/>
    <n v="49"/>
    <x v="6"/>
    <x v="1"/>
    <x v="5"/>
    <x v="2"/>
    <x v="5"/>
    <x v="572"/>
    <s v="Active"/>
    <x v="2"/>
    <n v="25300"/>
    <x v="6"/>
    <n v="98.8"/>
    <n v="8"/>
    <x v="0"/>
    <n v="1"/>
    <n v="22"/>
    <n v="21"/>
    <x v="3"/>
    <n v="2108"/>
    <n v="5.8"/>
    <s v="45+"/>
    <x v="1"/>
  </r>
  <r>
    <x v="643"/>
    <x v="182"/>
    <x v="0"/>
    <n v="46"/>
    <x v="6"/>
    <x v="7"/>
    <x v="3"/>
    <x v="0"/>
    <x v="6"/>
    <x v="573"/>
    <s v="Active"/>
    <x v="1"/>
    <n v="33300"/>
    <x v="19"/>
    <n v="88.6"/>
    <n v="0"/>
    <x v="6"/>
    <n v="1"/>
    <n v="6"/>
    <n v="30"/>
    <x v="6"/>
    <n v="2775"/>
    <n v="5"/>
    <s v="45+"/>
    <x v="1"/>
  </r>
  <r>
    <x v="644"/>
    <x v="12"/>
    <x v="0"/>
    <n v="28"/>
    <x v="6"/>
    <x v="7"/>
    <x v="5"/>
    <x v="0"/>
    <x v="1"/>
    <x v="574"/>
    <s v="Active"/>
    <x v="2"/>
    <n v="18000"/>
    <x v="15"/>
    <n v="100"/>
    <n v="1"/>
    <x v="11"/>
    <n v="3"/>
    <n v="25"/>
    <n v="8"/>
    <x v="6"/>
    <n v="1500"/>
    <n v="4.3"/>
    <s v="25-29"/>
    <x v="1"/>
  </r>
  <r>
    <x v="645"/>
    <x v="3"/>
    <x v="0"/>
    <n v="45"/>
    <x v="13"/>
    <x v="2"/>
    <x v="0"/>
    <x v="0"/>
    <x v="4"/>
    <x v="410"/>
    <s v="On Leave"/>
    <x v="1"/>
    <n v="85400"/>
    <x v="7"/>
    <n v="91.2"/>
    <n v="2"/>
    <x v="4"/>
    <n v="3"/>
    <n v="14"/>
    <n v="7"/>
    <x v="1"/>
    <n v="7117"/>
    <n v="2.5"/>
    <s v="45+"/>
    <x v="2"/>
  </r>
  <r>
    <x v="646"/>
    <x v="228"/>
    <x v="1"/>
    <n v="21"/>
    <x v="8"/>
    <x v="0"/>
    <x v="3"/>
    <x v="2"/>
    <x v="1"/>
    <x v="575"/>
    <s v="Active"/>
    <x v="0"/>
    <n v="57400"/>
    <x v="5"/>
    <n v="96"/>
    <n v="1"/>
    <x v="7"/>
    <n v="4"/>
    <n v="27"/>
    <n v="16"/>
    <x v="4"/>
    <n v="4783"/>
    <n v="3.7"/>
    <s v="20-24"/>
    <x v="1"/>
  </r>
  <r>
    <x v="647"/>
    <x v="21"/>
    <x v="0"/>
    <n v="33"/>
    <x v="14"/>
    <x v="0"/>
    <x v="1"/>
    <x v="0"/>
    <x v="3"/>
    <x v="576"/>
    <s v="On Leave"/>
    <x v="0"/>
    <n v="41400"/>
    <x v="17"/>
    <n v="93.7"/>
    <n v="0"/>
    <x v="2"/>
    <n v="0"/>
    <n v="20"/>
    <n v="28"/>
    <x v="4"/>
    <n v="3450"/>
    <n v="6.8"/>
    <s v="30-34"/>
    <x v="1"/>
  </r>
  <r>
    <x v="648"/>
    <x v="84"/>
    <x v="1"/>
    <n v="26"/>
    <x v="11"/>
    <x v="4"/>
    <x v="1"/>
    <x v="0"/>
    <x v="3"/>
    <x v="5"/>
    <s v="Active"/>
    <x v="1"/>
    <n v="30300"/>
    <x v="0"/>
    <n v="86"/>
    <n v="7"/>
    <x v="15"/>
    <n v="3"/>
    <n v="30"/>
    <n v="16"/>
    <x v="3"/>
    <n v="2525"/>
    <n v="8.4"/>
    <s v="25-29"/>
    <x v="2"/>
  </r>
  <r>
    <x v="649"/>
    <x v="175"/>
    <x v="1"/>
    <n v="36"/>
    <x v="14"/>
    <x v="5"/>
    <x v="3"/>
    <x v="0"/>
    <x v="2"/>
    <x v="577"/>
    <s v="Active"/>
    <x v="1"/>
    <n v="69400"/>
    <x v="24"/>
    <n v="91.1"/>
    <n v="0"/>
    <x v="2"/>
    <n v="3"/>
    <n v="8"/>
    <n v="25"/>
    <x v="3"/>
    <n v="5783"/>
    <n v="3.1"/>
    <s v="35-39"/>
    <x v="1"/>
  </r>
  <r>
    <x v="650"/>
    <x v="86"/>
    <x v="1"/>
    <n v="43"/>
    <x v="1"/>
    <x v="0"/>
    <x v="4"/>
    <x v="0"/>
    <x v="7"/>
    <x v="578"/>
    <s v="Resigned"/>
    <x v="0"/>
    <n v="126000"/>
    <x v="11"/>
    <n v="98.4"/>
    <n v="4"/>
    <x v="10"/>
    <n v="1"/>
    <n v="26"/>
    <n v="18"/>
    <x v="4"/>
    <n v="10500"/>
    <n v="0.4"/>
    <s v="40-44"/>
    <x v="1"/>
  </r>
  <r>
    <x v="651"/>
    <x v="81"/>
    <x v="1"/>
    <n v="39"/>
    <x v="14"/>
    <x v="0"/>
    <x v="2"/>
    <x v="0"/>
    <x v="6"/>
    <x v="202"/>
    <s v="On Leave"/>
    <x v="2"/>
    <n v="71000"/>
    <x v="4"/>
    <n v="87.1"/>
    <n v="5"/>
    <x v="5"/>
    <n v="1"/>
    <n v="28"/>
    <n v="11"/>
    <x v="2"/>
    <n v="5917"/>
    <n v="6.6"/>
    <s v="35-39"/>
    <x v="3"/>
  </r>
  <r>
    <x v="652"/>
    <x v="200"/>
    <x v="0"/>
    <n v="27"/>
    <x v="0"/>
    <x v="1"/>
    <x v="0"/>
    <x v="0"/>
    <x v="4"/>
    <x v="579"/>
    <s v="Active"/>
    <x v="1"/>
    <n v="83400"/>
    <x v="9"/>
    <n v="97.8"/>
    <n v="6"/>
    <x v="14"/>
    <n v="2"/>
    <n v="9"/>
    <n v="19"/>
    <x v="0"/>
    <n v="6950"/>
    <n v="0.1"/>
    <s v="25-29"/>
    <x v="1"/>
  </r>
  <r>
    <x v="653"/>
    <x v="13"/>
    <x v="1"/>
    <n v="43"/>
    <x v="14"/>
    <x v="3"/>
    <x v="3"/>
    <x v="0"/>
    <x v="7"/>
    <x v="230"/>
    <s v="Active"/>
    <x v="1"/>
    <n v="63700"/>
    <x v="3"/>
    <n v="94.3"/>
    <n v="2"/>
    <x v="6"/>
    <n v="2"/>
    <n v="7"/>
    <n v="12"/>
    <x v="5"/>
    <n v="5308"/>
    <n v="5.7"/>
    <s v="40-44"/>
    <x v="1"/>
  </r>
  <r>
    <x v="654"/>
    <x v="151"/>
    <x v="0"/>
    <n v="39"/>
    <x v="8"/>
    <x v="5"/>
    <x v="5"/>
    <x v="1"/>
    <x v="0"/>
    <x v="580"/>
    <s v="On Leave"/>
    <x v="2"/>
    <n v="26300"/>
    <x v="14"/>
    <n v="84.5"/>
    <n v="6"/>
    <x v="11"/>
    <n v="2"/>
    <n v="8"/>
    <n v="28"/>
    <x v="3"/>
    <n v="2192"/>
    <n v="0.1"/>
    <s v="35-39"/>
    <x v="1"/>
  </r>
  <r>
    <x v="655"/>
    <x v="7"/>
    <x v="0"/>
    <n v="23"/>
    <x v="4"/>
    <x v="2"/>
    <x v="4"/>
    <x v="0"/>
    <x v="2"/>
    <x v="581"/>
    <s v="Active"/>
    <x v="0"/>
    <n v="123400"/>
    <x v="20"/>
    <n v="91"/>
    <n v="7"/>
    <x v="13"/>
    <n v="3"/>
    <n v="10"/>
    <n v="19"/>
    <x v="5"/>
    <n v="10283"/>
    <n v="4"/>
    <s v="20-24"/>
    <x v="2"/>
  </r>
  <r>
    <x v="656"/>
    <x v="220"/>
    <x v="1"/>
    <n v="24"/>
    <x v="8"/>
    <x v="2"/>
    <x v="5"/>
    <x v="0"/>
    <x v="5"/>
    <x v="582"/>
    <s v="Active"/>
    <x v="1"/>
    <n v="18500"/>
    <x v="30"/>
    <n v="90.8"/>
    <n v="2"/>
    <x v="11"/>
    <n v="2"/>
    <n v="21"/>
    <n v="3"/>
    <x v="3"/>
    <n v="1542"/>
    <n v="4.2"/>
    <s v="20-24"/>
    <x v="3"/>
  </r>
  <r>
    <x v="657"/>
    <x v="191"/>
    <x v="0"/>
    <n v="32"/>
    <x v="14"/>
    <x v="5"/>
    <x v="4"/>
    <x v="0"/>
    <x v="1"/>
    <x v="583"/>
    <s v="Active"/>
    <x v="1"/>
    <n v="134600"/>
    <x v="24"/>
    <n v="85.9"/>
    <n v="4"/>
    <x v="10"/>
    <n v="0"/>
    <n v="7"/>
    <n v="4"/>
    <x v="3"/>
    <n v="11217"/>
    <n v="8.4"/>
    <s v="30-34"/>
    <x v="1"/>
  </r>
  <r>
    <x v="658"/>
    <x v="217"/>
    <x v="0"/>
    <n v="26"/>
    <x v="7"/>
    <x v="3"/>
    <x v="3"/>
    <x v="0"/>
    <x v="2"/>
    <x v="584"/>
    <s v="Resigned"/>
    <x v="0"/>
    <n v="59700"/>
    <x v="0"/>
    <n v="92.5"/>
    <n v="0"/>
    <x v="14"/>
    <n v="2"/>
    <n v="25"/>
    <n v="7"/>
    <x v="3"/>
    <n v="4975"/>
    <n v="8.1999999999999993"/>
    <s v="25-29"/>
    <x v="1"/>
  </r>
  <r>
    <x v="659"/>
    <x v="129"/>
    <x v="1"/>
    <n v="25"/>
    <x v="10"/>
    <x v="6"/>
    <x v="5"/>
    <x v="2"/>
    <x v="4"/>
    <x v="585"/>
    <s v="Active"/>
    <x v="0"/>
    <n v="20000"/>
    <x v="10"/>
    <n v="84.2"/>
    <n v="8"/>
    <x v="7"/>
    <n v="4"/>
    <n v="17"/>
    <n v="4"/>
    <x v="3"/>
    <n v="1667"/>
    <n v="4.5999999999999996"/>
    <s v="25-29"/>
    <x v="1"/>
  </r>
  <r>
    <x v="660"/>
    <x v="121"/>
    <x v="1"/>
    <n v="36"/>
    <x v="5"/>
    <x v="4"/>
    <x v="2"/>
    <x v="0"/>
    <x v="2"/>
    <x v="586"/>
    <s v="Active"/>
    <x v="1"/>
    <n v="65700"/>
    <x v="13"/>
    <n v="95.4"/>
    <n v="7"/>
    <x v="2"/>
    <n v="4"/>
    <n v="4"/>
    <n v="8"/>
    <x v="2"/>
    <n v="5475"/>
    <n v="0.9"/>
    <s v="35-39"/>
    <x v="1"/>
  </r>
  <r>
    <x v="661"/>
    <x v="190"/>
    <x v="0"/>
    <n v="25"/>
    <x v="2"/>
    <x v="7"/>
    <x v="4"/>
    <x v="0"/>
    <x v="6"/>
    <x v="587"/>
    <s v="Active"/>
    <x v="0"/>
    <n v="83100"/>
    <x v="9"/>
    <n v="86.6"/>
    <n v="2"/>
    <x v="13"/>
    <n v="1"/>
    <n v="7"/>
    <n v="4"/>
    <x v="2"/>
    <n v="6925"/>
    <n v="2.2000000000000002"/>
    <s v="25-29"/>
    <x v="2"/>
  </r>
  <r>
    <x v="662"/>
    <x v="66"/>
    <x v="0"/>
    <n v="38"/>
    <x v="5"/>
    <x v="0"/>
    <x v="4"/>
    <x v="2"/>
    <x v="3"/>
    <x v="588"/>
    <s v="Active"/>
    <x v="0"/>
    <n v="133000"/>
    <x v="14"/>
    <n v="89.4"/>
    <n v="3"/>
    <x v="1"/>
    <n v="3"/>
    <n v="1"/>
    <n v="16"/>
    <x v="5"/>
    <n v="11083"/>
    <n v="1.5"/>
    <s v="35-39"/>
    <x v="3"/>
  </r>
  <r>
    <x v="663"/>
    <x v="13"/>
    <x v="0"/>
    <n v="44"/>
    <x v="10"/>
    <x v="2"/>
    <x v="1"/>
    <x v="0"/>
    <x v="3"/>
    <x v="589"/>
    <s v="Active"/>
    <x v="1"/>
    <n v="38300"/>
    <x v="23"/>
    <n v="91"/>
    <n v="0"/>
    <x v="10"/>
    <n v="4"/>
    <n v="30"/>
    <n v="14"/>
    <x v="4"/>
    <n v="3192"/>
    <n v="3.1"/>
    <s v="40-44"/>
    <x v="2"/>
  </r>
  <r>
    <x v="664"/>
    <x v="154"/>
    <x v="0"/>
    <n v="22"/>
    <x v="8"/>
    <x v="5"/>
    <x v="1"/>
    <x v="0"/>
    <x v="3"/>
    <x v="590"/>
    <s v="Active"/>
    <x v="1"/>
    <n v="50000"/>
    <x v="30"/>
    <n v="98.6"/>
    <n v="0"/>
    <x v="8"/>
    <n v="0"/>
    <n v="17"/>
    <n v="7"/>
    <x v="5"/>
    <n v="4167"/>
    <n v="5.6"/>
    <s v="20-24"/>
    <x v="2"/>
  </r>
  <r>
    <x v="665"/>
    <x v="179"/>
    <x v="1"/>
    <n v="28"/>
    <x v="5"/>
    <x v="7"/>
    <x v="2"/>
    <x v="0"/>
    <x v="5"/>
    <x v="591"/>
    <s v="Active"/>
    <x v="1"/>
    <n v="47500"/>
    <x v="1"/>
    <n v="84.7"/>
    <n v="5"/>
    <x v="7"/>
    <n v="1"/>
    <n v="18"/>
    <n v="3"/>
    <x v="2"/>
    <n v="3958"/>
    <n v="7"/>
    <s v="25-29"/>
    <x v="1"/>
  </r>
  <r>
    <x v="666"/>
    <x v="78"/>
    <x v="1"/>
    <n v="40"/>
    <x v="2"/>
    <x v="1"/>
    <x v="2"/>
    <x v="3"/>
    <x v="5"/>
    <x v="592"/>
    <s v="Resigned"/>
    <x v="0"/>
    <n v="80600"/>
    <x v="14"/>
    <n v="88.5"/>
    <n v="5"/>
    <x v="8"/>
    <n v="4"/>
    <n v="17"/>
    <n v="3"/>
    <x v="1"/>
    <n v="6717"/>
    <n v="8.1999999999999993"/>
    <s v="40-44"/>
    <x v="1"/>
  </r>
  <r>
    <x v="667"/>
    <x v="96"/>
    <x v="1"/>
    <n v="47"/>
    <x v="7"/>
    <x v="2"/>
    <x v="2"/>
    <x v="1"/>
    <x v="3"/>
    <x v="593"/>
    <s v="Active"/>
    <x v="0"/>
    <n v="66700"/>
    <x v="19"/>
    <n v="91.8"/>
    <n v="8"/>
    <x v="2"/>
    <n v="2"/>
    <n v="19"/>
    <n v="20"/>
    <x v="2"/>
    <n v="5558"/>
    <n v="2.9"/>
    <s v="45+"/>
    <x v="1"/>
  </r>
  <r>
    <x v="668"/>
    <x v="89"/>
    <x v="1"/>
    <n v="45"/>
    <x v="13"/>
    <x v="0"/>
    <x v="1"/>
    <x v="0"/>
    <x v="4"/>
    <x v="594"/>
    <s v="Active"/>
    <x v="1"/>
    <n v="36600"/>
    <x v="3"/>
    <n v="90.7"/>
    <n v="4"/>
    <x v="2"/>
    <n v="4"/>
    <n v="15"/>
    <n v="29"/>
    <x v="6"/>
    <n v="3050"/>
    <n v="1.2"/>
    <s v="45+"/>
    <x v="1"/>
  </r>
  <r>
    <x v="669"/>
    <x v="67"/>
    <x v="0"/>
    <n v="34"/>
    <x v="5"/>
    <x v="2"/>
    <x v="4"/>
    <x v="0"/>
    <x v="3"/>
    <x v="595"/>
    <s v="Active"/>
    <x v="0"/>
    <n v="109200"/>
    <x v="28"/>
    <n v="91.5"/>
    <n v="2"/>
    <x v="4"/>
    <n v="4"/>
    <n v="3"/>
    <n v="9"/>
    <x v="6"/>
    <n v="9100"/>
    <n v="2.8"/>
    <s v="30-34"/>
    <x v="2"/>
  </r>
  <r>
    <x v="670"/>
    <x v="81"/>
    <x v="0"/>
    <n v="27"/>
    <x v="13"/>
    <x v="7"/>
    <x v="2"/>
    <x v="2"/>
    <x v="2"/>
    <x v="596"/>
    <s v="Active"/>
    <x v="1"/>
    <n v="49200"/>
    <x v="0"/>
    <n v="90"/>
    <n v="5"/>
    <x v="14"/>
    <n v="1"/>
    <n v="16"/>
    <n v="10"/>
    <x v="3"/>
    <n v="4100"/>
    <n v="4.7"/>
    <s v="25-29"/>
    <x v="2"/>
  </r>
  <r>
    <x v="671"/>
    <x v="162"/>
    <x v="0"/>
    <n v="44"/>
    <x v="10"/>
    <x v="1"/>
    <x v="0"/>
    <x v="0"/>
    <x v="5"/>
    <x v="597"/>
    <s v="Active"/>
    <x v="2"/>
    <n v="101700"/>
    <x v="3"/>
    <n v="92.4"/>
    <n v="7"/>
    <x v="4"/>
    <n v="3"/>
    <n v="5"/>
    <n v="3"/>
    <x v="6"/>
    <n v="8475"/>
    <n v="3.3"/>
    <s v="40-44"/>
    <x v="3"/>
  </r>
  <r>
    <x v="672"/>
    <x v="209"/>
    <x v="0"/>
    <n v="44"/>
    <x v="0"/>
    <x v="2"/>
    <x v="3"/>
    <x v="2"/>
    <x v="3"/>
    <x v="102"/>
    <s v="Active"/>
    <x v="2"/>
    <n v="45100"/>
    <x v="21"/>
    <n v="81.2"/>
    <n v="6"/>
    <x v="4"/>
    <n v="2"/>
    <n v="11"/>
    <n v="8"/>
    <x v="4"/>
    <n v="3758"/>
    <n v="6.5"/>
    <s v="40-44"/>
    <x v="1"/>
  </r>
  <r>
    <x v="673"/>
    <x v="119"/>
    <x v="0"/>
    <n v="42"/>
    <x v="4"/>
    <x v="1"/>
    <x v="3"/>
    <x v="0"/>
    <x v="4"/>
    <x v="598"/>
    <s v="Active"/>
    <x v="0"/>
    <n v="50000"/>
    <x v="11"/>
    <n v="98.1"/>
    <n v="2"/>
    <x v="7"/>
    <n v="2"/>
    <n v="6"/>
    <n v="30"/>
    <x v="5"/>
    <n v="4167"/>
    <n v="3.8"/>
    <s v="40-44"/>
    <x v="1"/>
  </r>
  <r>
    <x v="674"/>
    <x v="107"/>
    <x v="1"/>
    <n v="45"/>
    <x v="1"/>
    <x v="3"/>
    <x v="4"/>
    <x v="0"/>
    <x v="7"/>
    <x v="599"/>
    <s v="Active"/>
    <x v="1"/>
    <n v="135400"/>
    <x v="21"/>
    <n v="90.6"/>
    <n v="0"/>
    <x v="2"/>
    <n v="2"/>
    <n v="22"/>
    <n v="18"/>
    <x v="0"/>
    <n v="11283"/>
    <n v="3.5"/>
    <s v="45+"/>
    <x v="3"/>
  </r>
  <r>
    <x v="675"/>
    <x v="196"/>
    <x v="1"/>
    <n v="34"/>
    <x v="4"/>
    <x v="6"/>
    <x v="2"/>
    <x v="0"/>
    <x v="7"/>
    <x v="228"/>
    <s v="Resigned"/>
    <x v="2"/>
    <n v="80700"/>
    <x v="28"/>
    <n v="100"/>
    <n v="3"/>
    <x v="9"/>
    <n v="2"/>
    <n v="13"/>
    <n v="16"/>
    <x v="0"/>
    <n v="6725"/>
    <n v="1.5"/>
    <s v="30-34"/>
    <x v="1"/>
  </r>
  <r>
    <x v="676"/>
    <x v="174"/>
    <x v="0"/>
    <n v="20"/>
    <x v="1"/>
    <x v="7"/>
    <x v="0"/>
    <x v="0"/>
    <x v="0"/>
    <x v="600"/>
    <s v="Active"/>
    <x v="0"/>
    <n v="73600"/>
    <x v="5"/>
    <n v="89.3"/>
    <n v="5"/>
    <x v="8"/>
    <n v="3"/>
    <n v="11"/>
    <n v="5"/>
    <x v="5"/>
    <n v="6133"/>
    <n v="4.3"/>
    <s v="20-24"/>
    <x v="1"/>
  </r>
  <r>
    <x v="677"/>
    <x v="196"/>
    <x v="0"/>
    <n v="27"/>
    <x v="3"/>
    <x v="7"/>
    <x v="4"/>
    <x v="0"/>
    <x v="7"/>
    <x v="601"/>
    <s v="Active"/>
    <x v="0"/>
    <n v="80200"/>
    <x v="15"/>
    <n v="96.2"/>
    <n v="3"/>
    <x v="13"/>
    <n v="2"/>
    <n v="20"/>
    <n v="23"/>
    <x v="1"/>
    <n v="6683"/>
    <n v="3.9"/>
    <s v="25-29"/>
    <x v="2"/>
  </r>
  <r>
    <x v="678"/>
    <x v="107"/>
    <x v="1"/>
    <n v="42"/>
    <x v="1"/>
    <x v="1"/>
    <x v="2"/>
    <x v="3"/>
    <x v="0"/>
    <x v="305"/>
    <s v="Active"/>
    <x v="1"/>
    <n v="74800"/>
    <x v="8"/>
    <n v="87.3"/>
    <n v="4"/>
    <x v="6"/>
    <n v="3"/>
    <n v="19"/>
    <n v="24"/>
    <x v="2"/>
    <n v="6233"/>
    <n v="1.8"/>
    <s v="40-44"/>
    <x v="2"/>
  </r>
  <r>
    <x v="679"/>
    <x v="73"/>
    <x v="0"/>
    <n v="23"/>
    <x v="8"/>
    <x v="0"/>
    <x v="3"/>
    <x v="0"/>
    <x v="4"/>
    <x v="76"/>
    <s v="Active"/>
    <x v="0"/>
    <n v="56300"/>
    <x v="5"/>
    <n v="91.2"/>
    <n v="6"/>
    <x v="10"/>
    <n v="1"/>
    <n v="1"/>
    <n v="14"/>
    <x v="0"/>
    <n v="4692"/>
    <n v="4.9000000000000004"/>
    <s v="20-24"/>
    <x v="1"/>
  </r>
  <r>
    <x v="680"/>
    <x v="162"/>
    <x v="1"/>
    <n v="41"/>
    <x v="12"/>
    <x v="1"/>
    <x v="5"/>
    <x v="2"/>
    <x v="7"/>
    <x v="602"/>
    <s v="Active"/>
    <x v="2"/>
    <n v="22400"/>
    <x v="4"/>
    <n v="86"/>
    <n v="4"/>
    <x v="2"/>
    <n v="0"/>
    <n v="20"/>
    <n v="4"/>
    <x v="5"/>
    <n v="1867"/>
    <n v="5.6"/>
    <s v="40-44"/>
    <x v="1"/>
  </r>
  <r>
    <x v="681"/>
    <x v="186"/>
    <x v="1"/>
    <n v="29"/>
    <x v="11"/>
    <x v="7"/>
    <x v="5"/>
    <x v="0"/>
    <x v="5"/>
    <x v="603"/>
    <s v="Active"/>
    <x v="0"/>
    <n v="18000"/>
    <x v="15"/>
    <n v="89.4"/>
    <n v="4"/>
    <x v="4"/>
    <n v="3"/>
    <n v="30"/>
    <n v="13"/>
    <x v="4"/>
    <n v="1500"/>
    <n v="8.5"/>
    <s v="25-29"/>
    <x v="3"/>
  </r>
  <r>
    <x v="682"/>
    <x v="137"/>
    <x v="1"/>
    <n v="35"/>
    <x v="13"/>
    <x v="0"/>
    <x v="1"/>
    <x v="0"/>
    <x v="4"/>
    <x v="604"/>
    <s v="Active"/>
    <x v="0"/>
    <n v="37800"/>
    <x v="17"/>
    <n v="87.3"/>
    <n v="1"/>
    <x v="15"/>
    <n v="2"/>
    <n v="3"/>
    <n v="4"/>
    <x v="6"/>
    <n v="3150"/>
    <n v="2"/>
    <s v="35-39"/>
    <x v="2"/>
  </r>
  <r>
    <x v="683"/>
    <x v="163"/>
    <x v="0"/>
    <n v="37"/>
    <x v="5"/>
    <x v="6"/>
    <x v="1"/>
    <x v="1"/>
    <x v="1"/>
    <x v="233"/>
    <s v="Active"/>
    <x v="1"/>
    <n v="30700"/>
    <x v="14"/>
    <n v="93.5"/>
    <n v="0"/>
    <x v="11"/>
    <n v="1"/>
    <n v="7"/>
    <n v="30"/>
    <x v="6"/>
    <n v="2558"/>
    <n v="4"/>
    <s v="35-39"/>
    <x v="2"/>
  </r>
  <r>
    <x v="684"/>
    <x v="152"/>
    <x v="1"/>
    <n v="23"/>
    <x v="2"/>
    <x v="7"/>
    <x v="3"/>
    <x v="0"/>
    <x v="0"/>
    <x v="605"/>
    <s v="Active"/>
    <x v="0"/>
    <n v="38600"/>
    <x v="20"/>
    <n v="99.3"/>
    <n v="3"/>
    <x v="15"/>
    <n v="1"/>
    <n v="30"/>
    <n v="22"/>
    <x v="4"/>
    <n v="3217"/>
    <n v="1.1000000000000001"/>
    <s v="20-24"/>
    <x v="1"/>
  </r>
  <r>
    <x v="685"/>
    <x v="132"/>
    <x v="0"/>
    <n v="27"/>
    <x v="8"/>
    <x v="4"/>
    <x v="3"/>
    <x v="0"/>
    <x v="6"/>
    <x v="235"/>
    <s v="Active"/>
    <x v="2"/>
    <n v="45200"/>
    <x v="20"/>
    <n v="93.3"/>
    <n v="7"/>
    <x v="4"/>
    <n v="4"/>
    <n v="9"/>
    <n v="20"/>
    <x v="1"/>
    <n v="3767"/>
    <n v="0.5"/>
    <s v="25-29"/>
    <x v="1"/>
  </r>
  <r>
    <x v="686"/>
    <x v="171"/>
    <x v="0"/>
    <n v="23"/>
    <x v="9"/>
    <x v="2"/>
    <x v="3"/>
    <x v="0"/>
    <x v="5"/>
    <x v="199"/>
    <s v="Active"/>
    <x v="0"/>
    <n v="46800"/>
    <x v="2"/>
    <n v="100"/>
    <n v="2"/>
    <x v="11"/>
    <n v="4"/>
    <n v="16"/>
    <n v="10"/>
    <x v="6"/>
    <n v="3900"/>
    <n v="7"/>
    <s v="20-24"/>
    <x v="2"/>
  </r>
  <r>
    <x v="687"/>
    <x v="166"/>
    <x v="1"/>
    <n v="29"/>
    <x v="13"/>
    <x v="0"/>
    <x v="3"/>
    <x v="0"/>
    <x v="2"/>
    <x v="606"/>
    <s v="Active"/>
    <x v="2"/>
    <n v="59000"/>
    <x v="9"/>
    <n v="94.5"/>
    <n v="5"/>
    <x v="11"/>
    <n v="0"/>
    <n v="6"/>
    <n v="17"/>
    <x v="0"/>
    <n v="4917"/>
    <n v="7.9"/>
    <s v="25-29"/>
    <x v="1"/>
  </r>
  <r>
    <x v="688"/>
    <x v="111"/>
    <x v="0"/>
    <n v="39"/>
    <x v="9"/>
    <x v="5"/>
    <x v="1"/>
    <x v="0"/>
    <x v="3"/>
    <x v="387"/>
    <s v="Resigned"/>
    <x v="1"/>
    <n v="39000"/>
    <x v="4"/>
    <n v="86.3"/>
    <n v="1"/>
    <x v="10"/>
    <n v="0"/>
    <n v="20"/>
    <n v="19"/>
    <x v="3"/>
    <n v="3250"/>
    <n v="1.7"/>
    <s v="35-39"/>
    <x v="1"/>
  </r>
  <r>
    <x v="689"/>
    <x v="221"/>
    <x v="0"/>
    <n v="49"/>
    <x v="9"/>
    <x v="7"/>
    <x v="5"/>
    <x v="1"/>
    <x v="5"/>
    <x v="425"/>
    <s v="Active"/>
    <x v="1"/>
    <n v="18000"/>
    <x v="26"/>
    <n v="100"/>
    <n v="8"/>
    <x v="8"/>
    <n v="4"/>
    <n v="9"/>
    <n v="27"/>
    <x v="5"/>
    <n v="1500"/>
    <n v="1.2"/>
    <s v="45+"/>
    <x v="1"/>
  </r>
  <r>
    <x v="690"/>
    <x v="22"/>
    <x v="1"/>
    <n v="23"/>
    <x v="5"/>
    <x v="5"/>
    <x v="2"/>
    <x v="3"/>
    <x v="0"/>
    <x v="607"/>
    <s v="Active"/>
    <x v="1"/>
    <n v="83900"/>
    <x v="10"/>
    <n v="95.6"/>
    <n v="8"/>
    <x v="6"/>
    <n v="4"/>
    <n v="20"/>
    <n v="30"/>
    <x v="6"/>
    <n v="6992"/>
    <n v="7"/>
    <s v="20-24"/>
    <x v="2"/>
  </r>
  <r>
    <x v="691"/>
    <x v="215"/>
    <x v="0"/>
    <n v="35"/>
    <x v="0"/>
    <x v="0"/>
    <x v="3"/>
    <x v="0"/>
    <x v="7"/>
    <x v="608"/>
    <s v="Active"/>
    <x v="0"/>
    <n v="44800"/>
    <x v="17"/>
    <n v="84"/>
    <n v="3"/>
    <x v="12"/>
    <n v="1"/>
    <n v="16"/>
    <n v="17"/>
    <x v="5"/>
    <n v="3733"/>
    <n v="1.5"/>
    <s v="35-39"/>
    <x v="3"/>
  </r>
  <r>
    <x v="692"/>
    <x v="50"/>
    <x v="0"/>
    <n v="49"/>
    <x v="0"/>
    <x v="3"/>
    <x v="3"/>
    <x v="0"/>
    <x v="5"/>
    <x v="609"/>
    <s v="Active"/>
    <x v="0"/>
    <n v="58300"/>
    <x v="29"/>
    <n v="90.9"/>
    <n v="7"/>
    <x v="12"/>
    <n v="3"/>
    <n v="15"/>
    <n v="13"/>
    <x v="4"/>
    <n v="4858"/>
    <n v="4.7"/>
    <s v="45+"/>
    <x v="2"/>
  </r>
  <r>
    <x v="693"/>
    <x v="152"/>
    <x v="0"/>
    <n v="31"/>
    <x v="14"/>
    <x v="4"/>
    <x v="2"/>
    <x v="0"/>
    <x v="2"/>
    <x v="610"/>
    <s v="Active"/>
    <x v="0"/>
    <n v="76700"/>
    <x v="18"/>
    <n v="95"/>
    <n v="1"/>
    <x v="0"/>
    <n v="4"/>
    <n v="30"/>
    <n v="8"/>
    <x v="6"/>
    <n v="6392"/>
    <n v="7.7"/>
    <s v="30-34"/>
    <x v="3"/>
  </r>
  <r>
    <x v="694"/>
    <x v="159"/>
    <x v="0"/>
    <n v="29"/>
    <x v="6"/>
    <x v="3"/>
    <x v="0"/>
    <x v="0"/>
    <x v="7"/>
    <x v="250"/>
    <s v="Active"/>
    <x v="2"/>
    <n v="107700"/>
    <x v="27"/>
    <n v="93.8"/>
    <n v="1"/>
    <x v="15"/>
    <n v="2"/>
    <n v="24"/>
    <n v="24"/>
    <x v="1"/>
    <n v="8975"/>
    <n v="8"/>
    <s v="25-29"/>
    <x v="1"/>
  </r>
  <r>
    <x v="695"/>
    <x v="40"/>
    <x v="1"/>
    <n v="44"/>
    <x v="1"/>
    <x v="3"/>
    <x v="3"/>
    <x v="0"/>
    <x v="2"/>
    <x v="611"/>
    <s v="Active"/>
    <x v="0"/>
    <n v="66300"/>
    <x v="11"/>
    <n v="95"/>
    <n v="5"/>
    <x v="4"/>
    <n v="3"/>
    <n v="12"/>
    <n v="20"/>
    <x v="3"/>
    <n v="5525"/>
    <n v="6.7"/>
    <s v="40-44"/>
    <x v="1"/>
  </r>
  <r>
    <x v="696"/>
    <x v="163"/>
    <x v="0"/>
    <n v="30"/>
    <x v="8"/>
    <x v="0"/>
    <x v="2"/>
    <x v="2"/>
    <x v="7"/>
    <x v="612"/>
    <s v="Resigned"/>
    <x v="1"/>
    <n v="67000"/>
    <x v="0"/>
    <n v="96.1"/>
    <n v="1"/>
    <x v="7"/>
    <n v="3"/>
    <n v="30"/>
    <n v="25"/>
    <x v="3"/>
    <n v="5583"/>
    <n v="4.5999999999999996"/>
    <s v="30-34"/>
    <x v="3"/>
  </r>
  <r>
    <x v="697"/>
    <x v="146"/>
    <x v="0"/>
    <n v="21"/>
    <x v="7"/>
    <x v="5"/>
    <x v="4"/>
    <x v="0"/>
    <x v="3"/>
    <x v="613"/>
    <s v="Active"/>
    <x v="0"/>
    <n v="160200"/>
    <x v="5"/>
    <n v="88"/>
    <n v="0"/>
    <x v="4"/>
    <n v="2"/>
    <n v="22"/>
    <n v="13"/>
    <x v="4"/>
    <n v="13350"/>
    <n v="8.5"/>
    <s v="20-24"/>
    <x v="2"/>
  </r>
  <r>
    <x v="698"/>
    <x v="20"/>
    <x v="1"/>
    <n v="35"/>
    <x v="13"/>
    <x v="2"/>
    <x v="0"/>
    <x v="0"/>
    <x v="6"/>
    <x v="614"/>
    <s v="Active"/>
    <x v="2"/>
    <n v="102200"/>
    <x v="17"/>
    <n v="93.5"/>
    <n v="1"/>
    <x v="4"/>
    <n v="2"/>
    <n v="17"/>
    <n v="12"/>
    <x v="3"/>
    <n v="8517"/>
    <n v="6.6"/>
    <s v="35-39"/>
    <x v="3"/>
  </r>
  <r>
    <x v="699"/>
    <x v="209"/>
    <x v="0"/>
    <n v="42"/>
    <x v="4"/>
    <x v="1"/>
    <x v="3"/>
    <x v="1"/>
    <x v="1"/>
    <x v="615"/>
    <s v="Active"/>
    <x v="1"/>
    <n v="45400"/>
    <x v="23"/>
    <n v="92.1"/>
    <n v="1"/>
    <x v="12"/>
    <n v="2"/>
    <n v="26"/>
    <n v="13"/>
    <x v="4"/>
    <n v="3783"/>
    <n v="0.9"/>
    <s v="40-44"/>
    <x v="2"/>
  </r>
  <r>
    <x v="700"/>
    <x v="146"/>
    <x v="0"/>
    <n v="38"/>
    <x v="4"/>
    <x v="5"/>
    <x v="2"/>
    <x v="0"/>
    <x v="6"/>
    <x v="616"/>
    <s v="Resigned"/>
    <x v="1"/>
    <n v="106500"/>
    <x v="14"/>
    <n v="89.7"/>
    <n v="4"/>
    <x v="11"/>
    <n v="1"/>
    <n v="4"/>
    <n v="20"/>
    <x v="0"/>
    <n v="8875"/>
    <n v="5.7"/>
    <s v="35-39"/>
    <x v="1"/>
  </r>
  <r>
    <x v="701"/>
    <x v="118"/>
    <x v="1"/>
    <n v="31"/>
    <x v="12"/>
    <x v="2"/>
    <x v="1"/>
    <x v="1"/>
    <x v="4"/>
    <x v="617"/>
    <s v="Active"/>
    <x v="0"/>
    <n v="38800"/>
    <x v="1"/>
    <n v="95.2"/>
    <n v="5"/>
    <x v="13"/>
    <n v="4"/>
    <n v="7"/>
    <n v="22"/>
    <x v="3"/>
    <n v="3233"/>
    <n v="7.5"/>
    <s v="30-34"/>
    <x v="1"/>
  </r>
  <r>
    <x v="702"/>
    <x v="43"/>
    <x v="1"/>
    <n v="23"/>
    <x v="11"/>
    <x v="5"/>
    <x v="2"/>
    <x v="0"/>
    <x v="7"/>
    <x v="618"/>
    <s v="Active"/>
    <x v="1"/>
    <n v="98400"/>
    <x v="10"/>
    <n v="92"/>
    <n v="2"/>
    <x v="3"/>
    <n v="4"/>
    <n v="29"/>
    <n v="18"/>
    <x v="6"/>
    <n v="8200"/>
    <n v="0.7"/>
    <s v="20-24"/>
    <x v="3"/>
  </r>
  <r>
    <x v="703"/>
    <x v="109"/>
    <x v="1"/>
    <n v="36"/>
    <x v="11"/>
    <x v="3"/>
    <x v="4"/>
    <x v="0"/>
    <x v="7"/>
    <x v="619"/>
    <s v="Active"/>
    <x v="2"/>
    <n v="138700"/>
    <x v="24"/>
    <n v="96.6"/>
    <n v="7"/>
    <x v="14"/>
    <n v="1"/>
    <n v="30"/>
    <n v="16"/>
    <x v="1"/>
    <n v="11558"/>
    <n v="2.5"/>
    <s v="35-39"/>
    <x v="2"/>
  </r>
  <r>
    <x v="704"/>
    <x v="194"/>
    <x v="0"/>
    <n v="31"/>
    <x v="6"/>
    <x v="5"/>
    <x v="3"/>
    <x v="2"/>
    <x v="5"/>
    <x v="620"/>
    <s v="Active"/>
    <x v="0"/>
    <n v="69700"/>
    <x v="24"/>
    <n v="92.6"/>
    <n v="1"/>
    <x v="13"/>
    <n v="3"/>
    <n v="26"/>
    <n v="11"/>
    <x v="5"/>
    <n v="5808"/>
    <n v="6"/>
    <s v="30-34"/>
    <x v="1"/>
  </r>
  <r>
    <x v="705"/>
    <x v="18"/>
    <x v="1"/>
    <n v="50"/>
    <x v="13"/>
    <x v="5"/>
    <x v="0"/>
    <x v="0"/>
    <x v="6"/>
    <x v="464"/>
    <s v="On Leave"/>
    <x v="0"/>
    <n v="135700"/>
    <x v="22"/>
    <n v="89.4"/>
    <n v="2"/>
    <x v="10"/>
    <n v="1"/>
    <n v="6"/>
    <n v="5"/>
    <x v="5"/>
    <n v="11308"/>
    <n v="5.5"/>
    <s v="45+"/>
    <x v="1"/>
  </r>
  <r>
    <x v="706"/>
    <x v="81"/>
    <x v="1"/>
    <n v="35"/>
    <x v="13"/>
    <x v="5"/>
    <x v="3"/>
    <x v="1"/>
    <x v="0"/>
    <x v="621"/>
    <s v="Active"/>
    <x v="2"/>
    <n v="58900"/>
    <x v="16"/>
    <n v="91.8"/>
    <n v="3"/>
    <x v="4"/>
    <n v="4"/>
    <n v="29"/>
    <n v="19"/>
    <x v="1"/>
    <n v="4908"/>
    <n v="4.9000000000000004"/>
    <s v="35-39"/>
    <x v="2"/>
  </r>
  <r>
    <x v="707"/>
    <x v="16"/>
    <x v="1"/>
    <n v="22"/>
    <x v="14"/>
    <x v="3"/>
    <x v="4"/>
    <x v="1"/>
    <x v="3"/>
    <x v="622"/>
    <s v="Active"/>
    <x v="1"/>
    <n v="145600"/>
    <x v="5"/>
    <n v="94.4"/>
    <n v="4"/>
    <x v="8"/>
    <n v="0"/>
    <n v="17"/>
    <n v="29"/>
    <x v="2"/>
    <n v="12133"/>
    <n v="6.6"/>
    <s v="20-24"/>
    <x v="2"/>
  </r>
  <r>
    <x v="708"/>
    <x v="191"/>
    <x v="0"/>
    <n v="21"/>
    <x v="2"/>
    <x v="2"/>
    <x v="2"/>
    <x v="0"/>
    <x v="2"/>
    <x v="623"/>
    <s v="On Leave"/>
    <x v="2"/>
    <n v="65100"/>
    <x v="10"/>
    <n v="91.2"/>
    <n v="4"/>
    <x v="9"/>
    <n v="1"/>
    <n v="22"/>
    <n v="14"/>
    <x v="5"/>
    <n v="5425"/>
    <n v="0.3"/>
    <s v="20-24"/>
    <x v="1"/>
  </r>
  <r>
    <x v="709"/>
    <x v="125"/>
    <x v="0"/>
    <n v="45"/>
    <x v="8"/>
    <x v="7"/>
    <x v="5"/>
    <x v="0"/>
    <x v="0"/>
    <x v="624"/>
    <s v="Active"/>
    <x v="1"/>
    <n v="18000"/>
    <x v="3"/>
    <n v="88.8"/>
    <n v="5"/>
    <x v="2"/>
    <n v="0"/>
    <n v="5"/>
    <n v="6"/>
    <x v="3"/>
    <n v="1500"/>
    <n v="6.4"/>
    <s v="45+"/>
    <x v="2"/>
  </r>
  <r>
    <x v="710"/>
    <x v="194"/>
    <x v="0"/>
    <n v="26"/>
    <x v="2"/>
    <x v="1"/>
    <x v="2"/>
    <x v="0"/>
    <x v="3"/>
    <x v="446"/>
    <s v="Active"/>
    <x v="0"/>
    <n v="78900"/>
    <x v="9"/>
    <n v="91.8"/>
    <n v="3"/>
    <x v="0"/>
    <n v="0"/>
    <n v="27"/>
    <n v="21"/>
    <x v="2"/>
    <n v="6575"/>
    <n v="5.3"/>
    <s v="25-29"/>
    <x v="2"/>
  </r>
  <r>
    <x v="711"/>
    <x v="129"/>
    <x v="0"/>
    <n v="25"/>
    <x v="14"/>
    <x v="4"/>
    <x v="3"/>
    <x v="2"/>
    <x v="3"/>
    <x v="625"/>
    <s v="Resigned"/>
    <x v="0"/>
    <n v="44500"/>
    <x v="20"/>
    <n v="98.1"/>
    <n v="6"/>
    <x v="3"/>
    <n v="2"/>
    <n v="12"/>
    <n v="21"/>
    <x v="2"/>
    <n v="3708"/>
    <n v="2.6"/>
    <s v="25-29"/>
    <x v="1"/>
  </r>
  <r>
    <x v="712"/>
    <x v="33"/>
    <x v="0"/>
    <n v="20"/>
    <x v="10"/>
    <x v="0"/>
    <x v="5"/>
    <x v="0"/>
    <x v="5"/>
    <x v="626"/>
    <s v="Active"/>
    <x v="0"/>
    <n v="22500"/>
    <x v="10"/>
    <n v="94.3"/>
    <n v="7"/>
    <x v="4"/>
    <n v="2"/>
    <n v="23"/>
    <n v="5"/>
    <x v="6"/>
    <n v="1875"/>
    <n v="1.2"/>
    <s v="20-24"/>
    <x v="1"/>
  </r>
  <r>
    <x v="713"/>
    <x v="229"/>
    <x v="0"/>
    <n v="34"/>
    <x v="4"/>
    <x v="1"/>
    <x v="0"/>
    <x v="0"/>
    <x v="5"/>
    <x v="627"/>
    <s v="Active"/>
    <x v="0"/>
    <n v="93200"/>
    <x v="28"/>
    <n v="92.8"/>
    <n v="3"/>
    <x v="3"/>
    <n v="2"/>
    <n v="8"/>
    <n v="17"/>
    <x v="1"/>
    <n v="7767"/>
    <n v="5.4"/>
    <s v="30-34"/>
    <x v="1"/>
  </r>
  <r>
    <x v="714"/>
    <x v="115"/>
    <x v="0"/>
    <n v="46"/>
    <x v="5"/>
    <x v="6"/>
    <x v="3"/>
    <x v="0"/>
    <x v="0"/>
    <x v="628"/>
    <s v="Active"/>
    <x v="0"/>
    <n v="46100"/>
    <x v="7"/>
    <n v="90.1"/>
    <n v="8"/>
    <x v="10"/>
    <n v="0"/>
    <n v="29"/>
    <n v="22"/>
    <x v="6"/>
    <n v="3842"/>
    <n v="2"/>
    <s v="45+"/>
    <x v="1"/>
  </r>
  <r>
    <x v="715"/>
    <x v="194"/>
    <x v="0"/>
    <n v="31"/>
    <x v="6"/>
    <x v="2"/>
    <x v="2"/>
    <x v="0"/>
    <x v="4"/>
    <x v="629"/>
    <s v="Active"/>
    <x v="1"/>
    <n v="63100"/>
    <x v="18"/>
    <n v="92.1"/>
    <n v="5"/>
    <x v="3"/>
    <n v="4"/>
    <n v="22"/>
    <n v="26"/>
    <x v="1"/>
    <n v="5258"/>
    <n v="5.0999999999999996"/>
    <s v="30-34"/>
    <x v="3"/>
  </r>
  <r>
    <x v="716"/>
    <x v="183"/>
    <x v="0"/>
    <n v="32"/>
    <x v="5"/>
    <x v="0"/>
    <x v="3"/>
    <x v="2"/>
    <x v="4"/>
    <x v="630"/>
    <s v="Active"/>
    <x v="2"/>
    <n v="53100"/>
    <x v="28"/>
    <n v="86.2"/>
    <n v="7"/>
    <x v="15"/>
    <n v="2"/>
    <n v="29"/>
    <n v="26"/>
    <x v="6"/>
    <n v="4425"/>
    <n v="0.9"/>
    <s v="30-34"/>
    <x v="1"/>
  </r>
  <r>
    <x v="717"/>
    <x v="0"/>
    <x v="1"/>
    <n v="27"/>
    <x v="7"/>
    <x v="3"/>
    <x v="1"/>
    <x v="2"/>
    <x v="2"/>
    <x v="631"/>
    <s v="Active"/>
    <x v="0"/>
    <n v="42800"/>
    <x v="15"/>
    <n v="90.1"/>
    <n v="8"/>
    <x v="8"/>
    <n v="2"/>
    <n v="7"/>
    <n v="21"/>
    <x v="0"/>
    <n v="3567"/>
    <n v="8.1"/>
    <s v="25-29"/>
    <x v="2"/>
  </r>
  <r>
    <x v="718"/>
    <x v="108"/>
    <x v="0"/>
    <n v="28"/>
    <x v="13"/>
    <x v="5"/>
    <x v="4"/>
    <x v="3"/>
    <x v="1"/>
    <x v="632"/>
    <s v="Resigned"/>
    <x v="0"/>
    <n v="144700"/>
    <x v="1"/>
    <n v="93.7"/>
    <n v="0"/>
    <x v="10"/>
    <n v="3"/>
    <n v="11"/>
    <n v="28"/>
    <x v="3"/>
    <n v="12058"/>
    <n v="1"/>
    <s v="25-29"/>
    <x v="2"/>
  </r>
  <r>
    <x v="719"/>
    <x v="12"/>
    <x v="0"/>
    <n v="20"/>
    <x v="5"/>
    <x v="3"/>
    <x v="3"/>
    <x v="0"/>
    <x v="6"/>
    <x v="633"/>
    <s v="Active"/>
    <x v="0"/>
    <n v="53800"/>
    <x v="10"/>
    <n v="91.6"/>
    <n v="4"/>
    <x v="3"/>
    <n v="0"/>
    <n v="9"/>
    <n v="10"/>
    <x v="1"/>
    <n v="4483"/>
    <n v="1.8"/>
    <s v="20-24"/>
    <x v="0"/>
  </r>
  <r>
    <x v="720"/>
    <x v="137"/>
    <x v="1"/>
    <n v="24"/>
    <x v="1"/>
    <x v="5"/>
    <x v="2"/>
    <x v="0"/>
    <x v="0"/>
    <x v="634"/>
    <s v="Active"/>
    <x v="0"/>
    <n v="96300"/>
    <x v="2"/>
    <n v="89.1"/>
    <n v="6"/>
    <x v="13"/>
    <n v="0"/>
    <n v="6"/>
    <n v="25"/>
    <x v="3"/>
    <n v="8025"/>
    <n v="1.1000000000000001"/>
    <s v="20-24"/>
    <x v="1"/>
  </r>
  <r>
    <x v="721"/>
    <x v="12"/>
    <x v="0"/>
    <n v="26"/>
    <x v="11"/>
    <x v="1"/>
    <x v="2"/>
    <x v="0"/>
    <x v="7"/>
    <x v="635"/>
    <s v="Active"/>
    <x v="0"/>
    <n v="77900"/>
    <x v="15"/>
    <n v="84.9"/>
    <n v="1"/>
    <x v="12"/>
    <n v="2"/>
    <n v="6"/>
    <n v="30"/>
    <x v="0"/>
    <n v="6492"/>
    <n v="1.6"/>
    <s v="25-29"/>
    <x v="3"/>
  </r>
  <r>
    <x v="722"/>
    <x v="162"/>
    <x v="1"/>
    <n v="37"/>
    <x v="14"/>
    <x v="4"/>
    <x v="2"/>
    <x v="0"/>
    <x v="4"/>
    <x v="636"/>
    <s v="On Leave"/>
    <x v="1"/>
    <n v="73800"/>
    <x v="14"/>
    <n v="90.4"/>
    <n v="6"/>
    <x v="7"/>
    <n v="3"/>
    <n v="16"/>
    <n v="22"/>
    <x v="1"/>
    <n v="6150"/>
    <n v="8"/>
    <s v="35-39"/>
    <x v="1"/>
  </r>
  <r>
    <x v="723"/>
    <x v="0"/>
    <x v="0"/>
    <n v="41"/>
    <x v="5"/>
    <x v="1"/>
    <x v="0"/>
    <x v="0"/>
    <x v="1"/>
    <x v="637"/>
    <s v="Active"/>
    <x v="2"/>
    <n v="82400"/>
    <x v="8"/>
    <n v="87.3"/>
    <n v="6"/>
    <x v="11"/>
    <n v="3"/>
    <n v="4"/>
    <n v="25"/>
    <x v="3"/>
    <n v="6867"/>
    <n v="3.2"/>
    <s v="40-44"/>
    <x v="1"/>
  </r>
  <r>
    <x v="724"/>
    <x v="76"/>
    <x v="0"/>
    <n v="27"/>
    <x v="4"/>
    <x v="6"/>
    <x v="2"/>
    <x v="2"/>
    <x v="2"/>
    <x v="638"/>
    <s v="Active"/>
    <x v="2"/>
    <n v="76000"/>
    <x v="15"/>
    <n v="90.9"/>
    <n v="2"/>
    <x v="10"/>
    <n v="1"/>
    <n v="9"/>
    <n v="30"/>
    <x v="5"/>
    <n v="6333"/>
    <n v="6.5"/>
    <s v="25-29"/>
    <x v="1"/>
  </r>
  <r>
    <x v="725"/>
    <x v="230"/>
    <x v="1"/>
    <n v="43"/>
    <x v="3"/>
    <x v="1"/>
    <x v="3"/>
    <x v="1"/>
    <x v="2"/>
    <x v="639"/>
    <s v="Active"/>
    <x v="1"/>
    <n v="54400"/>
    <x v="23"/>
    <n v="92.4"/>
    <n v="8"/>
    <x v="12"/>
    <n v="1"/>
    <n v="20"/>
    <n v="8"/>
    <x v="4"/>
    <n v="4533"/>
    <n v="2.5"/>
    <s v="40-44"/>
    <x v="1"/>
  </r>
  <r>
    <x v="726"/>
    <x v="212"/>
    <x v="0"/>
    <n v="45"/>
    <x v="2"/>
    <x v="1"/>
    <x v="0"/>
    <x v="2"/>
    <x v="0"/>
    <x v="640"/>
    <s v="Active"/>
    <x v="0"/>
    <n v="87500"/>
    <x v="8"/>
    <n v="98.2"/>
    <n v="6"/>
    <x v="2"/>
    <n v="2"/>
    <n v="30"/>
    <n v="19"/>
    <x v="6"/>
    <n v="7292"/>
    <n v="1.8"/>
    <s v="45+"/>
    <x v="3"/>
  </r>
  <r>
    <x v="727"/>
    <x v="20"/>
    <x v="1"/>
    <n v="29"/>
    <x v="10"/>
    <x v="7"/>
    <x v="1"/>
    <x v="2"/>
    <x v="5"/>
    <x v="641"/>
    <s v="Active"/>
    <x v="0"/>
    <n v="29200"/>
    <x v="1"/>
    <n v="95.7"/>
    <n v="4"/>
    <x v="15"/>
    <n v="0"/>
    <n v="19"/>
    <n v="11"/>
    <x v="0"/>
    <n v="2433"/>
    <n v="5.3"/>
    <s v="25-29"/>
    <x v="1"/>
  </r>
  <r>
    <x v="728"/>
    <x v="222"/>
    <x v="0"/>
    <n v="48"/>
    <x v="14"/>
    <x v="2"/>
    <x v="3"/>
    <x v="2"/>
    <x v="0"/>
    <x v="208"/>
    <s v="Resigned"/>
    <x v="1"/>
    <n v="54000"/>
    <x v="26"/>
    <n v="92.2"/>
    <n v="6"/>
    <x v="2"/>
    <n v="3"/>
    <n v="14"/>
    <n v="16"/>
    <x v="1"/>
    <n v="4500"/>
    <n v="3.6"/>
    <s v="45+"/>
    <x v="3"/>
  </r>
  <r>
    <x v="729"/>
    <x v="164"/>
    <x v="1"/>
    <n v="27"/>
    <x v="10"/>
    <x v="7"/>
    <x v="4"/>
    <x v="0"/>
    <x v="1"/>
    <x v="642"/>
    <s v="Active"/>
    <x v="0"/>
    <n v="77700"/>
    <x v="15"/>
    <n v="100"/>
    <n v="6"/>
    <x v="7"/>
    <n v="3"/>
    <n v="12"/>
    <n v="30"/>
    <x v="2"/>
    <n v="6475"/>
    <n v="0.7"/>
    <s v="25-29"/>
    <x v="1"/>
  </r>
  <r>
    <x v="730"/>
    <x v="180"/>
    <x v="0"/>
    <n v="31"/>
    <x v="6"/>
    <x v="0"/>
    <x v="2"/>
    <x v="1"/>
    <x v="5"/>
    <x v="643"/>
    <s v="Active"/>
    <x v="0"/>
    <n v="70500"/>
    <x v="27"/>
    <n v="93"/>
    <n v="5"/>
    <x v="0"/>
    <n v="3"/>
    <n v="13"/>
    <n v="25"/>
    <x v="2"/>
    <n v="5875"/>
    <n v="6.8"/>
    <s v="30-34"/>
    <x v="1"/>
  </r>
  <r>
    <x v="731"/>
    <x v="39"/>
    <x v="0"/>
    <n v="35"/>
    <x v="6"/>
    <x v="2"/>
    <x v="0"/>
    <x v="0"/>
    <x v="1"/>
    <x v="644"/>
    <s v="Active"/>
    <x v="1"/>
    <n v="79100"/>
    <x v="24"/>
    <n v="87.4"/>
    <n v="3"/>
    <x v="7"/>
    <n v="0"/>
    <n v="16"/>
    <n v="10"/>
    <x v="2"/>
    <n v="6592"/>
    <n v="4"/>
    <s v="35-39"/>
    <x v="1"/>
  </r>
  <r>
    <x v="732"/>
    <x v="156"/>
    <x v="0"/>
    <n v="31"/>
    <x v="6"/>
    <x v="2"/>
    <x v="2"/>
    <x v="0"/>
    <x v="7"/>
    <x v="645"/>
    <s v="Active"/>
    <x v="1"/>
    <n v="62300"/>
    <x v="24"/>
    <n v="89.9"/>
    <n v="7"/>
    <x v="4"/>
    <n v="1"/>
    <n v="6"/>
    <n v="19"/>
    <x v="4"/>
    <n v="5192"/>
    <n v="2.1"/>
    <s v="30-34"/>
    <x v="3"/>
  </r>
  <r>
    <x v="733"/>
    <x v="95"/>
    <x v="0"/>
    <n v="41"/>
    <x v="4"/>
    <x v="4"/>
    <x v="0"/>
    <x v="0"/>
    <x v="5"/>
    <x v="646"/>
    <s v="Active"/>
    <x v="0"/>
    <n v="95700"/>
    <x v="25"/>
    <n v="100"/>
    <n v="1"/>
    <x v="1"/>
    <n v="2"/>
    <n v="23"/>
    <n v="12"/>
    <x v="1"/>
    <n v="7975"/>
    <n v="3.5"/>
    <s v="40-44"/>
    <x v="3"/>
  </r>
  <r>
    <x v="734"/>
    <x v="90"/>
    <x v="0"/>
    <n v="41"/>
    <x v="1"/>
    <x v="1"/>
    <x v="4"/>
    <x v="0"/>
    <x v="7"/>
    <x v="647"/>
    <s v="Resigned"/>
    <x v="0"/>
    <n v="130500"/>
    <x v="8"/>
    <n v="87.4"/>
    <n v="7"/>
    <x v="13"/>
    <n v="1"/>
    <n v="20"/>
    <n v="13"/>
    <x v="3"/>
    <n v="10875"/>
    <n v="8.1999999999999993"/>
    <s v="40-44"/>
    <x v="1"/>
  </r>
  <r>
    <x v="735"/>
    <x v="80"/>
    <x v="1"/>
    <n v="46"/>
    <x v="14"/>
    <x v="4"/>
    <x v="3"/>
    <x v="0"/>
    <x v="4"/>
    <x v="96"/>
    <s v="Active"/>
    <x v="2"/>
    <n v="39000"/>
    <x v="7"/>
    <n v="89.5"/>
    <n v="4"/>
    <x v="8"/>
    <n v="3"/>
    <n v="3"/>
    <n v="3"/>
    <x v="0"/>
    <n v="3250"/>
    <n v="7.6"/>
    <s v="45+"/>
    <x v="1"/>
  </r>
  <r>
    <x v="736"/>
    <x v="34"/>
    <x v="0"/>
    <n v="22"/>
    <x v="0"/>
    <x v="5"/>
    <x v="1"/>
    <x v="0"/>
    <x v="7"/>
    <x v="648"/>
    <s v="Active"/>
    <x v="2"/>
    <n v="47600"/>
    <x v="2"/>
    <n v="96"/>
    <n v="6"/>
    <x v="2"/>
    <n v="3"/>
    <n v="27"/>
    <n v="27"/>
    <x v="3"/>
    <n v="3967"/>
    <n v="8"/>
    <s v="20-24"/>
    <x v="3"/>
  </r>
  <r>
    <x v="737"/>
    <x v="231"/>
    <x v="0"/>
    <n v="37"/>
    <x v="7"/>
    <x v="0"/>
    <x v="3"/>
    <x v="0"/>
    <x v="1"/>
    <x v="649"/>
    <s v="Active"/>
    <x v="1"/>
    <n v="53900"/>
    <x v="13"/>
    <n v="86.6"/>
    <n v="2"/>
    <x v="12"/>
    <n v="0"/>
    <n v="8"/>
    <n v="10"/>
    <x v="3"/>
    <n v="4492"/>
    <n v="0.1"/>
    <s v="35-39"/>
    <x v="1"/>
  </r>
  <r>
    <x v="738"/>
    <x v="0"/>
    <x v="0"/>
    <n v="24"/>
    <x v="7"/>
    <x v="5"/>
    <x v="2"/>
    <x v="2"/>
    <x v="3"/>
    <x v="650"/>
    <s v="On Leave"/>
    <x v="0"/>
    <n v="92300"/>
    <x v="2"/>
    <n v="96.1"/>
    <n v="6"/>
    <x v="7"/>
    <n v="0"/>
    <n v="18"/>
    <n v="18"/>
    <x v="0"/>
    <n v="7692"/>
    <n v="7.2"/>
    <s v="20-24"/>
    <x v="3"/>
  </r>
  <r>
    <x v="739"/>
    <x v="173"/>
    <x v="0"/>
    <n v="33"/>
    <x v="5"/>
    <x v="2"/>
    <x v="1"/>
    <x v="1"/>
    <x v="1"/>
    <x v="651"/>
    <s v="Active"/>
    <x v="0"/>
    <n v="34800"/>
    <x v="28"/>
    <n v="96.8"/>
    <n v="8"/>
    <x v="13"/>
    <n v="0"/>
    <n v="13"/>
    <n v="4"/>
    <x v="2"/>
    <n v="2900"/>
    <n v="3.1"/>
    <s v="30-34"/>
    <x v="1"/>
  </r>
  <r>
    <x v="740"/>
    <x v="29"/>
    <x v="0"/>
    <n v="44"/>
    <x v="11"/>
    <x v="2"/>
    <x v="5"/>
    <x v="0"/>
    <x v="7"/>
    <x v="652"/>
    <s v="Active"/>
    <x v="0"/>
    <n v="24600"/>
    <x v="8"/>
    <n v="92.4"/>
    <n v="6"/>
    <x v="6"/>
    <n v="2"/>
    <n v="2"/>
    <n v="15"/>
    <x v="4"/>
    <n v="2050"/>
    <n v="7.3"/>
    <s v="40-44"/>
    <x v="1"/>
  </r>
  <r>
    <x v="741"/>
    <x v="136"/>
    <x v="1"/>
    <n v="39"/>
    <x v="9"/>
    <x v="3"/>
    <x v="3"/>
    <x v="0"/>
    <x v="3"/>
    <x v="653"/>
    <s v="Active"/>
    <x v="1"/>
    <n v="56200"/>
    <x v="4"/>
    <n v="99.3"/>
    <n v="0"/>
    <x v="3"/>
    <n v="4"/>
    <n v="28"/>
    <n v="4"/>
    <x v="5"/>
    <n v="4683"/>
    <n v="3.4"/>
    <s v="35-39"/>
    <x v="3"/>
  </r>
  <r>
    <x v="742"/>
    <x v="231"/>
    <x v="0"/>
    <n v="50"/>
    <x v="11"/>
    <x v="2"/>
    <x v="4"/>
    <x v="0"/>
    <x v="7"/>
    <x v="654"/>
    <s v="Active"/>
    <x v="0"/>
    <n v="98300"/>
    <x v="19"/>
    <n v="90.2"/>
    <n v="8"/>
    <x v="15"/>
    <n v="4"/>
    <n v="3"/>
    <n v="7"/>
    <x v="0"/>
    <n v="8192"/>
    <n v="5.4"/>
    <s v="45+"/>
    <x v="2"/>
  </r>
  <r>
    <x v="743"/>
    <x v="203"/>
    <x v="0"/>
    <n v="40"/>
    <x v="1"/>
    <x v="5"/>
    <x v="2"/>
    <x v="0"/>
    <x v="6"/>
    <x v="655"/>
    <s v="Active"/>
    <x v="2"/>
    <n v="81200"/>
    <x v="25"/>
    <n v="95.7"/>
    <n v="6"/>
    <x v="8"/>
    <n v="2"/>
    <n v="22"/>
    <n v="12"/>
    <x v="0"/>
    <n v="6767"/>
    <n v="1.7"/>
    <s v="40-44"/>
    <x v="1"/>
  </r>
  <r>
    <x v="744"/>
    <x v="113"/>
    <x v="0"/>
    <n v="35"/>
    <x v="4"/>
    <x v="3"/>
    <x v="3"/>
    <x v="0"/>
    <x v="3"/>
    <x v="656"/>
    <s v="On Leave"/>
    <x v="1"/>
    <n v="60100"/>
    <x v="12"/>
    <n v="79.2"/>
    <n v="1"/>
    <x v="5"/>
    <n v="2"/>
    <n v="1"/>
    <n v="24"/>
    <x v="0"/>
    <n v="5008"/>
    <n v="8"/>
    <s v="35-39"/>
    <x v="1"/>
  </r>
  <r>
    <x v="745"/>
    <x v="188"/>
    <x v="0"/>
    <n v="41"/>
    <x v="10"/>
    <x v="3"/>
    <x v="1"/>
    <x v="3"/>
    <x v="2"/>
    <x v="657"/>
    <s v="On Leave"/>
    <x v="0"/>
    <n v="41700"/>
    <x v="8"/>
    <n v="94.4"/>
    <n v="4"/>
    <x v="13"/>
    <n v="2"/>
    <n v="7"/>
    <n v="4"/>
    <x v="1"/>
    <n v="3475"/>
    <n v="8"/>
    <s v="40-44"/>
    <x v="1"/>
  </r>
  <r>
    <x v="746"/>
    <x v="132"/>
    <x v="0"/>
    <n v="46"/>
    <x v="3"/>
    <x v="1"/>
    <x v="3"/>
    <x v="0"/>
    <x v="1"/>
    <x v="658"/>
    <s v="Active"/>
    <x v="1"/>
    <n v="47600"/>
    <x v="3"/>
    <n v="97.8"/>
    <n v="1"/>
    <x v="14"/>
    <n v="1"/>
    <n v="1"/>
    <n v="16"/>
    <x v="4"/>
    <n v="3967"/>
    <n v="2.4"/>
    <s v="45+"/>
    <x v="1"/>
  </r>
  <r>
    <x v="747"/>
    <x v="208"/>
    <x v="0"/>
    <n v="25"/>
    <x v="2"/>
    <x v="2"/>
    <x v="1"/>
    <x v="0"/>
    <x v="6"/>
    <x v="659"/>
    <s v="Active"/>
    <x v="1"/>
    <n v="33400"/>
    <x v="20"/>
    <n v="95"/>
    <n v="6"/>
    <x v="4"/>
    <n v="2"/>
    <n v="3"/>
    <n v="9"/>
    <x v="4"/>
    <n v="2783"/>
    <n v="7.6"/>
    <s v="25-29"/>
    <x v="2"/>
  </r>
  <r>
    <x v="748"/>
    <x v="167"/>
    <x v="0"/>
    <n v="35"/>
    <x v="10"/>
    <x v="3"/>
    <x v="1"/>
    <x v="0"/>
    <x v="2"/>
    <x v="660"/>
    <s v="Resigned"/>
    <x v="1"/>
    <n v="47700"/>
    <x v="24"/>
    <n v="89.1"/>
    <n v="8"/>
    <x v="1"/>
    <n v="1"/>
    <n v="1"/>
    <n v="3"/>
    <x v="6"/>
    <n v="3975"/>
    <n v="1"/>
    <s v="35-39"/>
    <x v="2"/>
  </r>
  <r>
    <x v="749"/>
    <x v="149"/>
    <x v="0"/>
    <n v="39"/>
    <x v="13"/>
    <x v="6"/>
    <x v="0"/>
    <x v="0"/>
    <x v="0"/>
    <x v="661"/>
    <s v="Active"/>
    <x v="1"/>
    <n v="90600"/>
    <x v="16"/>
    <n v="83.5"/>
    <n v="3"/>
    <x v="12"/>
    <n v="0"/>
    <n v="29"/>
    <n v="12"/>
    <x v="5"/>
    <n v="7550"/>
    <n v="4.3"/>
    <s v="35-39"/>
    <x v="1"/>
  </r>
  <r>
    <x v="750"/>
    <x v="13"/>
    <x v="0"/>
    <n v="33"/>
    <x v="3"/>
    <x v="3"/>
    <x v="4"/>
    <x v="0"/>
    <x v="2"/>
    <x v="662"/>
    <s v="Active"/>
    <x v="2"/>
    <n v="139700"/>
    <x v="13"/>
    <n v="96.8"/>
    <n v="2"/>
    <x v="4"/>
    <n v="3"/>
    <n v="24"/>
    <n v="15"/>
    <x v="4"/>
    <n v="11642"/>
    <n v="1.9"/>
    <s v="30-34"/>
    <x v="2"/>
  </r>
  <r>
    <x v="751"/>
    <x v="92"/>
    <x v="1"/>
    <n v="39"/>
    <x v="10"/>
    <x v="5"/>
    <x v="1"/>
    <x v="0"/>
    <x v="2"/>
    <x v="663"/>
    <s v="Active"/>
    <x v="0"/>
    <n v="51100"/>
    <x v="16"/>
    <n v="86.9"/>
    <n v="5"/>
    <x v="4"/>
    <n v="4"/>
    <n v="28"/>
    <n v="4"/>
    <x v="5"/>
    <n v="4258"/>
    <n v="4.3"/>
    <s v="35-39"/>
    <x v="1"/>
  </r>
  <r>
    <x v="752"/>
    <x v="100"/>
    <x v="0"/>
    <n v="43"/>
    <x v="4"/>
    <x v="5"/>
    <x v="1"/>
    <x v="3"/>
    <x v="0"/>
    <x v="664"/>
    <s v="Active"/>
    <x v="2"/>
    <n v="51400"/>
    <x v="8"/>
    <n v="87.5"/>
    <n v="7"/>
    <x v="8"/>
    <n v="3"/>
    <n v="3"/>
    <n v="30"/>
    <x v="4"/>
    <n v="4283"/>
    <n v="1.4"/>
    <s v="40-44"/>
    <x v="2"/>
  </r>
  <r>
    <x v="753"/>
    <x v="43"/>
    <x v="1"/>
    <n v="24"/>
    <x v="4"/>
    <x v="1"/>
    <x v="3"/>
    <x v="0"/>
    <x v="6"/>
    <x v="665"/>
    <s v="Active"/>
    <x v="2"/>
    <n v="44500"/>
    <x v="5"/>
    <n v="89.7"/>
    <n v="7"/>
    <x v="10"/>
    <n v="4"/>
    <n v="20"/>
    <n v="11"/>
    <x v="5"/>
    <n v="3708"/>
    <n v="8"/>
    <s v="20-24"/>
    <x v="1"/>
  </r>
  <r>
    <x v="754"/>
    <x v="44"/>
    <x v="1"/>
    <n v="33"/>
    <x v="1"/>
    <x v="2"/>
    <x v="3"/>
    <x v="0"/>
    <x v="1"/>
    <x v="12"/>
    <s v="Active"/>
    <x v="1"/>
    <n v="44800"/>
    <x v="17"/>
    <n v="94.4"/>
    <n v="7"/>
    <x v="12"/>
    <n v="0"/>
    <n v="8"/>
    <n v="19"/>
    <x v="0"/>
    <n v="3733"/>
    <n v="2"/>
    <s v="30-34"/>
    <x v="2"/>
  </r>
  <r>
    <x v="755"/>
    <x v="69"/>
    <x v="0"/>
    <n v="49"/>
    <x v="6"/>
    <x v="7"/>
    <x v="1"/>
    <x v="0"/>
    <x v="7"/>
    <x v="42"/>
    <s v="Active"/>
    <x v="0"/>
    <n v="28300"/>
    <x v="19"/>
    <n v="97.1"/>
    <n v="4"/>
    <x v="6"/>
    <n v="4"/>
    <n v="1"/>
    <n v="19"/>
    <x v="5"/>
    <n v="2358"/>
    <n v="0.4"/>
    <s v="45+"/>
    <x v="2"/>
  </r>
  <r>
    <x v="756"/>
    <x v="176"/>
    <x v="1"/>
    <n v="30"/>
    <x v="13"/>
    <x v="3"/>
    <x v="3"/>
    <x v="0"/>
    <x v="1"/>
    <x v="467"/>
    <s v="Active"/>
    <x v="1"/>
    <n v="54300"/>
    <x v="1"/>
    <n v="100"/>
    <n v="5"/>
    <x v="6"/>
    <n v="0"/>
    <n v="19"/>
    <n v="13"/>
    <x v="5"/>
    <n v="4525"/>
    <n v="8.3000000000000007"/>
    <s v="30-34"/>
    <x v="1"/>
  </r>
  <r>
    <x v="757"/>
    <x v="72"/>
    <x v="0"/>
    <n v="40"/>
    <x v="3"/>
    <x v="4"/>
    <x v="1"/>
    <x v="0"/>
    <x v="5"/>
    <x v="666"/>
    <s v="Active"/>
    <x v="1"/>
    <n v="30200"/>
    <x v="16"/>
    <n v="91.8"/>
    <n v="1"/>
    <x v="9"/>
    <n v="3"/>
    <n v="21"/>
    <n v="28"/>
    <x v="6"/>
    <n v="2517"/>
    <n v="3.9"/>
    <s v="40-44"/>
    <x v="2"/>
  </r>
  <r>
    <x v="758"/>
    <x v="102"/>
    <x v="1"/>
    <n v="28"/>
    <x v="1"/>
    <x v="5"/>
    <x v="2"/>
    <x v="0"/>
    <x v="5"/>
    <x v="667"/>
    <s v="Active"/>
    <x v="1"/>
    <n v="94100"/>
    <x v="15"/>
    <n v="92.7"/>
    <n v="5"/>
    <x v="9"/>
    <n v="1"/>
    <n v="16"/>
    <n v="23"/>
    <x v="3"/>
    <n v="7842"/>
    <n v="0.7"/>
    <s v="25-29"/>
    <x v="1"/>
  </r>
  <r>
    <x v="759"/>
    <x v="115"/>
    <x v="1"/>
    <n v="39"/>
    <x v="4"/>
    <x v="7"/>
    <x v="2"/>
    <x v="0"/>
    <x v="7"/>
    <x v="430"/>
    <s v="Resigned"/>
    <x v="0"/>
    <n v="47600"/>
    <x v="14"/>
    <n v="93.5"/>
    <n v="4"/>
    <x v="11"/>
    <n v="4"/>
    <n v="0"/>
    <n v="20"/>
    <x v="4"/>
    <n v="3967"/>
    <n v="6.3"/>
    <s v="35-39"/>
    <x v="2"/>
  </r>
  <r>
    <x v="760"/>
    <x v="232"/>
    <x v="0"/>
    <n v="26"/>
    <x v="10"/>
    <x v="2"/>
    <x v="2"/>
    <x v="0"/>
    <x v="6"/>
    <x v="668"/>
    <s v="Active"/>
    <x v="1"/>
    <n v="62000"/>
    <x v="0"/>
    <n v="88.8"/>
    <n v="2"/>
    <x v="8"/>
    <n v="2"/>
    <n v="22"/>
    <n v="20"/>
    <x v="6"/>
    <n v="5167"/>
    <n v="0.6"/>
    <s v="25-29"/>
    <x v="2"/>
  </r>
  <r>
    <x v="761"/>
    <x v="183"/>
    <x v="1"/>
    <n v="50"/>
    <x v="11"/>
    <x v="5"/>
    <x v="3"/>
    <x v="0"/>
    <x v="0"/>
    <x v="234"/>
    <s v="Active"/>
    <x v="2"/>
    <n v="64400"/>
    <x v="29"/>
    <n v="94.7"/>
    <n v="7"/>
    <x v="0"/>
    <n v="1"/>
    <n v="5"/>
    <n v="10"/>
    <x v="4"/>
    <n v="5367"/>
    <n v="4"/>
    <s v="45+"/>
    <x v="2"/>
  </r>
  <r>
    <x v="762"/>
    <x v="157"/>
    <x v="0"/>
    <n v="24"/>
    <x v="9"/>
    <x v="6"/>
    <x v="0"/>
    <x v="0"/>
    <x v="3"/>
    <x v="669"/>
    <s v="Active"/>
    <x v="1"/>
    <n v="101700"/>
    <x v="2"/>
    <n v="88.3"/>
    <n v="3"/>
    <x v="10"/>
    <n v="1"/>
    <n v="28"/>
    <n v="2"/>
    <x v="4"/>
    <n v="8475"/>
    <n v="5.3"/>
    <s v="20-24"/>
    <x v="3"/>
  </r>
  <r>
    <x v="763"/>
    <x v="10"/>
    <x v="1"/>
    <n v="50"/>
    <x v="14"/>
    <x v="7"/>
    <x v="4"/>
    <x v="0"/>
    <x v="0"/>
    <x v="670"/>
    <s v="Active"/>
    <x v="1"/>
    <n v="95400"/>
    <x v="6"/>
    <n v="96.8"/>
    <n v="1"/>
    <x v="8"/>
    <n v="0"/>
    <n v="15"/>
    <n v="26"/>
    <x v="2"/>
    <n v="7950"/>
    <n v="4.5999999999999996"/>
    <s v="45+"/>
    <x v="1"/>
  </r>
  <r>
    <x v="764"/>
    <x v="162"/>
    <x v="0"/>
    <n v="48"/>
    <x v="9"/>
    <x v="7"/>
    <x v="1"/>
    <x v="0"/>
    <x v="1"/>
    <x v="84"/>
    <s v="Active"/>
    <x v="0"/>
    <n v="29600"/>
    <x v="21"/>
    <n v="86.4"/>
    <n v="2"/>
    <x v="1"/>
    <n v="3"/>
    <n v="3"/>
    <n v="13"/>
    <x v="1"/>
    <n v="2467"/>
    <n v="3.8"/>
    <s v="45+"/>
    <x v="2"/>
  </r>
  <r>
    <x v="765"/>
    <x v="191"/>
    <x v="0"/>
    <n v="34"/>
    <x v="14"/>
    <x v="6"/>
    <x v="1"/>
    <x v="0"/>
    <x v="6"/>
    <x v="671"/>
    <s v="Active"/>
    <x v="2"/>
    <n v="30600"/>
    <x v="27"/>
    <n v="95.7"/>
    <n v="1"/>
    <x v="15"/>
    <n v="2"/>
    <n v="4"/>
    <n v="28"/>
    <x v="0"/>
    <n v="2550"/>
    <n v="6"/>
    <s v="30-34"/>
    <x v="2"/>
  </r>
  <r>
    <x v="766"/>
    <x v="201"/>
    <x v="1"/>
    <n v="44"/>
    <x v="4"/>
    <x v="4"/>
    <x v="3"/>
    <x v="0"/>
    <x v="3"/>
    <x v="672"/>
    <s v="Active"/>
    <x v="0"/>
    <n v="41500"/>
    <x v="3"/>
    <n v="95.8"/>
    <n v="1"/>
    <x v="7"/>
    <n v="3"/>
    <n v="4"/>
    <n v="3"/>
    <x v="2"/>
    <n v="3458"/>
    <n v="1.9"/>
    <s v="40-44"/>
    <x v="3"/>
  </r>
  <r>
    <x v="767"/>
    <x v="8"/>
    <x v="0"/>
    <n v="32"/>
    <x v="7"/>
    <x v="3"/>
    <x v="1"/>
    <x v="0"/>
    <x v="4"/>
    <x v="673"/>
    <s v="Active"/>
    <x v="1"/>
    <n v="47700"/>
    <x v="18"/>
    <n v="83.5"/>
    <n v="2"/>
    <x v="2"/>
    <n v="3"/>
    <n v="8"/>
    <n v="3"/>
    <x v="6"/>
    <n v="3975"/>
    <n v="0.6"/>
    <s v="30-34"/>
    <x v="1"/>
  </r>
  <r>
    <x v="768"/>
    <x v="126"/>
    <x v="0"/>
    <n v="31"/>
    <x v="0"/>
    <x v="2"/>
    <x v="3"/>
    <x v="0"/>
    <x v="0"/>
    <x v="674"/>
    <s v="Active"/>
    <x v="1"/>
    <n v="48300"/>
    <x v="28"/>
    <n v="93"/>
    <n v="6"/>
    <x v="3"/>
    <n v="1"/>
    <n v="4"/>
    <n v="6"/>
    <x v="4"/>
    <n v="4025"/>
    <n v="7"/>
    <s v="30-34"/>
    <x v="1"/>
  </r>
  <r>
    <x v="769"/>
    <x v="106"/>
    <x v="1"/>
    <n v="43"/>
    <x v="14"/>
    <x v="1"/>
    <x v="2"/>
    <x v="0"/>
    <x v="1"/>
    <x v="14"/>
    <s v="Active"/>
    <x v="2"/>
    <n v="66700"/>
    <x v="8"/>
    <n v="99.1"/>
    <n v="0"/>
    <x v="3"/>
    <n v="2"/>
    <n v="1"/>
    <n v="23"/>
    <x v="6"/>
    <n v="5558"/>
    <n v="1.8"/>
    <s v="40-44"/>
    <x v="1"/>
  </r>
  <r>
    <x v="770"/>
    <x v="46"/>
    <x v="1"/>
    <n v="34"/>
    <x v="7"/>
    <x v="0"/>
    <x v="3"/>
    <x v="0"/>
    <x v="3"/>
    <x v="675"/>
    <s v="Active"/>
    <x v="1"/>
    <n v="47700"/>
    <x v="17"/>
    <n v="92.5"/>
    <n v="5"/>
    <x v="1"/>
    <n v="4"/>
    <n v="6"/>
    <n v="25"/>
    <x v="3"/>
    <n v="3975"/>
    <n v="8.3000000000000007"/>
    <s v="30-34"/>
    <x v="1"/>
  </r>
  <r>
    <x v="771"/>
    <x v="114"/>
    <x v="0"/>
    <n v="43"/>
    <x v="7"/>
    <x v="7"/>
    <x v="3"/>
    <x v="0"/>
    <x v="6"/>
    <x v="676"/>
    <s v="Active"/>
    <x v="1"/>
    <n v="33900"/>
    <x v="7"/>
    <n v="91.7"/>
    <n v="0"/>
    <x v="15"/>
    <n v="2"/>
    <n v="30"/>
    <n v="2"/>
    <x v="3"/>
    <n v="2825"/>
    <n v="7.6"/>
    <s v="40-44"/>
    <x v="1"/>
  </r>
  <r>
    <x v="772"/>
    <x v="107"/>
    <x v="0"/>
    <n v="45"/>
    <x v="5"/>
    <x v="0"/>
    <x v="3"/>
    <x v="2"/>
    <x v="5"/>
    <x v="677"/>
    <s v="Active"/>
    <x v="1"/>
    <n v="51600"/>
    <x v="11"/>
    <n v="88.9"/>
    <n v="2"/>
    <x v="0"/>
    <n v="0"/>
    <n v="14"/>
    <n v="13"/>
    <x v="1"/>
    <n v="4300"/>
    <n v="5.5"/>
    <s v="45+"/>
    <x v="2"/>
  </r>
  <r>
    <x v="773"/>
    <x v="233"/>
    <x v="1"/>
    <n v="45"/>
    <x v="6"/>
    <x v="5"/>
    <x v="4"/>
    <x v="0"/>
    <x v="1"/>
    <x v="678"/>
    <s v="Resigned"/>
    <x v="0"/>
    <n v="138800"/>
    <x v="19"/>
    <n v="93.9"/>
    <n v="3"/>
    <x v="1"/>
    <n v="1"/>
    <n v="25"/>
    <n v="6"/>
    <x v="2"/>
    <n v="11567"/>
    <n v="1.3"/>
    <s v="45+"/>
    <x v="2"/>
  </r>
  <r>
    <x v="774"/>
    <x v="76"/>
    <x v="0"/>
    <n v="38"/>
    <x v="14"/>
    <x v="6"/>
    <x v="1"/>
    <x v="1"/>
    <x v="0"/>
    <x v="679"/>
    <s v="Active"/>
    <x v="0"/>
    <n v="40900"/>
    <x v="16"/>
    <n v="89.6"/>
    <n v="7"/>
    <x v="11"/>
    <n v="2"/>
    <n v="24"/>
    <n v="29"/>
    <x v="2"/>
    <n v="3408"/>
    <n v="3.3"/>
    <s v="35-39"/>
    <x v="1"/>
  </r>
  <r>
    <x v="775"/>
    <x v="207"/>
    <x v="0"/>
    <n v="44"/>
    <x v="13"/>
    <x v="0"/>
    <x v="2"/>
    <x v="2"/>
    <x v="2"/>
    <x v="142"/>
    <s v="Active"/>
    <x v="1"/>
    <n v="66800"/>
    <x v="8"/>
    <n v="93.8"/>
    <n v="1"/>
    <x v="4"/>
    <n v="0"/>
    <n v="22"/>
    <n v="27"/>
    <x v="6"/>
    <n v="5567"/>
    <n v="2.6"/>
    <s v="40-44"/>
    <x v="2"/>
  </r>
  <r>
    <x v="776"/>
    <x v="56"/>
    <x v="1"/>
    <n v="43"/>
    <x v="3"/>
    <x v="2"/>
    <x v="5"/>
    <x v="3"/>
    <x v="6"/>
    <x v="680"/>
    <s v="Active"/>
    <x v="1"/>
    <n v="24900"/>
    <x v="23"/>
    <n v="95.2"/>
    <n v="6"/>
    <x v="12"/>
    <n v="4"/>
    <n v="7"/>
    <n v="15"/>
    <x v="1"/>
    <n v="2075"/>
    <n v="3.4"/>
    <s v="40-44"/>
    <x v="1"/>
  </r>
  <r>
    <x v="777"/>
    <x v="113"/>
    <x v="1"/>
    <n v="38"/>
    <x v="9"/>
    <x v="5"/>
    <x v="1"/>
    <x v="0"/>
    <x v="6"/>
    <x v="681"/>
    <s v="Active"/>
    <x v="0"/>
    <n v="51300"/>
    <x v="12"/>
    <n v="92.8"/>
    <n v="2"/>
    <x v="14"/>
    <n v="3"/>
    <n v="28"/>
    <n v="9"/>
    <x v="3"/>
    <n v="4275"/>
    <n v="2.6"/>
    <s v="35-39"/>
    <x v="1"/>
  </r>
  <r>
    <x v="778"/>
    <x v="182"/>
    <x v="1"/>
    <n v="29"/>
    <x v="3"/>
    <x v="2"/>
    <x v="2"/>
    <x v="0"/>
    <x v="2"/>
    <x v="682"/>
    <s v="Active"/>
    <x v="1"/>
    <n v="67400"/>
    <x v="27"/>
    <n v="97"/>
    <n v="0"/>
    <x v="0"/>
    <n v="3"/>
    <n v="30"/>
    <n v="12"/>
    <x v="0"/>
    <n v="5617"/>
    <n v="6.3"/>
    <s v="25-29"/>
    <x v="2"/>
  </r>
  <r>
    <x v="779"/>
    <x v="106"/>
    <x v="1"/>
    <n v="36"/>
    <x v="0"/>
    <x v="0"/>
    <x v="1"/>
    <x v="0"/>
    <x v="0"/>
    <x v="683"/>
    <s v="Active"/>
    <x v="0"/>
    <n v="39800"/>
    <x v="24"/>
    <n v="93.4"/>
    <n v="5"/>
    <x v="4"/>
    <n v="0"/>
    <n v="25"/>
    <n v="19"/>
    <x v="1"/>
    <n v="3317"/>
    <n v="2.2999999999999998"/>
    <s v="35-39"/>
    <x v="1"/>
  </r>
  <r>
    <x v="780"/>
    <x v="228"/>
    <x v="0"/>
    <n v="35"/>
    <x v="14"/>
    <x v="5"/>
    <x v="5"/>
    <x v="0"/>
    <x v="6"/>
    <x v="18"/>
    <s v="Active"/>
    <x v="1"/>
    <n v="31300"/>
    <x v="16"/>
    <n v="89.6"/>
    <n v="1"/>
    <x v="1"/>
    <n v="1"/>
    <n v="2"/>
    <n v="11"/>
    <x v="3"/>
    <n v="2608"/>
    <n v="2.8"/>
    <s v="35-39"/>
    <x v="1"/>
  </r>
  <r>
    <x v="781"/>
    <x v="69"/>
    <x v="1"/>
    <n v="24"/>
    <x v="11"/>
    <x v="5"/>
    <x v="1"/>
    <x v="0"/>
    <x v="4"/>
    <x v="684"/>
    <s v="Active"/>
    <x v="1"/>
    <n v="41900"/>
    <x v="2"/>
    <n v="82.3"/>
    <n v="2"/>
    <x v="14"/>
    <n v="3"/>
    <n v="10"/>
    <n v="10"/>
    <x v="6"/>
    <n v="3492"/>
    <n v="2.9"/>
    <s v="20-24"/>
    <x v="1"/>
  </r>
  <r>
    <x v="782"/>
    <x v="163"/>
    <x v="1"/>
    <n v="48"/>
    <x v="5"/>
    <x v="3"/>
    <x v="2"/>
    <x v="3"/>
    <x v="7"/>
    <x v="416"/>
    <s v="Active"/>
    <x v="0"/>
    <n v="86500"/>
    <x v="3"/>
    <n v="89.1"/>
    <n v="5"/>
    <x v="15"/>
    <n v="1"/>
    <n v="28"/>
    <n v="16"/>
    <x v="3"/>
    <n v="7208"/>
    <n v="6.1"/>
    <s v="45+"/>
    <x v="2"/>
  </r>
  <r>
    <x v="783"/>
    <x v="45"/>
    <x v="1"/>
    <n v="23"/>
    <x v="11"/>
    <x v="3"/>
    <x v="2"/>
    <x v="0"/>
    <x v="1"/>
    <x v="685"/>
    <s v="Active"/>
    <x v="1"/>
    <n v="91600"/>
    <x v="2"/>
    <n v="90.6"/>
    <n v="2"/>
    <x v="2"/>
    <n v="1"/>
    <n v="24"/>
    <n v="11"/>
    <x v="2"/>
    <n v="7633"/>
    <n v="8.1"/>
    <s v="20-24"/>
    <x v="1"/>
  </r>
  <r>
    <x v="784"/>
    <x v="94"/>
    <x v="0"/>
    <n v="43"/>
    <x v="5"/>
    <x v="0"/>
    <x v="1"/>
    <x v="0"/>
    <x v="4"/>
    <x v="109"/>
    <s v="Active"/>
    <x v="1"/>
    <n v="38600"/>
    <x v="11"/>
    <n v="94.2"/>
    <n v="4"/>
    <x v="13"/>
    <n v="3"/>
    <n v="22"/>
    <n v="5"/>
    <x v="6"/>
    <n v="3217"/>
    <n v="1"/>
    <s v="40-44"/>
    <x v="3"/>
  </r>
  <r>
    <x v="785"/>
    <x v="154"/>
    <x v="0"/>
    <n v="41"/>
    <x v="6"/>
    <x v="7"/>
    <x v="2"/>
    <x v="0"/>
    <x v="0"/>
    <x v="590"/>
    <s v="Active"/>
    <x v="1"/>
    <n v="53700"/>
    <x v="4"/>
    <n v="82"/>
    <n v="2"/>
    <x v="2"/>
    <n v="4"/>
    <n v="9"/>
    <n v="12"/>
    <x v="5"/>
    <n v="4475"/>
    <n v="5.6"/>
    <s v="40-44"/>
    <x v="1"/>
  </r>
  <r>
    <x v="786"/>
    <x v="38"/>
    <x v="0"/>
    <n v="29"/>
    <x v="9"/>
    <x v="2"/>
    <x v="1"/>
    <x v="0"/>
    <x v="2"/>
    <x v="388"/>
    <s v="Active"/>
    <x v="0"/>
    <n v="33100"/>
    <x v="9"/>
    <n v="82.5"/>
    <n v="6"/>
    <x v="6"/>
    <n v="2"/>
    <n v="3"/>
    <n v="24"/>
    <x v="1"/>
    <n v="2758"/>
    <n v="5.6"/>
    <s v="25-29"/>
    <x v="3"/>
  </r>
  <r>
    <x v="787"/>
    <x v="31"/>
    <x v="0"/>
    <n v="40"/>
    <x v="0"/>
    <x v="3"/>
    <x v="2"/>
    <x v="0"/>
    <x v="1"/>
    <x v="686"/>
    <s v="Active"/>
    <x v="0"/>
    <n v="89600"/>
    <x v="16"/>
    <n v="81.900000000000006"/>
    <n v="6"/>
    <x v="2"/>
    <n v="3"/>
    <n v="11"/>
    <n v="18"/>
    <x v="5"/>
    <n v="7467"/>
    <n v="0.3"/>
    <s v="40-44"/>
    <x v="1"/>
  </r>
  <r>
    <x v="788"/>
    <x v="64"/>
    <x v="1"/>
    <n v="44"/>
    <x v="6"/>
    <x v="4"/>
    <x v="3"/>
    <x v="0"/>
    <x v="6"/>
    <x v="687"/>
    <s v="Active"/>
    <x v="0"/>
    <n v="45600"/>
    <x v="3"/>
    <n v="91"/>
    <n v="0"/>
    <x v="14"/>
    <n v="2"/>
    <n v="25"/>
    <n v="30"/>
    <x v="1"/>
    <n v="3800"/>
    <n v="6"/>
    <s v="40-44"/>
    <x v="1"/>
  </r>
  <r>
    <x v="789"/>
    <x v="159"/>
    <x v="0"/>
    <n v="25"/>
    <x v="8"/>
    <x v="2"/>
    <x v="2"/>
    <x v="0"/>
    <x v="4"/>
    <x v="688"/>
    <s v="On Leave"/>
    <x v="0"/>
    <n v="67700"/>
    <x v="20"/>
    <n v="84.8"/>
    <n v="5"/>
    <x v="2"/>
    <n v="1"/>
    <n v="12"/>
    <n v="19"/>
    <x v="0"/>
    <n v="5642"/>
    <n v="1.5"/>
    <s v="25-29"/>
    <x v="3"/>
  </r>
  <r>
    <x v="790"/>
    <x v="213"/>
    <x v="0"/>
    <n v="49"/>
    <x v="2"/>
    <x v="5"/>
    <x v="4"/>
    <x v="0"/>
    <x v="6"/>
    <x v="486"/>
    <s v="Resigned"/>
    <x v="0"/>
    <n v="157100"/>
    <x v="26"/>
    <n v="93.6"/>
    <n v="2"/>
    <x v="15"/>
    <n v="4"/>
    <n v="6"/>
    <n v="18"/>
    <x v="5"/>
    <n v="13092"/>
    <n v="2"/>
    <s v="45+"/>
    <x v="1"/>
  </r>
  <r>
    <x v="791"/>
    <x v="4"/>
    <x v="0"/>
    <n v="48"/>
    <x v="5"/>
    <x v="1"/>
    <x v="4"/>
    <x v="2"/>
    <x v="7"/>
    <x v="689"/>
    <s v="Active"/>
    <x v="0"/>
    <n v="128900"/>
    <x v="19"/>
    <n v="89.4"/>
    <n v="6"/>
    <x v="13"/>
    <n v="1"/>
    <n v="18"/>
    <n v="25"/>
    <x v="3"/>
    <n v="10742"/>
    <n v="1.9"/>
    <s v="45+"/>
    <x v="2"/>
  </r>
  <r>
    <x v="792"/>
    <x v="135"/>
    <x v="0"/>
    <n v="30"/>
    <x v="3"/>
    <x v="3"/>
    <x v="5"/>
    <x v="2"/>
    <x v="2"/>
    <x v="690"/>
    <s v="Active"/>
    <x v="0"/>
    <n v="29500"/>
    <x v="28"/>
    <n v="83.6"/>
    <n v="0"/>
    <x v="5"/>
    <n v="4"/>
    <n v="26"/>
    <n v="2"/>
    <x v="2"/>
    <n v="2458"/>
    <n v="6"/>
    <s v="30-34"/>
    <x v="1"/>
  </r>
  <r>
    <x v="793"/>
    <x v="178"/>
    <x v="0"/>
    <n v="30"/>
    <x v="3"/>
    <x v="6"/>
    <x v="0"/>
    <x v="0"/>
    <x v="5"/>
    <x v="691"/>
    <s v="Active"/>
    <x v="1"/>
    <n v="100700"/>
    <x v="28"/>
    <n v="96.5"/>
    <n v="2"/>
    <x v="4"/>
    <n v="0"/>
    <n v="15"/>
    <n v="26"/>
    <x v="1"/>
    <n v="8392"/>
    <n v="7.9"/>
    <s v="30-34"/>
    <x v="3"/>
  </r>
  <r>
    <x v="794"/>
    <x v="75"/>
    <x v="1"/>
    <n v="46"/>
    <x v="11"/>
    <x v="0"/>
    <x v="1"/>
    <x v="2"/>
    <x v="5"/>
    <x v="692"/>
    <s v="Active"/>
    <x v="1"/>
    <n v="38100"/>
    <x v="7"/>
    <n v="91.3"/>
    <n v="1"/>
    <x v="14"/>
    <n v="4"/>
    <n v="9"/>
    <n v="13"/>
    <x v="2"/>
    <n v="3175"/>
    <n v="5.2"/>
    <s v="45+"/>
    <x v="2"/>
  </r>
  <r>
    <x v="795"/>
    <x v="28"/>
    <x v="0"/>
    <n v="35"/>
    <x v="14"/>
    <x v="5"/>
    <x v="4"/>
    <x v="0"/>
    <x v="3"/>
    <x v="693"/>
    <s v="Active"/>
    <x v="0"/>
    <n v="162300"/>
    <x v="13"/>
    <n v="96.8"/>
    <n v="7"/>
    <x v="5"/>
    <n v="4"/>
    <n v="29"/>
    <n v="24"/>
    <x v="3"/>
    <n v="13525"/>
    <n v="2.8"/>
    <s v="35-39"/>
    <x v="1"/>
  </r>
  <r>
    <x v="796"/>
    <x v="122"/>
    <x v="1"/>
    <n v="33"/>
    <x v="14"/>
    <x v="2"/>
    <x v="3"/>
    <x v="0"/>
    <x v="5"/>
    <x v="694"/>
    <s v="Active"/>
    <x v="0"/>
    <n v="48900"/>
    <x v="24"/>
    <n v="91.6"/>
    <n v="7"/>
    <x v="8"/>
    <n v="1"/>
    <n v="6"/>
    <n v="16"/>
    <x v="2"/>
    <n v="4075"/>
    <n v="6.8"/>
    <s v="30-34"/>
    <x v="1"/>
  </r>
  <r>
    <x v="797"/>
    <x v="75"/>
    <x v="0"/>
    <n v="46"/>
    <x v="4"/>
    <x v="2"/>
    <x v="3"/>
    <x v="0"/>
    <x v="7"/>
    <x v="587"/>
    <s v="Active"/>
    <x v="0"/>
    <n v="40400"/>
    <x v="21"/>
    <n v="99.1"/>
    <n v="8"/>
    <x v="8"/>
    <n v="3"/>
    <n v="2"/>
    <n v="22"/>
    <x v="1"/>
    <n v="3367"/>
    <n v="2.2000000000000002"/>
    <s v="45+"/>
    <x v="2"/>
  </r>
  <r>
    <x v="798"/>
    <x v="154"/>
    <x v="1"/>
    <n v="38"/>
    <x v="8"/>
    <x v="4"/>
    <x v="1"/>
    <x v="0"/>
    <x v="5"/>
    <x v="658"/>
    <s v="Active"/>
    <x v="0"/>
    <n v="37200"/>
    <x v="25"/>
    <n v="94.6"/>
    <n v="8"/>
    <x v="4"/>
    <n v="3"/>
    <n v="1"/>
    <n v="18"/>
    <x v="1"/>
    <n v="3100"/>
    <n v="2.4"/>
    <s v="35-39"/>
    <x v="1"/>
  </r>
  <r>
    <x v="799"/>
    <x v="167"/>
    <x v="1"/>
    <n v="41"/>
    <x v="5"/>
    <x v="3"/>
    <x v="1"/>
    <x v="0"/>
    <x v="5"/>
    <x v="695"/>
    <s v="Active"/>
    <x v="1"/>
    <n v="37400"/>
    <x v="14"/>
    <n v="84.6"/>
    <n v="1"/>
    <x v="15"/>
    <n v="2"/>
    <n v="0"/>
    <n v="21"/>
    <x v="6"/>
    <n v="3117"/>
    <n v="7.5"/>
    <s v="40-4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F0B9D1-6487-4E55-92DF-6281C6499FE1}"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7:B126"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axis="axisRow"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5"/>
  </rowFields>
  <rowItems count="9">
    <i>
      <x/>
    </i>
    <i>
      <x v="1"/>
    </i>
    <i>
      <x v="2"/>
    </i>
    <i>
      <x v="3"/>
    </i>
    <i>
      <x v="4"/>
    </i>
    <i>
      <x v="5"/>
    </i>
    <i>
      <x v="6"/>
    </i>
    <i>
      <x v="7"/>
    </i>
    <i t="grand">
      <x/>
    </i>
  </rowItems>
  <colItems count="1">
    <i/>
  </colItems>
  <dataFields count="1">
    <dataField name="Count of 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8601DD-281E-4E3D-9CF7-9CDB7DE0AA9D}"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9:B222"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axis="axisRow" showAll="0">
      <items count="9">
        <item x="7"/>
        <item x="3"/>
        <item x="0"/>
        <item x="4"/>
        <item x="5"/>
        <item x="6"/>
        <item x="2"/>
        <item x="1"/>
        <item t="default"/>
      </items>
    </pivotField>
    <pivotField showAll="0"/>
    <pivotField showAll="0"/>
    <pivotField axis="axisRow" showAll="0">
      <items count="9">
        <item x="1"/>
        <item x="2"/>
        <item x="3"/>
        <item x="6"/>
        <item x="0"/>
        <item x="4"/>
        <item x="7"/>
        <item x="5"/>
        <item t="default"/>
      </items>
    </pivotField>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2">
    <field x="8"/>
    <field x="5"/>
  </rowFields>
  <rowItems count="73">
    <i>
      <x/>
    </i>
    <i r="1">
      <x/>
    </i>
    <i r="1">
      <x v="1"/>
    </i>
    <i r="1">
      <x v="2"/>
    </i>
    <i r="1">
      <x v="3"/>
    </i>
    <i r="1">
      <x v="4"/>
    </i>
    <i r="1">
      <x v="5"/>
    </i>
    <i r="1">
      <x v="6"/>
    </i>
    <i r="1">
      <x v="7"/>
    </i>
    <i>
      <x v="1"/>
    </i>
    <i r="1">
      <x/>
    </i>
    <i r="1">
      <x v="1"/>
    </i>
    <i r="1">
      <x v="2"/>
    </i>
    <i r="1">
      <x v="3"/>
    </i>
    <i r="1">
      <x v="4"/>
    </i>
    <i r="1">
      <x v="5"/>
    </i>
    <i r="1">
      <x v="6"/>
    </i>
    <i r="1">
      <x v="7"/>
    </i>
    <i>
      <x v="2"/>
    </i>
    <i r="1">
      <x/>
    </i>
    <i r="1">
      <x v="1"/>
    </i>
    <i r="1">
      <x v="2"/>
    </i>
    <i r="1">
      <x v="3"/>
    </i>
    <i r="1">
      <x v="4"/>
    </i>
    <i r="1">
      <x v="5"/>
    </i>
    <i r="1">
      <x v="6"/>
    </i>
    <i r="1">
      <x v="7"/>
    </i>
    <i>
      <x v="3"/>
    </i>
    <i r="1">
      <x/>
    </i>
    <i r="1">
      <x v="1"/>
    </i>
    <i r="1">
      <x v="2"/>
    </i>
    <i r="1">
      <x v="3"/>
    </i>
    <i r="1">
      <x v="4"/>
    </i>
    <i r="1">
      <x v="5"/>
    </i>
    <i r="1">
      <x v="6"/>
    </i>
    <i r="1">
      <x v="7"/>
    </i>
    <i>
      <x v="4"/>
    </i>
    <i r="1">
      <x/>
    </i>
    <i r="1">
      <x v="1"/>
    </i>
    <i r="1">
      <x v="2"/>
    </i>
    <i r="1">
      <x v="3"/>
    </i>
    <i r="1">
      <x v="4"/>
    </i>
    <i r="1">
      <x v="5"/>
    </i>
    <i r="1">
      <x v="6"/>
    </i>
    <i r="1">
      <x v="7"/>
    </i>
    <i>
      <x v="5"/>
    </i>
    <i r="1">
      <x/>
    </i>
    <i r="1">
      <x v="1"/>
    </i>
    <i r="1">
      <x v="2"/>
    </i>
    <i r="1">
      <x v="3"/>
    </i>
    <i r="1">
      <x v="4"/>
    </i>
    <i r="1">
      <x v="5"/>
    </i>
    <i r="1">
      <x v="6"/>
    </i>
    <i r="1">
      <x v="7"/>
    </i>
    <i>
      <x v="6"/>
    </i>
    <i r="1">
      <x/>
    </i>
    <i r="1">
      <x v="1"/>
    </i>
    <i r="1">
      <x v="2"/>
    </i>
    <i r="1">
      <x v="3"/>
    </i>
    <i r="1">
      <x v="4"/>
    </i>
    <i r="1">
      <x v="5"/>
    </i>
    <i r="1">
      <x v="6"/>
    </i>
    <i r="1">
      <x v="7"/>
    </i>
    <i>
      <x v="7"/>
    </i>
    <i r="1">
      <x/>
    </i>
    <i r="1">
      <x v="1"/>
    </i>
    <i r="1">
      <x v="2"/>
    </i>
    <i r="1">
      <x v="3"/>
    </i>
    <i r="1">
      <x v="4"/>
    </i>
    <i r="1">
      <x v="5"/>
    </i>
    <i r="1">
      <x v="6"/>
    </i>
    <i r="1">
      <x v="7"/>
    </i>
    <i t="grand">
      <x/>
    </i>
  </rowItems>
  <colItems count="1">
    <i/>
  </colItems>
  <dataFields count="1">
    <dataField name="Count of 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CC3D7E-DC94-48A9-8364-82D2D3F5FEB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A80" firstHeaderRow="1" firstDataRow="1" firstDataCol="1"/>
  <pivotFields count="28">
    <pivotField showAll="0"/>
    <pivotField showAll="0"/>
    <pivotField showAll="0"/>
    <pivotField showAll="0"/>
    <pivotField axis="axisRow" showAll="0">
      <items count="16">
        <item h="1" x="8"/>
        <item h="1" x="2"/>
        <item x="9"/>
        <item h="1" x="3"/>
        <item h="1" x="4"/>
        <item h="1" x="10"/>
        <item h="1" x="13"/>
        <item h="1" x="1"/>
        <item h="1" x="0"/>
        <item h="1" x="14"/>
        <item h="1" x="5"/>
        <item h="1" x="7"/>
        <item h="1" x="11"/>
        <item h="1" x="6"/>
        <item h="1" x="12"/>
        <item t="default"/>
      </items>
    </pivotField>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4"/>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503FF6-4CB0-413B-B825-BAD47F713E8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8">
    <pivotField showAll="0"/>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Sum of Monthly_Salary_INR" fld="21"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F12BFE-E5F6-4F2A-9ADC-FE7DCF5A0E56}"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36:B345" firstHeaderRow="1" firstDataRow="1" firstDataCol="1"/>
  <pivotFields count="28">
    <pivotField showAll="0"/>
    <pivotField showAll="0"/>
    <pivotField showAll="0"/>
    <pivotField showAll="0"/>
    <pivotField showAll="0"/>
    <pivotField axis="axisRow"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5"/>
  </rowFields>
  <rowItems count="9">
    <i>
      <x/>
    </i>
    <i>
      <x v="1"/>
    </i>
    <i>
      <x v="2"/>
    </i>
    <i>
      <x v="3"/>
    </i>
    <i>
      <x v="4"/>
    </i>
    <i>
      <x v="5"/>
    </i>
    <i>
      <x v="6"/>
    </i>
    <i>
      <x v="7"/>
    </i>
    <i t="grand">
      <x/>
    </i>
  </rowItems>
  <colItems count="1">
    <i/>
  </colItems>
  <dataFields count="1">
    <dataField name="TOTAL PROJECTS COMPLETED BY EACH DEPARTMENT" fld="16" subtotal="count" baseField="0" baseItem="0"/>
  </dataFields>
  <chartFormats count="18">
    <chartFormat chart="0" format="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5" count="1" selected="0">
            <x v="0"/>
          </reference>
        </references>
      </pivotArea>
    </chartFormat>
    <chartFormat chart="2" format="12">
      <pivotArea type="data" outline="0" fieldPosition="0">
        <references count="2">
          <reference field="4294967294" count="1" selected="0">
            <x v="0"/>
          </reference>
          <reference field="5" count="1" selected="0">
            <x v="1"/>
          </reference>
        </references>
      </pivotArea>
    </chartFormat>
    <chartFormat chart="2" format="13">
      <pivotArea type="data" outline="0" fieldPosition="0">
        <references count="2">
          <reference field="4294967294" count="1" selected="0">
            <x v="0"/>
          </reference>
          <reference field="5" count="1" selected="0">
            <x v="2"/>
          </reference>
        </references>
      </pivotArea>
    </chartFormat>
    <chartFormat chart="2" format="14">
      <pivotArea type="data" outline="0" fieldPosition="0">
        <references count="2">
          <reference field="4294967294" count="1" selected="0">
            <x v="0"/>
          </reference>
          <reference field="5" count="1" selected="0">
            <x v="3"/>
          </reference>
        </references>
      </pivotArea>
    </chartFormat>
    <chartFormat chart="2" format="15">
      <pivotArea type="data" outline="0" fieldPosition="0">
        <references count="2">
          <reference field="4294967294" count="1" selected="0">
            <x v="0"/>
          </reference>
          <reference field="5" count="1" selected="0">
            <x v="4"/>
          </reference>
        </references>
      </pivotArea>
    </chartFormat>
    <chartFormat chart="2" format="16">
      <pivotArea type="data" outline="0" fieldPosition="0">
        <references count="2">
          <reference field="4294967294" count="1" selected="0">
            <x v="0"/>
          </reference>
          <reference field="5" count="1" selected="0">
            <x v="5"/>
          </reference>
        </references>
      </pivotArea>
    </chartFormat>
    <chartFormat chart="2" format="17">
      <pivotArea type="data" outline="0" fieldPosition="0">
        <references count="2">
          <reference field="4294967294" count="1" selected="0">
            <x v="0"/>
          </reference>
          <reference field="5" count="1" selected="0">
            <x v="6"/>
          </reference>
        </references>
      </pivotArea>
    </chartFormat>
    <chartFormat chart="2" format="18">
      <pivotArea type="data" outline="0" fieldPosition="0">
        <references count="2">
          <reference field="4294967294" count="1" selected="0">
            <x v="0"/>
          </reference>
          <reference field="5" count="1" selected="0">
            <x v="7"/>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5DC863-3575-451C-9DA4-618CE332850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8:B47"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axis="axisRow"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5"/>
  </rowFields>
  <rowItems count="9">
    <i>
      <x/>
    </i>
    <i>
      <x v="1"/>
    </i>
    <i>
      <x v="2"/>
    </i>
    <i>
      <x v="3"/>
    </i>
    <i>
      <x v="4"/>
    </i>
    <i>
      <x v="5"/>
    </i>
    <i>
      <x v="6"/>
    </i>
    <i>
      <x v="7"/>
    </i>
    <i t="grand">
      <x/>
    </i>
  </rowItems>
  <colItems count="1">
    <i/>
  </colItems>
  <dataFields count="1">
    <dataField name="Count of E_ID" fld="0" subtotal="count" baseField="0" baseItem="0"/>
  </dataFields>
  <chartFormats count="2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 chart="11" format="17" series="1">
      <pivotArea type="data" outline="0" fieldPosition="0">
        <references count="1">
          <reference field="4294967294" count="1" selected="0">
            <x v="0"/>
          </reference>
        </references>
      </pivotArea>
    </chartFormat>
    <chartFormat chart="11" format="18">
      <pivotArea type="data" outline="0" fieldPosition="0">
        <references count="2">
          <reference field="4294967294" count="1" selected="0">
            <x v="0"/>
          </reference>
          <reference field="5" count="1" selected="0">
            <x v="0"/>
          </reference>
        </references>
      </pivotArea>
    </chartFormat>
    <chartFormat chart="11" format="19">
      <pivotArea type="data" outline="0" fieldPosition="0">
        <references count="2">
          <reference field="4294967294" count="1" selected="0">
            <x v="0"/>
          </reference>
          <reference field="5" count="1" selected="0">
            <x v="1"/>
          </reference>
        </references>
      </pivotArea>
    </chartFormat>
    <chartFormat chart="11" format="20">
      <pivotArea type="data" outline="0" fieldPosition="0">
        <references count="2">
          <reference field="4294967294" count="1" selected="0">
            <x v="0"/>
          </reference>
          <reference field="5" count="1" selected="0">
            <x v="2"/>
          </reference>
        </references>
      </pivotArea>
    </chartFormat>
    <chartFormat chart="11" format="21">
      <pivotArea type="data" outline="0" fieldPosition="0">
        <references count="2">
          <reference field="4294967294" count="1" selected="0">
            <x v="0"/>
          </reference>
          <reference field="5" count="1" selected="0">
            <x v="3"/>
          </reference>
        </references>
      </pivotArea>
    </chartFormat>
    <chartFormat chart="11" format="22">
      <pivotArea type="data" outline="0" fieldPosition="0">
        <references count="2">
          <reference field="4294967294" count="1" selected="0">
            <x v="0"/>
          </reference>
          <reference field="5" count="1" selected="0">
            <x v="4"/>
          </reference>
        </references>
      </pivotArea>
    </chartFormat>
    <chartFormat chart="11" format="23">
      <pivotArea type="data" outline="0" fieldPosition="0">
        <references count="2">
          <reference field="4294967294" count="1" selected="0">
            <x v="0"/>
          </reference>
          <reference field="5" count="1" selected="0">
            <x v="5"/>
          </reference>
        </references>
      </pivotArea>
    </chartFormat>
    <chartFormat chart="11" format="24">
      <pivotArea type="data" outline="0" fieldPosition="0">
        <references count="2">
          <reference field="4294967294" count="1" selected="0">
            <x v="0"/>
          </reference>
          <reference field="5" count="1" selected="0">
            <x v="6"/>
          </reference>
        </references>
      </pivotArea>
    </chartFormat>
    <chartFormat chart="11" format="25">
      <pivotArea type="data" outline="0" fieldPosition="0">
        <references count="2">
          <reference field="4294967294" count="1" selected="0">
            <x v="0"/>
          </reference>
          <reference field="5" count="1" selected="0">
            <x v="7"/>
          </reference>
        </references>
      </pivotArea>
    </chartFormat>
    <chartFormat chart="0" format="8">
      <pivotArea type="data" outline="0" fieldPosition="0">
        <references count="2">
          <reference field="4294967294" count="1" selected="0">
            <x v="0"/>
          </reference>
          <reference field="5" count="1" selected="0">
            <x v="0"/>
          </reference>
        </references>
      </pivotArea>
    </chartFormat>
    <chartFormat chart="0" format="9">
      <pivotArea type="data" outline="0" fieldPosition="0">
        <references count="2">
          <reference field="4294967294" count="1" selected="0">
            <x v="0"/>
          </reference>
          <reference field="5" count="1" selected="0">
            <x v="1"/>
          </reference>
        </references>
      </pivotArea>
    </chartFormat>
    <chartFormat chart="0" format="10">
      <pivotArea type="data" outline="0" fieldPosition="0">
        <references count="2">
          <reference field="4294967294" count="1" selected="0">
            <x v="0"/>
          </reference>
          <reference field="5" count="1" selected="0">
            <x v="2"/>
          </reference>
        </references>
      </pivotArea>
    </chartFormat>
    <chartFormat chart="0" format="11">
      <pivotArea type="data" outline="0" fieldPosition="0">
        <references count="2">
          <reference field="4294967294" count="1" selected="0">
            <x v="0"/>
          </reference>
          <reference field="5" count="1" selected="0">
            <x v="3"/>
          </reference>
        </references>
      </pivotArea>
    </chartFormat>
    <chartFormat chart="0" format="12">
      <pivotArea type="data" outline="0" fieldPosition="0">
        <references count="2">
          <reference field="4294967294" count="1" selected="0">
            <x v="0"/>
          </reference>
          <reference field="5" count="1" selected="0">
            <x v="4"/>
          </reference>
        </references>
      </pivotArea>
    </chartFormat>
    <chartFormat chart="0" format="13">
      <pivotArea type="data" outline="0" fieldPosition="0">
        <references count="2">
          <reference field="4294967294" count="1" selected="0">
            <x v="0"/>
          </reference>
          <reference field="5" count="1" selected="0">
            <x v="5"/>
          </reference>
        </references>
      </pivotArea>
    </chartFormat>
    <chartFormat chart="0" format="14">
      <pivotArea type="data" outline="0" fieldPosition="0">
        <references count="2">
          <reference field="4294967294" count="1" selected="0">
            <x v="0"/>
          </reference>
          <reference field="5" count="1" selected="0">
            <x v="6"/>
          </reference>
        </references>
      </pivotArea>
    </chartFormat>
    <chartFormat chart="0" format="15">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F1356E-C9FD-4B77-BF01-0FD7471EDE4A}"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15:B319" firstHeaderRow="1" firstDataRow="1" firstDataCol="1"/>
  <pivotFields count="28">
    <pivotField showAll="0"/>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axis="axisRow" showAll="0">
      <items count="4">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11"/>
  </rowFields>
  <rowItems count="4">
    <i>
      <x/>
    </i>
    <i>
      <x v="1"/>
    </i>
    <i>
      <x v="2"/>
    </i>
    <i t="grand">
      <x/>
    </i>
  </rowItems>
  <colItems count="1">
    <i/>
  </colItems>
  <dataFields count="1">
    <dataField name="Sum of Annual_Salary_INR" fld="12"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8F91F9-C0F8-4307-82B8-9C8E4DA1E705}"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0:B387" firstHeaderRow="1" firstDataRow="1" firstDataCol="1"/>
  <pivotFields count="28">
    <pivotField showAll="0"/>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items count="33">
        <item x="5"/>
        <item x="10"/>
        <item x="30"/>
        <item x="2"/>
        <item x="20"/>
        <item x="9"/>
        <item x="15"/>
        <item x="0"/>
        <item x="18"/>
        <item x="1"/>
        <item x="27"/>
        <item x="28"/>
        <item x="24"/>
        <item x="17"/>
        <item x="13"/>
        <item x="12"/>
        <item x="16"/>
        <item x="14"/>
        <item x="4"/>
        <item x="25"/>
        <item x="23"/>
        <item x="11"/>
        <item x="8"/>
        <item x="7"/>
        <item x="3"/>
        <item x="21"/>
        <item x="19"/>
        <item x="22"/>
        <item x="26"/>
        <item x="6"/>
        <item x="29"/>
        <item x="31"/>
        <item t="default"/>
      </items>
    </pivotField>
    <pivotField showAll="0"/>
    <pivotField showAll="0"/>
    <pivotField axis="axisRow" showAll="0">
      <items count="17">
        <item x="0"/>
        <item x="7"/>
        <item x="1"/>
        <item x="12"/>
        <item x="4"/>
        <item x="8"/>
        <item x="6"/>
        <item x="5"/>
        <item x="10"/>
        <item x="14"/>
        <item x="15"/>
        <item x="3"/>
        <item x="13"/>
        <item x="2"/>
        <item x="11"/>
        <item x="9"/>
        <item t="default"/>
      </items>
    </pivotField>
    <pivotField showAll="0"/>
    <pivotField showAll="0"/>
    <pivotField showAll="0"/>
    <pivotField showAll="0"/>
    <pivotField showAll="0"/>
    <pivotField showAll="0"/>
    <pivotField showAll="0"/>
    <pivotField dataField="1" showAll="0">
      <items count="5">
        <item x="2"/>
        <item x="3"/>
        <item x="1"/>
        <item x="0"/>
        <item t="default"/>
      </items>
    </pivotField>
    <pivotField showAll="0" defaultSubtotal="0"/>
    <pivotField showAll="0" defaultSubtotal="0"/>
    <pivotField showAll="0" defaultSubtotal="0">
      <items count="11">
        <item x="0"/>
        <item x="1"/>
        <item x="2"/>
        <item x="3"/>
        <item x="4"/>
        <item x="5"/>
        <item x="6"/>
        <item x="7"/>
        <item x="8"/>
        <item x="9"/>
        <item x="10"/>
      </items>
    </pivotField>
  </pivotFields>
  <rowFields count="1">
    <field x="16"/>
  </rowFields>
  <rowItems count="17">
    <i>
      <x/>
    </i>
    <i>
      <x v="1"/>
    </i>
    <i>
      <x v="2"/>
    </i>
    <i>
      <x v="3"/>
    </i>
    <i>
      <x v="4"/>
    </i>
    <i>
      <x v="5"/>
    </i>
    <i>
      <x v="6"/>
    </i>
    <i>
      <x v="7"/>
    </i>
    <i>
      <x v="8"/>
    </i>
    <i>
      <x v="9"/>
    </i>
    <i>
      <x v="10"/>
    </i>
    <i>
      <x v="11"/>
    </i>
    <i>
      <x v="12"/>
    </i>
    <i>
      <x v="13"/>
    </i>
    <i>
      <x v="14"/>
    </i>
    <i>
      <x v="15"/>
    </i>
    <i t="grand">
      <x/>
    </i>
  </rowItems>
  <colItems count="1">
    <i/>
  </colItems>
  <dataFields count="1">
    <dataField name="Count of Performance_Category" fld="2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4F2C69-89D1-4220-B48E-7B70174C2A25}"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9:B247"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0"/>
        <item x="3"/>
        <item x="1"/>
        <item x="5"/>
        <item x="6"/>
        <item x="4"/>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20"/>
  </rowFields>
  <rowItems count="8">
    <i>
      <x/>
    </i>
    <i>
      <x v="1"/>
    </i>
    <i>
      <x v="2"/>
    </i>
    <i>
      <x v="3"/>
    </i>
    <i>
      <x v="4"/>
    </i>
    <i>
      <x v="5"/>
    </i>
    <i>
      <x v="6"/>
    </i>
    <i t="grand">
      <x/>
    </i>
  </rowItems>
  <colItems count="1">
    <i/>
  </colItems>
  <dataFields count="1">
    <dataField name="Count of E_ID" fld="0" subtotal="count" baseField="0" baseItem="0"/>
  </dataFields>
  <chartFormats count="16">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0" count="1" selected="0">
            <x v="0"/>
          </reference>
        </references>
      </pivotArea>
    </chartFormat>
    <chartFormat chart="3" format="11">
      <pivotArea type="data" outline="0" fieldPosition="0">
        <references count="2">
          <reference field="4294967294" count="1" selected="0">
            <x v="0"/>
          </reference>
          <reference field="20" count="1" selected="0">
            <x v="1"/>
          </reference>
        </references>
      </pivotArea>
    </chartFormat>
    <chartFormat chart="3" format="12">
      <pivotArea type="data" outline="0" fieldPosition="0">
        <references count="2">
          <reference field="4294967294" count="1" selected="0">
            <x v="0"/>
          </reference>
          <reference field="20" count="1" selected="0">
            <x v="2"/>
          </reference>
        </references>
      </pivotArea>
    </chartFormat>
    <chartFormat chart="3" format="13">
      <pivotArea type="data" outline="0" fieldPosition="0">
        <references count="2">
          <reference field="4294967294" count="1" selected="0">
            <x v="0"/>
          </reference>
          <reference field="20" count="1" selected="0">
            <x v="3"/>
          </reference>
        </references>
      </pivotArea>
    </chartFormat>
    <chartFormat chart="3" format="14">
      <pivotArea type="data" outline="0" fieldPosition="0">
        <references count="2">
          <reference field="4294967294" count="1" selected="0">
            <x v="0"/>
          </reference>
          <reference field="20" count="1" selected="0">
            <x v="4"/>
          </reference>
        </references>
      </pivotArea>
    </chartFormat>
    <chartFormat chart="3" format="15">
      <pivotArea type="data" outline="0" fieldPosition="0">
        <references count="2">
          <reference field="4294967294" count="1" selected="0">
            <x v="0"/>
          </reference>
          <reference field="20" count="1" selected="0">
            <x v="5"/>
          </reference>
        </references>
      </pivotArea>
    </chartFormat>
    <chartFormat chart="3" format="16">
      <pivotArea type="data" outline="0" fieldPosition="0">
        <references count="2">
          <reference field="4294967294" count="1" selected="0">
            <x v="0"/>
          </reference>
          <reference field="20" count="1" selected="0">
            <x v="6"/>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 chart="0" format="4">
      <pivotArea type="data" outline="0" fieldPosition="0">
        <references count="2">
          <reference field="4294967294" count="1" selected="0">
            <x v="0"/>
          </reference>
          <reference field="20" count="1" selected="0">
            <x v="3"/>
          </reference>
        </references>
      </pivotArea>
    </chartFormat>
    <chartFormat chart="0" format="5">
      <pivotArea type="data" outline="0" fieldPosition="0">
        <references count="2">
          <reference field="4294967294" count="1" selected="0">
            <x v="0"/>
          </reference>
          <reference field="20" count="1" selected="0">
            <x v="4"/>
          </reference>
        </references>
      </pivotArea>
    </chartFormat>
    <chartFormat chart="0" format="6">
      <pivotArea type="data" outline="0" fieldPosition="0">
        <references count="2">
          <reference field="4294967294" count="1" selected="0">
            <x v="0"/>
          </reference>
          <reference field="20" count="1" selected="0">
            <x v="5"/>
          </reference>
        </references>
      </pivotArea>
    </chartFormat>
    <chartFormat chart="0" format="7">
      <pivotArea type="data" outline="0" fieldPosition="0">
        <references count="2">
          <reference field="4294967294" count="1" selected="0">
            <x v="0"/>
          </reference>
          <reference field="2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C013E5-6A25-436F-9A69-8E9928B4712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0:B76"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items count="3">
        <item x="1"/>
        <item h="1" x="0"/>
        <item t="default"/>
      </items>
    </pivotField>
    <pivotField showAll="0"/>
    <pivotField axis="axisRow" showAll="0">
      <items count="16">
        <item x="8"/>
        <item x="2"/>
        <item x="9"/>
        <item x="3"/>
        <item x="4"/>
        <item x="10"/>
        <item x="13"/>
        <item x="1"/>
        <item x="0"/>
        <item x="14"/>
        <item x="5"/>
        <item x="7"/>
        <item x="11"/>
        <item x="6"/>
        <item x="12"/>
        <item t="default"/>
      </items>
    </pivotField>
    <pivotField showAll="0">
      <items count="9">
        <item x="7"/>
        <item x="3"/>
        <item x="0"/>
        <item x="4"/>
        <item x="5"/>
        <item x="6"/>
        <item x="2"/>
        <item x="1"/>
        <item t="default"/>
      </items>
    </pivotField>
    <pivotField showAll="0"/>
    <pivotField showAll="0"/>
    <pivotField showAll="0">
      <items count="9">
        <item x="1"/>
        <item x="2"/>
        <item x="3"/>
        <item x="6"/>
        <item x="0"/>
        <item x="4"/>
        <item x="7"/>
        <item x="5"/>
        <item t="default"/>
      </items>
    </pivotField>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Count of E_ID" fld="0" subtotal="count" baseField="0" baseItem="0"/>
  </dataFields>
  <chartFormats count="3">
    <chartFormat chart="0" format="3"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28066D-232F-4DB7-81F1-0BE6042A061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items count="235">
        <item x="129"/>
        <item x="55"/>
        <item x="45"/>
        <item x="110"/>
        <item x="168"/>
        <item x="130"/>
        <item x="11"/>
        <item x="131"/>
        <item x="71"/>
        <item x="138"/>
        <item x="88"/>
        <item x="67"/>
        <item x="229"/>
        <item x="18"/>
        <item x="183"/>
        <item x="149"/>
        <item x="7"/>
        <item x="119"/>
        <item x="109"/>
        <item x="68"/>
        <item x="44"/>
        <item x="53"/>
        <item x="113"/>
        <item x="99"/>
        <item x="136"/>
        <item x="175"/>
        <item x="139"/>
        <item x="181"/>
        <item x="62"/>
        <item x="141"/>
        <item x="128"/>
        <item x="4"/>
        <item x="190"/>
        <item x="155"/>
        <item x="163"/>
        <item x="124"/>
        <item x="213"/>
        <item x="178"/>
        <item x="5"/>
        <item x="200"/>
        <item x="117"/>
        <item x="231"/>
        <item x="90"/>
        <item x="219"/>
        <item x="42"/>
        <item x="84"/>
        <item x="81"/>
        <item x="205"/>
        <item x="145"/>
        <item x="158"/>
        <item x="173"/>
        <item x="121"/>
        <item x="98"/>
        <item x="28"/>
        <item x="156"/>
        <item x="61"/>
        <item x="86"/>
        <item x="101"/>
        <item x="6"/>
        <item x="147"/>
        <item x="79"/>
        <item x="170"/>
        <item x="221"/>
        <item x="216"/>
        <item x="9"/>
        <item x="33"/>
        <item x="65"/>
        <item x="16"/>
        <item x="196"/>
        <item x="161"/>
        <item x="52"/>
        <item x="12"/>
        <item x="206"/>
        <item x="177"/>
        <item x="154"/>
        <item x="127"/>
        <item x="198"/>
        <item x="194"/>
        <item x="120"/>
        <item x="153"/>
        <item x="56"/>
        <item x="228"/>
        <item x="212"/>
        <item x="38"/>
        <item x="93"/>
        <item x="134"/>
        <item x="189"/>
        <item x="103"/>
        <item x="171"/>
        <item x="36"/>
        <item x="233"/>
        <item x="50"/>
        <item x="15"/>
        <item x="164"/>
        <item x="137"/>
        <item x="94"/>
        <item x="3"/>
        <item x="159"/>
        <item x="60"/>
        <item x="0"/>
        <item x="184"/>
        <item x="75"/>
        <item x="25"/>
        <item x="209"/>
        <item x="57"/>
        <item x="151"/>
        <item x="40"/>
        <item x="32"/>
        <item x="222"/>
        <item x="146"/>
        <item x="20"/>
        <item x="114"/>
        <item x="100"/>
        <item x="160"/>
        <item x="91"/>
        <item x="150"/>
        <item x="207"/>
        <item x="111"/>
        <item x="197"/>
        <item x="225"/>
        <item x="66"/>
        <item x="58"/>
        <item x="223"/>
        <item x="74"/>
        <item x="87"/>
        <item x="165"/>
        <item x="97"/>
        <item x="17"/>
        <item x="135"/>
        <item x="202"/>
        <item x="140"/>
        <item x="31"/>
        <item x="112"/>
        <item x="116"/>
        <item x="14"/>
        <item x="118"/>
        <item x="92"/>
        <item x="210"/>
        <item x="172"/>
        <item x="162"/>
        <item x="142"/>
        <item x="108"/>
        <item x="13"/>
        <item x="125"/>
        <item x="82"/>
        <item x="77"/>
        <item x="186"/>
        <item x="152"/>
        <item x="230"/>
        <item x="73"/>
        <item x="43"/>
        <item x="167"/>
        <item x="192"/>
        <item x="102"/>
        <item x="193"/>
        <item x="133"/>
        <item x="105"/>
        <item x="21"/>
        <item x="122"/>
        <item x="35"/>
        <item x="27"/>
        <item x="34"/>
        <item x="180"/>
        <item x="169"/>
        <item x="188"/>
        <item x="227"/>
        <item x="211"/>
        <item x="199"/>
        <item x="174"/>
        <item x="64"/>
        <item x="80"/>
        <item x="85"/>
        <item x="185"/>
        <item x="69"/>
        <item x="226"/>
        <item x="46"/>
        <item x="95"/>
        <item x="201"/>
        <item x="83"/>
        <item x="132"/>
        <item x="187"/>
        <item x="107"/>
        <item x="59"/>
        <item x="51"/>
        <item x="76"/>
        <item x="217"/>
        <item x="148"/>
        <item x="22"/>
        <item x="70"/>
        <item x="204"/>
        <item x="72"/>
        <item x="218"/>
        <item x="47"/>
        <item x="19"/>
        <item x="157"/>
        <item x="203"/>
        <item x="232"/>
        <item x="96"/>
        <item x="215"/>
        <item x="37"/>
        <item x="1"/>
        <item x="195"/>
        <item x="126"/>
        <item x="224"/>
        <item x="24"/>
        <item x="208"/>
        <item x="54"/>
        <item x="39"/>
        <item x="191"/>
        <item x="176"/>
        <item x="143"/>
        <item x="2"/>
        <item x="106"/>
        <item x="29"/>
        <item x="214"/>
        <item x="182"/>
        <item x="48"/>
        <item x="104"/>
        <item x="26"/>
        <item x="89"/>
        <item x="41"/>
        <item x="166"/>
        <item x="63"/>
        <item x="78"/>
        <item x="115"/>
        <item x="23"/>
        <item x="30"/>
        <item x="123"/>
        <item x="10"/>
        <item x="220"/>
        <item x="144"/>
        <item x="49"/>
        <item x="8"/>
        <item x="179"/>
        <item t="default"/>
      </items>
    </pivotField>
    <pivotField showAll="0"/>
    <pivotField showAll="0"/>
    <pivotField showAll="0"/>
    <pivotField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TOTAL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41836F-2214-45CE-8FF0-72C45296744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29"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items count="16">
        <item h="1" x="8"/>
        <item h="1" x="2"/>
        <item x="9"/>
        <item h="1" x="3"/>
        <item h="1" x="4"/>
        <item h="1" x="10"/>
        <item h="1" x="13"/>
        <item h="1" x="1"/>
        <item h="1" x="0"/>
        <item h="1" x="14"/>
        <item h="1" x="5"/>
        <item h="1" x="7"/>
        <item h="1" x="11"/>
        <item h="1" x="6"/>
        <item h="1" x="12"/>
        <item t="default"/>
      </items>
    </pivotField>
    <pivotField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1">
    <field x="27"/>
  </rowFields>
  <rowItems count="10">
    <i>
      <x v="1"/>
    </i>
    <i>
      <x v="2"/>
    </i>
    <i>
      <x v="3"/>
    </i>
    <i>
      <x v="4"/>
    </i>
    <i>
      <x v="5"/>
    </i>
    <i>
      <x v="6"/>
    </i>
    <i>
      <x v="7"/>
    </i>
    <i>
      <x v="8"/>
    </i>
    <i>
      <x v="9"/>
    </i>
    <i t="grand">
      <x/>
    </i>
  </rowItems>
  <colItems count="1">
    <i/>
  </colItems>
  <dataFields count="1">
    <dataField name="Employee Count" fld="0" subtotal="count" baseField="27" baseItem="8"/>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418DCC-1E83-471D-BD9F-AB866782CC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M6"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0"/>
  </rowFields>
  <rowItems count="4">
    <i>
      <x/>
    </i>
    <i>
      <x v="1"/>
    </i>
    <i>
      <x v="2"/>
    </i>
    <i t="grand">
      <x/>
    </i>
  </rowItems>
  <colItems count="1">
    <i/>
  </colItems>
  <dataFields count="1">
    <dataField name="Count of 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6033399-D13D-4C0F-8629-CE3D46D54A5D}"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56:B365" firstHeaderRow="1" firstDataRow="1" firstDataCol="1"/>
  <pivotFields count="28">
    <pivotField showAll="0"/>
    <pivotField showAll="0"/>
    <pivotField showAll="0"/>
    <pivotField showAll="0"/>
    <pivotField showAll="0"/>
    <pivotField axis="axisRow"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
        <item x="2"/>
        <item x="3"/>
        <item x="1"/>
        <item x="0"/>
        <item t="default"/>
      </items>
    </pivotField>
    <pivotField showAll="0" defaultSubtotal="0"/>
    <pivotField showAll="0" defaultSubtotal="0"/>
    <pivotField showAll="0" defaultSubtotal="0">
      <items count="11">
        <item x="0"/>
        <item x="1"/>
        <item x="2"/>
        <item x="3"/>
        <item x="4"/>
        <item x="5"/>
        <item x="6"/>
        <item x="7"/>
        <item x="8"/>
        <item x="9"/>
        <item x="10"/>
      </items>
    </pivotField>
  </pivotFields>
  <rowFields count="1">
    <field x="5"/>
  </rowFields>
  <rowItems count="9">
    <i>
      <x/>
    </i>
    <i>
      <x v="1"/>
    </i>
    <i>
      <x v="2"/>
    </i>
    <i>
      <x v="3"/>
    </i>
    <i>
      <x v="4"/>
    </i>
    <i>
      <x v="5"/>
    </i>
    <i>
      <x v="6"/>
    </i>
    <i>
      <x v="7"/>
    </i>
    <i t="grand">
      <x/>
    </i>
  </rowItems>
  <colItems count="1">
    <i/>
  </colItems>
  <dataFields count="1">
    <dataField name="Count of Performance_Category" fld="24" subtotal="count" baseField="0" baseItem="0"/>
  </dataFields>
  <chartFormats count="2">
    <chartFormat chart="1"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7407442-2107-48AD-8764-81C75A9765C4}" name="PivotTable1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95:B111" firstHeaderRow="1" firstDataRow="1" firstDataCol="1"/>
  <pivotFields count="28">
    <pivotField showAll="0" sumSubtotal="1">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sum"/>
      </items>
    </pivotField>
    <pivotField showAll="0">
      <items count="235">
        <item x="129"/>
        <item x="55"/>
        <item x="45"/>
        <item x="110"/>
        <item x="168"/>
        <item x="130"/>
        <item x="11"/>
        <item x="131"/>
        <item x="71"/>
        <item x="138"/>
        <item x="88"/>
        <item x="67"/>
        <item x="229"/>
        <item x="18"/>
        <item x="183"/>
        <item x="149"/>
        <item x="7"/>
        <item x="119"/>
        <item x="109"/>
        <item x="68"/>
        <item x="44"/>
        <item x="53"/>
        <item x="113"/>
        <item x="99"/>
        <item x="136"/>
        <item x="175"/>
        <item x="139"/>
        <item x="181"/>
        <item x="62"/>
        <item x="141"/>
        <item x="128"/>
        <item x="4"/>
        <item x="190"/>
        <item x="155"/>
        <item x="163"/>
        <item x="124"/>
        <item x="213"/>
        <item x="178"/>
        <item x="5"/>
        <item x="200"/>
        <item x="117"/>
        <item x="231"/>
        <item x="90"/>
        <item x="219"/>
        <item x="42"/>
        <item x="84"/>
        <item x="81"/>
        <item x="205"/>
        <item x="145"/>
        <item x="158"/>
        <item x="173"/>
        <item x="121"/>
        <item x="98"/>
        <item x="28"/>
        <item x="156"/>
        <item x="61"/>
        <item x="86"/>
        <item x="101"/>
        <item x="6"/>
        <item x="147"/>
        <item x="79"/>
        <item x="170"/>
        <item x="221"/>
        <item x="216"/>
        <item x="9"/>
        <item x="33"/>
        <item x="65"/>
        <item x="16"/>
        <item x="196"/>
        <item x="161"/>
        <item x="52"/>
        <item x="12"/>
        <item x="206"/>
        <item x="177"/>
        <item x="154"/>
        <item x="127"/>
        <item x="198"/>
        <item x="194"/>
        <item x="120"/>
        <item x="153"/>
        <item x="56"/>
        <item x="228"/>
        <item x="212"/>
        <item x="38"/>
        <item x="93"/>
        <item x="134"/>
        <item x="189"/>
        <item x="103"/>
        <item x="171"/>
        <item x="36"/>
        <item x="233"/>
        <item x="50"/>
        <item x="15"/>
        <item x="164"/>
        <item x="137"/>
        <item x="94"/>
        <item x="3"/>
        <item x="159"/>
        <item x="60"/>
        <item x="0"/>
        <item x="184"/>
        <item x="75"/>
        <item x="25"/>
        <item x="209"/>
        <item x="57"/>
        <item x="151"/>
        <item x="40"/>
        <item x="32"/>
        <item x="222"/>
        <item x="146"/>
        <item x="20"/>
        <item x="114"/>
        <item x="100"/>
        <item x="160"/>
        <item x="91"/>
        <item x="150"/>
        <item x="207"/>
        <item x="111"/>
        <item x="197"/>
        <item x="225"/>
        <item x="66"/>
        <item x="58"/>
        <item x="223"/>
        <item x="74"/>
        <item x="87"/>
        <item x="165"/>
        <item x="97"/>
        <item x="17"/>
        <item x="135"/>
        <item x="202"/>
        <item x="140"/>
        <item x="31"/>
        <item x="112"/>
        <item x="116"/>
        <item x="14"/>
        <item x="118"/>
        <item x="92"/>
        <item x="210"/>
        <item x="172"/>
        <item x="162"/>
        <item x="142"/>
        <item x="108"/>
        <item x="13"/>
        <item x="125"/>
        <item x="82"/>
        <item x="77"/>
        <item x="186"/>
        <item x="152"/>
        <item x="230"/>
        <item x="73"/>
        <item x="43"/>
        <item x="167"/>
        <item x="192"/>
        <item x="102"/>
        <item x="193"/>
        <item x="133"/>
        <item x="105"/>
        <item x="21"/>
        <item x="122"/>
        <item x="35"/>
        <item x="27"/>
        <item x="34"/>
        <item x="180"/>
        <item x="169"/>
        <item x="188"/>
        <item x="227"/>
        <item x="211"/>
        <item x="199"/>
        <item x="174"/>
        <item x="64"/>
        <item x="80"/>
        <item x="85"/>
        <item x="185"/>
        <item x="69"/>
        <item x="226"/>
        <item x="46"/>
        <item x="95"/>
        <item x="201"/>
        <item x="83"/>
        <item x="132"/>
        <item x="187"/>
        <item x="107"/>
        <item x="59"/>
        <item x="51"/>
        <item x="76"/>
        <item x="217"/>
        <item x="148"/>
        <item x="22"/>
        <item x="70"/>
        <item x="204"/>
        <item x="72"/>
        <item x="218"/>
        <item x="47"/>
        <item x="19"/>
        <item x="157"/>
        <item x="203"/>
        <item x="232"/>
        <item x="96"/>
        <item x="215"/>
        <item x="37"/>
        <item x="1"/>
        <item x="195"/>
        <item x="126"/>
        <item x="224"/>
        <item x="24"/>
        <item x="208"/>
        <item x="54"/>
        <item x="39"/>
        <item x="191"/>
        <item x="176"/>
        <item x="143"/>
        <item x="2"/>
        <item x="106"/>
        <item x="29"/>
        <item x="214"/>
        <item x="182"/>
        <item x="48"/>
        <item x="104"/>
        <item x="26"/>
        <item x="89"/>
        <item x="41"/>
        <item x="166"/>
        <item x="63"/>
        <item x="78"/>
        <item x="115"/>
        <item x="23"/>
        <item x="30"/>
        <item x="123"/>
        <item x="10"/>
        <item x="220"/>
        <item x="144"/>
        <item x="49"/>
        <item x="8"/>
        <item x="179"/>
        <item t="default"/>
      </items>
    </pivotField>
    <pivotField showAll="0"/>
    <pivotField showAll="0"/>
    <pivotField axis="axisRow" showAll="0">
      <items count="16">
        <item x="8"/>
        <item x="2"/>
        <item x="9"/>
        <item x="3"/>
        <item x="4"/>
        <item x="10"/>
        <item x="13"/>
        <item x="1"/>
        <item x="0"/>
        <item x="14"/>
        <item x="5"/>
        <item x="7"/>
        <item x="11"/>
        <item x="6"/>
        <item x="12"/>
        <item t="default"/>
      </items>
    </pivotField>
    <pivotField showAll="0">
      <items count="9">
        <item x="7"/>
        <item x="3"/>
        <item x="0"/>
        <item x="4"/>
        <item x="5"/>
        <item x="6"/>
        <item x="2"/>
        <item x="1"/>
        <item t="default"/>
      </items>
    </pivotField>
    <pivotField showAll="0">
      <items count="7">
        <item x="3"/>
        <item x="5"/>
        <item x="1"/>
        <item x="0"/>
        <item x="4"/>
        <item x="2"/>
        <item t="default"/>
      </items>
    </pivotField>
    <pivotField showAll="0">
      <items count="5">
        <item x="2"/>
        <item x="0"/>
        <item x="3"/>
        <item x="1"/>
        <item t="default"/>
      </items>
    </pivotField>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
        <item x="2"/>
        <item x="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Count of Performance_Category" fld="2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9CB99B9-9CBD-4BDA-96AD-BA9246F0CC7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4" firstHeaderRow="0" firstDataRow="0" firstDataCol="0"/>
  <pivotFields count="28">
    <pivotField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2726642-7E70-44F2-9EF3-8384CC9F1148}"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1:B140" firstHeaderRow="1" firstDataRow="1" firstDataCol="1"/>
  <pivotFields count="28">
    <pivotField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items count="16">
        <item x="8"/>
        <item x="2"/>
        <item x="9"/>
        <item x="3"/>
        <item x="4"/>
        <item x="10"/>
        <item x="13"/>
        <item x="1"/>
        <item x="0"/>
        <item x="14"/>
        <item x="5"/>
        <item x="7"/>
        <item x="11"/>
        <item x="6"/>
        <item x="12"/>
        <item t="default"/>
      </items>
    </pivotField>
    <pivotField axis="axisRow"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dataField="1" showAll="0"/>
    <pivotField showAll="0">
      <items count="33">
        <item x="5"/>
        <item x="10"/>
        <item x="30"/>
        <item x="2"/>
        <item x="20"/>
        <item x="9"/>
        <item x="15"/>
        <item x="0"/>
        <item x="18"/>
        <item x="1"/>
        <item x="27"/>
        <item x="28"/>
        <item x="24"/>
        <item x="17"/>
        <item x="13"/>
        <item x="12"/>
        <item x="16"/>
        <item x="14"/>
        <item x="4"/>
        <item x="25"/>
        <item x="23"/>
        <item x="11"/>
        <item x="8"/>
        <item x="7"/>
        <item x="3"/>
        <item x="21"/>
        <item x="19"/>
        <item x="22"/>
        <item x="26"/>
        <item x="6"/>
        <item x="29"/>
        <item x="3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5"/>
  </rowFields>
  <rowItems count="9">
    <i>
      <x/>
    </i>
    <i>
      <x v="1"/>
    </i>
    <i>
      <x v="2"/>
    </i>
    <i>
      <x v="3"/>
    </i>
    <i>
      <x v="4"/>
    </i>
    <i>
      <x v="5"/>
    </i>
    <i>
      <x v="6"/>
    </i>
    <i>
      <x v="7"/>
    </i>
    <i t="grand">
      <x/>
    </i>
  </rowItems>
  <colItems count="1">
    <i/>
  </colItems>
  <dataFields count="1">
    <dataField name="Average of Annual_Salary_INR" fld="12" subtotal="average"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0962D00-3427-451D-AA9E-0AE39B035829}"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4:B233"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axis="axisRow"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5"/>
  </rowFields>
  <rowItems count="9">
    <i>
      <x/>
    </i>
    <i>
      <x v="1"/>
    </i>
    <i>
      <x v="2"/>
    </i>
    <i>
      <x v="3"/>
    </i>
    <i>
      <x v="4"/>
    </i>
    <i>
      <x v="5"/>
    </i>
    <i>
      <x v="6"/>
    </i>
    <i>
      <x v="7"/>
    </i>
    <i t="grand">
      <x/>
    </i>
  </rowItems>
  <colItems count="1">
    <i/>
  </colItems>
  <dataFields count="1">
    <dataField name="Count of 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D1E5CE8-DCBA-45D1-9A77-B1C4E1153191}"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3:D93" firstHeaderRow="1" firstDataRow="2"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axis="axisCol" showAll="0">
      <items count="3">
        <item x="1"/>
        <item x="0"/>
        <item t="default"/>
      </items>
    </pivotField>
    <pivotField showAll="0"/>
    <pivotField showAll="0"/>
    <pivotField axis="axisRow" showAll="0">
      <items count="9">
        <item x="7"/>
        <item x="3"/>
        <item x="0"/>
        <item x="4"/>
        <item x="5"/>
        <item x="6"/>
        <item x="2"/>
        <item x="1"/>
        <item t="default"/>
      </items>
    </pivotField>
    <pivotField showAll="0"/>
    <pivotField showAll="0"/>
    <pivotField showAll="0">
      <items count="9">
        <item x="1"/>
        <item x="2"/>
        <item x="3"/>
        <item x="6"/>
        <item x="0"/>
        <item x="4"/>
        <item x="7"/>
        <item x="5"/>
        <item t="default"/>
      </items>
    </pivotField>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5"/>
  </rowFields>
  <rowItems count="9">
    <i>
      <x/>
    </i>
    <i>
      <x v="1"/>
    </i>
    <i>
      <x v="2"/>
    </i>
    <i>
      <x v="3"/>
    </i>
    <i>
      <x v="4"/>
    </i>
    <i>
      <x v="5"/>
    </i>
    <i>
      <x v="6"/>
    </i>
    <i>
      <x v="7"/>
    </i>
    <i t="grand">
      <x/>
    </i>
  </rowItems>
  <colFields count="1">
    <field x="2"/>
  </colFields>
  <colItems count="3">
    <i>
      <x/>
    </i>
    <i>
      <x v="1"/>
    </i>
    <i t="grand">
      <x/>
    </i>
  </colItems>
  <dataFields count="1">
    <dataField name="Count of E_ID" fld="0" subtotal="count" baseField="0" baseItem="0"/>
  </dataFields>
  <chartFormats count="6">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12" format="6" series="1">
      <pivotArea type="data" outline="0" fieldPosition="0">
        <references count="2">
          <reference field="4294967294" count="1" selected="0">
            <x v="0"/>
          </reference>
          <reference field="2" count="1" selected="0">
            <x v="0"/>
          </reference>
        </references>
      </pivotArea>
    </chartFormat>
    <chartFormat chart="12" format="7"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58CDEEB-283C-4754-8744-839188394A7B}"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8:B287"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axis="axisRow" showAll="0">
      <items count="9">
        <item x="7"/>
        <item x="3"/>
        <item x="0"/>
        <item x="4"/>
        <item x="5"/>
        <item x="6"/>
        <item x="2"/>
        <item x="1"/>
        <item t="default"/>
      </items>
    </pivotField>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5"/>
  </rowFields>
  <rowItems count="9">
    <i>
      <x/>
    </i>
    <i>
      <x v="1"/>
    </i>
    <i>
      <x v="2"/>
    </i>
    <i>
      <x v="3"/>
    </i>
    <i>
      <x v="4"/>
    </i>
    <i>
      <x v="5"/>
    </i>
    <i>
      <x v="6"/>
    </i>
    <i>
      <x v="7"/>
    </i>
    <i t="grand">
      <x/>
    </i>
  </rowItems>
  <colItems count="1">
    <i/>
  </colItems>
  <dataFields count="1">
    <dataField name="Count of 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944BE44-EF9C-44D3-87AE-626B9000D87E}"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62:B275" firstHeaderRow="1" firstDataRow="1"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Fields count="1">
    <field x="25"/>
  </rowFields>
  <rowItems count="13">
    <i>
      <x v="1"/>
    </i>
    <i>
      <x v="2"/>
    </i>
    <i>
      <x v="3"/>
    </i>
    <i>
      <x v="4"/>
    </i>
    <i>
      <x v="5"/>
    </i>
    <i>
      <x v="6"/>
    </i>
    <i>
      <x v="7"/>
    </i>
    <i>
      <x v="8"/>
    </i>
    <i>
      <x v="9"/>
    </i>
    <i>
      <x v="10"/>
    </i>
    <i>
      <x v="11"/>
    </i>
    <i>
      <x v="12"/>
    </i>
    <i t="grand">
      <x/>
    </i>
  </rowItems>
  <colItems count="1">
    <i/>
  </colItems>
  <dataFields count="1">
    <dataField name="Count of 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F0B6C9B-510F-40CE-82D6-DBF72B3FF1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8">
    <pivotField showAll="0"/>
    <pivotField showAll="0"/>
    <pivotField showAll="0"/>
    <pivotField showAll="0"/>
    <pivotField showAll="0"/>
    <pivotField showAll="0"/>
    <pivotField showAll="0"/>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Average of Monthly_Salary_INR" fld="21" subtotal="average"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83DD4E8-CE0E-4B4A-8F5F-95CC024A1B63}"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97:B304" firstHeaderRow="1" firstDataRow="1" firstDataCol="1"/>
  <pivotFields count="28">
    <pivotField showAll="0"/>
    <pivotField showAll="0"/>
    <pivotField showAll="0"/>
    <pivotField showAll="0"/>
    <pivotField showAll="0"/>
    <pivotField showAll="0"/>
    <pivotField axis="axisRow" showAll="0">
      <items count="7">
        <item x="3"/>
        <item x="5"/>
        <item x="1"/>
        <item x="0"/>
        <item x="4"/>
        <item x="2"/>
        <item t="default"/>
      </items>
    </pivotField>
    <pivotField showAll="0"/>
    <pivotField showAll="0"/>
    <pivotField numFmtId="14" showAll="0">
      <items count="697">
        <item x="396"/>
        <item x="603"/>
        <item x="105"/>
        <item x="306"/>
        <item x="19"/>
        <item x="520"/>
        <item x="296"/>
        <item x="354"/>
        <item x="269"/>
        <item x="613"/>
        <item x="443"/>
        <item x="183"/>
        <item x="54"/>
        <item x="70"/>
        <item x="404"/>
        <item x="191"/>
        <item x="86"/>
        <item x="583"/>
        <item x="8"/>
        <item x="5"/>
        <item x="243"/>
        <item x="178"/>
        <item x="161"/>
        <item x="526"/>
        <item x="569"/>
        <item x="222"/>
        <item x="335"/>
        <item x="101"/>
        <item x="675"/>
        <item x="467"/>
        <item x="647"/>
        <item x="457"/>
        <item x="384"/>
        <item x="78"/>
        <item x="592"/>
        <item x="584"/>
        <item x="249"/>
        <item x="631"/>
        <item x="556"/>
        <item x="537"/>
        <item x="240"/>
        <item x="46"/>
        <item x="560"/>
        <item x="571"/>
        <item x="685"/>
        <item x="657"/>
        <item x="219"/>
        <item x="636"/>
        <item x="665"/>
        <item x="656"/>
        <item x="239"/>
        <item x="250"/>
        <item x="286"/>
        <item x="32"/>
        <item x="648"/>
        <item x="190"/>
        <item x="106"/>
        <item x="557"/>
        <item x="285"/>
        <item x="200"/>
        <item x="211"/>
        <item x="502"/>
        <item x="606"/>
        <item x="691"/>
        <item x="547"/>
        <item x="413"/>
        <item x="483"/>
        <item x="541"/>
        <item x="369"/>
        <item x="551"/>
        <item x="110"/>
        <item x="242"/>
        <item x="515"/>
        <item x="166"/>
        <item x="478"/>
        <item x="220"/>
        <item x="610"/>
        <item x="252"/>
        <item x="445"/>
        <item x="91"/>
        <item x="438"/>
        <item x="184"/>
        <item x="447"/>
        <item x="195"/>
        <item x="262"/>
        <item x="79"/>
        <item x="474"/>
        <item x="659"/>
        <item x="676"/>
        <item x="363"/>
        <item x="96"/>
        <item x="361"/>
        <item x="419"/>
        <item x="274"/>
        <item x="88"/>
        <item x="156"/>
        <item x="695"/>
        <item x="22"/>
        <item x="236"/>
        <item x="17"/>
        <item x="617"/>
        <item x="209"/>
        <item x="116"/>
        <item x="326"/>
        <item x="94"/>
        <item x="29"/>
        <item x="206"/>
        <item x="318"/>
        <item x="135"/>
        <item x="193"/>
        <item x="652"/>
        <item x="266"/>
        <item x="336"/>
        <item x="273"/>
        <item x="650"/>
        <item x="536"/>
        <item x="35"/>
        <item x="442"/>
        <item x="292"/>
        <item x="554"/>
        <item x="2"/>
        <item x="367"/>
        <item x="201"/>
        <item x="176"/>
        <item x="607"/>
        <item x="674"/>
        <item x="162"/>
        <item x="591"/>
        <item x="505"/>
        <item x="329"/>
        <item x="199"/>
        <item x="203"/>
        <item x="118"/>
        <item x="93"/>
        <item x="238"/>
        <item x="353"/>
        <item x="43"/>
        <item x="562"/>
        <item x="402"/>
        <item x="139"/>
        <item x="421"/>
        <item x="277"/>
        <item x="576"/>
        <item x="49"/>
        <item x="172"/>
        <item x="643"/>
        <item x="568"/>
        <item x="694"/>
        <item x="192"/>
        <item x="48"/>
        <item x="611"/>
        <item x="622"/>
        <item x="380"/>
        <item x="614"/>
        <item x="75"/>
        <item x="0"/>
        <item x="163"/>
        <item x="202"/>
        <item x="144"/>
        <item x="437"/>
        <item x="495"/>
        <item x="92"/>
        <item x="403"/>
        <item x="638"/>
        <item x="87"/>
        <item x="304"/>
        <item x="102"/>
        <item x="322"/>
        <item x="624"/>
        <item x="530"/>
        <item x="67"/>
        <item x="308"/>
        <item x="280"/>
        <item x="82"/>
        <item x="210"/>
        <item x="682"/>
        <item x="55"/>
        <item x="553"/>
        <item x="111"/>
        <item x="125"/>
        <item x="276"/>
        <item x="7"/>
        <item x="430"/>
        <item x="185"/>
        <item x="301"/>
        <item x="275"/>
        <item x="312"/>
        <item x="538"/>
        <item x="27"/>
        <item x="471"/>
        <item x="303"/>
        <item x="416"/>
        <item x="492"/>
        <item x="525"/>
        <item x="496"/>
        <item x="417"/>
        <item x="514"/>
        <item x="268"/>
        <item x="620"/>
        <item x="146"/>
        <item x="690"/>
        <item x="671"/>
        <item x="687"/>
        <item x="226"/>
        <item x="566"/>
        <item x="177"/>
        <item x="214"/>
        <item x="509"/>
        <item x="489"/>
        <item x="164"/>
        <item x="572"/>
        <item x="302"/>
        <item x="263"/>
        <item x="44"/>
        <item x="365"/>
        <item x="616"/>
        <item x="522"/>
        <item x="325"/>
        <item x="558"/>
        <item x="65"/>
        <item x="230"/>
        <item x="171"/>
        <item x="37"/>
        <item x="356"/>
        <item x="409"/>
        <item x="187"/>
        <item x="57"/>
        <item x="388"/>
        <item x="482"/>
        <item x="461"/>
        <item x="351"/>
        <item x="81"/>
        <item x="590"/>
        <item x="364"/>
        <item x="602"/>
        <item x="316"/>
        <item x="357"/>
        <item x="127"/>
        <item x="464"/>
        <item x="677"/>
        <item x="112"/>
        <item x="174"/>
        <item x="298"/>
        <item x="549"/>
        <item x="373"/>
        <item x="358"/>
        <item x="654"/>
        <item x="368"/>
        <item x="401"/>
        <item x="63"/>
        <item x="188"/>
        <item x="627"/>
        <item x="287"/>
        <item x="359"/>
        <item x="348"/>
        <item x="180"/>
        <item x="38"/>
        <item x="13"/>
        <item x="641"/>
        <item x="669"/>
        <item x="152"/>
        <item x="446"/>
        <item x="508"/>
        <item x="1"/>
        <item x="529"/>
        <item x="449"/>
        <item x="151"/>
        <item x="73"/>
        <item x="692"/>
        <item x="423"/>
        <item x="307"/>
        <item x="320"/>
        <item x="432"/>
        <item x="352"/>
        <item x="330"/>
        <item x="559"/>
        <item x="629"/>
        <item x="472"/>
        <item x="39"/>
        <item x="378"/>
        <item x="40"/>
        <item x="58"/>
        <item x="435"/>
        <item x="362"/>
        <item x="30"/>
        <item x="41"/>
        <item x="573"/>
        <item x="31"/>
        <item x="197"/>
        <item x="282"/>
        <item x="527"/>
        <item x="521"/>
        <item x="107"/>
        <item x="621"/>
        <item x="290"/>
        <item x="76"/>
        <item x="374"/>
        <item x="119"/>
        <item x="548"/>
        <item x="265"/>
        <item x="332"/>
        <item x="194"/>
        <item x="120"/>
        <item x="531"/>
        <item x="382"/>
        <item x="459"/>
        <item x="517"/>
        <item x="309"/>
        <item x="535"/>
        <item x="217"/>
        <item x="339"/>
        <item x="132"/>
        <item x="288"/>
        <item x="542"/>
        <item x="596"/>
        <item x="609"/>
        <item x="539"/>
        <item x="72"/>
        <item x="346"/>
        <item x="407"/>
        <item x="612"/>
        <item x="670"/>
        <item x="375"/>
        <item x="585"/>
        <item x="207"/>
        <item x="95"/>
        <item x="251"/>
        <item x="550"/>
        <item x="321"/>
        <item x="149"/>
        <item x="383"/>
        <item x="563"/>
        <item x="479"/>
        <item x="66"/>
        <item x="466"/>
        <item x="155"/>
        <item x="663"/>
        <item x="661"/>
        <item x="189"/>
        <item x="574"/>
        <item x="257"/>
        <item x="165"/>
        <item x="600"/>
        <item x="253"/>
        <item x="115"/>
        <item x="345"/>
        <item x="582"/>
        <item x="450"/>
        <item x="570"/>
        <item x="83"/>
        <item x="420"/>
        <item x="33"/>
        <item x="506"/>
        <item x="533"/>
        <item x="349"/>
        <item x="462"/>
        <item x="431"/>
        <item x="644"/>
        <item x="234"/>
        <item x="347"/>
        <item x="314"/>
        <item x="581"/>
        <item x="114"/>
        <item x="233"/>
        <item x="108"/>
        <item x="113"/>
        <item x="452"/>
        <item x="128"/>
        <item x="480"/>
        <item x="601"/>
        <item x="427"/>
        <item x="666"/>
        <item x="150"/>
        <item x="398"/>
        <item x="565"/>
        <item x="448"/>
        <item x="212"/>
        <item x="477"/>
        <item x="341"/>
        <item x="84"/>
        <item x="500"/>
        <item x="324"/>
        <item x="433"/>
        <item x="391"/>
        <item x="598"/>
        <item x="148"/>
        <item x="412"/>
        <item x="260"/>
        <item x="74"/>
        <item x="299"/>
        <item x="360"/>
        <item x="289"/>
        <item x="476"/>
        <item x="429"/>
        <item x="441"/>
        <item x="485"/>
        <item x="575"/>
        <item x="405"/>
        <item x="24"/>
        <item x="26"/>
        <item x="77"/>
        <item x="208"/>
        <item x="454"/>
        <item x="281"/>
        <item x="254"/>
        <item x="52"/>
        <item x="327"/>
        <item x="646"/>
        <item x="140"/>
        <item x="80"/>
        <item x="377"/>
        <item x="599"/>
        <item x="343"/>
        <item x="225"/>
        <item x="499"/>
        <item x="133"/>
        <item x="653"/>
        <item x="680"/>
        <item x="153"/>
        <item x="463"/>
        <item x="406"/>
        <item x="528"/>
        <item x="424"/>
        <item x="545"/>
        <item x="679"/>
        <item x="597"/>
        <item x="366"/>
        <item x="103"/>
        <item x="124"/>
        <item x="218"/>
        <item x="28"/>
        <item x="637"/>
        <item x="344"/>
        <item x="440"/>
        <item x="546"/>
        <item x="34"/>
        <item x="523"/>
        <item x="283"/>
        <item x="215"/>
        <item x="97"/>
        <item x="331"/>
        <item x="15"/>
        <item x="51"/>
        <item x="267"/>
        <item x="577"/>
        <item x="386"/>
        <item x="651"/>
        <item x="589"/>
        <item x="390"/>
        <item x="319"/>
        <item x="167"/>
        <item x="123"/>
        <item x="593"/>
        <item x="684"/>
        <item x="147"/>
        <item x="337"/>
        <item x="460"/>
        <item x="693"/>
        <item x="516"/>
        <item x="328"/>
        <item x="595"/>
        <item x="175"/>
        <item x="170"/>
        <item x="501"/>
        <item x="18"/>
        <item x="256"/>
        <item x="552"/>
        <item x="169"/>
        <item x="295"/>
        <item x="216"/>
        <item x="540"/>
        <item x="340"/>
        <item x="310"/>
        <item x="625"/>
        <item x="245"/>
        <item x="392"/>
        <item x="259"/>
        <item x="381"/>
        <item x="142"/>
        <item x="681"/>
        <item x="45"/>
        <item x="639"/>
        <item x="246"/>
        <item x="524"/>
        <item x="436"/>
        <item x="62"/>
        <item x="104"/>
        <item x="619"/>
        <item x="16"/>
        <item x="410"/>
        <item x="658"/>
        <item x="241"/>
        <item x="50"/>
        <item x="338"/>
        <item x="465"/>
        <item x="293"/>
        <item x="376"/>
        <item x="122"/>
        <item x="371"/>
        <item x="23"/>
        <item x="204"/>
        <item x="400"/>
        <item x="488"/>
        <item x="323"/>
        <item x="564"/>
        <item x="683"/>
        <item x="182"/>
        <item x="232"/>
        <item x="493"/>
        <item x="587"/>
        <item x="258"/>
        <item x="181"/>
        <item x="473"/>
        <item x="117"/>
        <item x="428"/>
        <item x="141"/>
        <item x="645"/>
        <item x="504"/>
        <item x="418"/>
        <item x="229"/>
        <item x="397"/>
        <item x="9"/>
        <item x="342"/>
        <item x="53"/>
        <item x="12"/>
        <item x="69"/>
        <item x="486"/>
        <item x="137"/>
        <item x="487"/>
        <item x="157"/>
        <item x="311"/>
        <item x="628"/>
        <item x="71"/>
        <item x="294"/>
        <item x="604"/>
        <item x="291"/>
        <item x="126"/>
        <item x="11"/>
        <item x="399"/>
        <item x="264"/>
        <item x="10"/>
        <item x="98"/>
        <item x="689"/>
        <item x="512"/>
        <item x="662"/>
        <item x="672"/>
        <item x="408"/>
        <item x="491"/>
        <item x="14"/>
        <item x="138"/>
        <item x="633"/>
        <item x="640"/>
        <item x="497"/>
        <item x="305"/>
        <item x="145"/>
        <item x="387"/>
        <item x="389"/>
        <item x="159"/>
        <item x="655"/>
        <item x="519"/>
        <item x="411"/>
        <item x="99"/>
        <item x="635"/>
        <item x="221"/>
        <item x="272"/>
        <item x="231"/>
        <item x="213"/>
        <item x="317"/>
        <item x="434"/>
        <item x="255"/>
        <item x="224"/>
        <item x="228"/>
        <item x="608"/>
        <item x="688"/>
        <item x="588"/>
        <item x="498"/>
        <item x="158"/>
        <item x="490"/>
        <item x="333"/>
        <item x="503"/>
        <item x="664"/>
        <item x="6"/>
        <item x="271"/>
        <item x="61"/>
        <item x="395"/>
        <item x="300"/>
        <item x="36"/>
        <item x="393"/>
        <item x="121"/>
        <item x="279"/>
        <item x="678"/>
        <item x="511"/>
        <item x="334"/>
        <item x="425"/>
        <item x="594"/>
        <item x="196"/>
        <item x="223"/>
        <item x="561"/>
        <item x="626"/>
        <item x="350"/>
        <item x="355"/>
        <item x="634"/>
        <item x="453"/>
        <item x="470"/>
        <item x="136"/>
        <item x="605"/>
        <item x="20"/>
        <item x="173"/>
        <item x="3"/>
        <item x="129"/>
        <item x="426"/>
        <item x="85"/>
        <item x="513"/>
        <item x="507"/>
        <item x="632"/>
        <item x="660"/>
        <item x="451"/>
        <item x="109"/>
        <item x="510"/>
        <item x="615"/>
        <item x="630"/>
        <item x="469"/>
        <item x="586"/>
        <item x="481"/>
        <item x="555"/>
        <item x="131"/>
        <item x="168"/>
        <item x="25"/>
        <item x="247"/>
        <item x="414"/>
        <item x="227"/>
        <item x="68"/>
        <item x="379"/>
        <item x="100"/>
        <item x="205"/>
        <item x="618"/>
        <item x="130"/>
        <item x="667"/>
        <item x="59"/>
        <item x="64"/>
        <item x="642"/>
        <item x="532"/>
        <item x="89"/>
        <item x="143"/>
        <item x="468"/>
        <item x="385"/>
        <item x="668"/>
        <item x="90"/>
        <item x="370"/>
        <item x="372"/>
        <item x="544"/>
        <item x="198"/>
        <item x="4"/>
        <item x="673"/>
        <item x="179"/>
        <item x="534"/>
        <item x="415"/>
        <item x="186"/>
        <item x="235"/>
        <item x="458"/>
        <item x="543"/>
        <item x="455"/>
        <item x="261"/>
        <item x="315"/>
        <item x="248"/>
        <item x="270"/>
        <item x="160"/>
        <item x="439"/>
        <item x="297"/>
        <item x="278"/>
        <item x="134"/>
        <item x="578"/>
        <item x="60"/>
        <item x="42"/>
        <item x="47"/>
        <item x="394"/>
        <item x="686"/>
        <item x="56"/>
        <item x="623"/>
        <item x="518"/>
        <item x="154"/>
        <item x="237"/>
        <item x="494"/>
        <item x="444"/>
        <item x="284"/>
        <item x="244"/>
        <item x="456"/>
        <item x="21"/>
        <item x="475"/>
        <item x="579"/>
        <item x="484"/>
        <item x="649"/>
        <item x="580"/>
        <item x="313"/>
        <item x="422"/>
        <item x="56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6"/>
  </rowFields>
  <rowItems count="7">
    <i>
      <x/>
    </i>
    <i>
      <x v="1"/>
    </i>
    <i>
      <x v="2"/>
    </i>
    <i>
      <x v="3"/>
    </i>
    <i>
      <x v="4"/>
    </i>
    <i>
      <x v="5"/>
    </i>
    <i t="grand">
      <x/>
    </i>
  </rowItems>
  <colItems count="1">
    <i/>
  </colItems>
  <dataFields count="1">
    <dataField name="Average of Monthly_Salary_INR" fld="21" subtotal="average" baseField="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4B2F3E2-9354-4673-A43D-7BB8B19111CC}" sourceName="Department">
  <pivotTables>
    <pivotTable tabId="4" name="PivotTable1"/>
  </pivotTables>
  <data>
    <tabular pivotCacheId="791163109">
      <items count="8">
        <i x="7" s="1"/>
        <i x="3" s="1"/>
        <i x="0" s="1"/>
        <i x="4" s="1"/>
        <i x="5" s="1"/>
        <i x="6"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39517C61-C9AB-4C41-B48A-F8EE367AC07C}" sourceName="City">
  <pivotTables>
    <pivotTable tabId="4" name="PivotTable9"/>
  </pivotTables>
  <data>
    <tabular pivotCacheId="791163109">
      <items count="15">
        <i x="8"/>
        <i x="2"/>
        <i x="9" s="1"/>
        <i x="3"/>
        <i x="4"/>
        <i x="10"/>
        <i x="13"/>
        <i x="1"/>
        <i x="0"/>
        <i x="14"/>
        <i x="5"/>
        <i x="7"/>
        <i x="11"/>
        <i x="6"/>
        <i x="1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4A8CD38-7ABD-43AB-B78D-722F72C3F7D7}" sourceName="Gender">
  <pivotTables>
    <pivotTable tabId="4" name="PivotTable8"/>
  </pivotTables>
  <data>
    <tabular pivotCacheId="791163109">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D359832-F791-4DB9-8BF8-EB30D26925FC}" sourceName="Education">
  <pivotTables>
    <pivotTable tabId="4" name="PivotTable8"/>
  </pivotTables>
  <data>
    <tabular pivotCacheId="791163109">
      <items count="8">
        <i x="1" s="1"/>
        <i x="2" s="1"/>
        <i x="3" s="1"/>
        <i x="6" s="1"/>
        <i x="0" s="1"/>
        <i x="4"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B694B54-876F-4A3E-8E67-9EF92268FC5C}" cache="Slicer_Department" caption="Department" columnCount="2" rowHeight="247650"/>
  <slicer name="City 2" xr10:uid="{F61946C7-8B9F-411B-8315-1D101D13F11E}" cache="Slicer_City1" caption="City" columnCount="2" rowHeight="247650"/>
  <slicer name="Gender" xr10:uid="{497C3362-A303-4CC5-BA17-98D81C2589E5}" cache="Slicer_Gender" caption="Gender" rowHeight="247650"/>
  <slicer name="Education" xr10:uid="{3A3D3821-67F2-4B79-8D7A-F29C3C920683}" cache="Slicer_Education" caption="Educat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997AF86-A832-487A-BBAC-668C6FA2430A}" cache="Slicer_Department" caption="Department" columnCoun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ing_Date" xr10:uid="{F8D2C390-23C1-4799-B9CA-F040CFB8F12D}" sourceName="Joining_Date">
  <pivotTables>
    <pivotTable tabId="4" name="PivotTable1"/>
  </pivotTables>
  <state minimalRefreshVersion="6" lastRefreshVersion="6" pivotCacheId="791163109" filterType="unknown">
    <bounds startDate="2018-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ing_Date" xr10:uid="{06C8FFED-9FB8-4056-8D93-E3734EE9069E}" cache="NativeTimeline_Joining_Date" caption="Joining_Date" level="2" selectionLevel="2" scrollPosition="2026-05-19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microsoft.com/office/2011/relationships/timeline" Target="../timelines/timeline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C63D-26C4-406D-8E18-941BCC40AF8A}">
  <dimension ref="A1:Y801"/>
  <sheetViews>
    <sheetView workbookViewId="0">
      <selection sqref="A1:Y801"/>
    </sheetView>
  </sheetViews>
  <sheetFormatPr defaultRowHeight="14.4" x14ac:dyDescent="0.3"/>
  <cols>
    <col min="1" max="1" width="14.21875" customWidth="1"/>
    <col min="2" max="2" width="14.109375" customWidth="1"/>
    <col min="5" max="5" width="13.5546875" customWidth="1"/>
    <col min="6" max="6" width="17.44140625" customWidth="1"/>
    <col min="7" max="7" width="13.44140625" customWidth="1"/>
    <col min="10" max="10" width="15.88671875" customWidth="1"/>
    <col min="12" max="12" width="11.5546875" customWidth="1"/>
    <col min="13" max="13" width="12.21875" customWidth="1"/>
    <col min="14" max="14" width="15.21875" customWidth="1"/>
    <col min="15" max="15" width="21.88671875" customWidth="1"/>
    <col min="16" max="16" width="15.44140625" customWidth="1"/>
    <col min="17" max="17" width="17.88671875" customWidth="1"/>
    <col min="18" max="18" width="11.33203125" customWidth="1"/>
    <col min="19" max="19" width="14.109375" customWidth="1"/>
    <col min="20" max="20" width="13.21875" customWidth="1"/>
    <col min="21" max="21" width="18.88671875" customWidth="1"/>
    <col min="22" max="22" width="21.21875" customWidth="1"/>
    <col min="23" max="23" width="18.109375" customWidth="1"/>
    <col min="24" max="24" width="14.6640625" customWidth="1"/>
    <col min="25" max="25" width="19.88671875" customWidth="1"/>
  </cols>
  <sheetData>
    <row r="1" spans="1:25" x14ac:dyDescent="0.3">
      <c r="A1" s="1" t="s">
        <v>1121</v>
      </c>
      <c r="B1" s="2" t="s">
        <v>1122</v>
      </c>
      <c r="C1" s="2" t="s">
        <v>0</v>
      </c>
      <c r="D1" s="2" t="s">
        <v>1</v>
      </c>
      <c r="E1" s="2" t="s">
        <v>2</v>
      </c>
      <c r="F1" s="2" t="s">
        <v>3</v>
      </c>
      <c r="G1" s="2" t="s">
        <v>4</v>
      </c>
      <c r="H1" s="2" t="s">
        <v>5</v>
      </c>
      <c r="I1" s="2" t="s">
        <v>6</v>
      </c>
      <c r="J1" s="2" t="s">
        <v>7</v>
      </c>
      <c r="K1" s="2" t="s">
        <v>1123</v>
      </c>
      <c r="L1" s="2" t="s">
        <v>8</v>
      </c>
      <c r="M1" s="2" t="s">
        <v>9</v>
      </c>
      <c r="N1" s="2" t="s">
        <v>10</v>
      </c>
      <c r="O1" s="2" t="s">
        <v>11</v>
      </c>
      <c r="P1" s="2" t="s">
        <v>12</v>
      </c>
      <c r="Q1" s="2" t="s">
        <v>13</v>
      </c>
      <c r="R1" s="2" t="s">
        <v>14</v>
      </c>
      <c r="S1" s="2" t="s">
        <v>15</v>
      </c>
      <c r="T1" s="2" t="s">
        <v>16</v>
      </c>
      <c r="U1" s="2" t="s">
        <v>17</v>
      </c>
      <c r="V1" s="2" t="s">
        <v>18</v>
      </c>
      <c r="W1" s="2" t="s">
        <v>19</v>
      </c>
      <c r="X1" s="2" t="s">
        <v>20</v>
      </c>
      <c r="Y1" s="4" t="s">
        <v>21</v>
      </c>
    </row>
    <row r="2" spans="1:25" x14ac:dyDescent="0.3">
      <c r="A2" s="5" t="s">
        <v>22</v>
      </c>
      <c r="B2" s="3" t="s">
        <v>23</v>
      </c>
      <c r="C2" s="3" t="s">
        <v>24</v>
      </c>
      <c r="D2" s="3">
        <v>30</v>
      </c>
      <c r="E2" s="3" t="s">
        <v>25</v>
      </c>
      <c r="F2" s="3" t="s">
        <v>26</v>
      </c>
      <c r="G2" s="3" t="s">
        <v>27</v>
      </c>
      <c r="H2" s="3" t="s">
        <v>28</v>
      </c>
      <c r="I2" s="3" t="s">
        <v>29</v>
      </c>
      <c r="J2" s="6">
        <v>43826</v>
      </c>
      <c r="K2" s="3" t="s">
        <v>30</v>
      </c>
      <c r="L2" s="3" t="s">
        <v>31</v>
      </c>
      <c r="M2" s="3">
        <v>91200</v>
      </c>
      <c r="N2" s="3">
        <v>7</v>
      </c>
      <c r="O2" s="3">
        <v>93.9</v>
      </c>
      <c r="P2" s="3">
        <v>0</v>
      </c>
      <c r="Q2" s="3">
        <v>0</v>
      </c>
      <c r="R2" s="3">
        <v>1</v>
      </c>
      <c r="S2" s="3">
        <v>12</v>
      </c>
      <c r="T2" s="3">
        <v>28</v>
      </c>
      <c r="U2" s="3" t="s">
        <v>32</v>
      </c>
      <c r="V2" s="3">
        <v>7600</v>
      </c>
      <c r="W2" s="3">
        <v>6.6</v>
      </c>
      <c r="X2" s="3" t="s">
        <v>33</v>
      </c>
      <c r="Y2" s="7" t="s">
        <v>34</v>
      </c>
    </row>
    <row r="3" spans="1:25" x14ac:dyDescent="0.3">
      <c r="A3" s="5" t="s">
        <v>35</v>
      </c>
      <c r="B3" s="3" t="s">
        <v>36</v>
      </c>
      <c r="C3" s="3" t="s">
        <v>24</v>
      </c>
      <c r="D3" s="3">
        <v>30</v>
      </c>
      <c r="E3" s="3" t="s">
        <v>37</v>
      </c>
      <c r="F3" s="3" t="s">
        <v>38</v>
      </c>
      <c r="G3" s="3" t="s">
        <v>39</v>
      </c>
      <c r="H3" s="3" t="s">
        <v>28</v>
      </c>
      <c r="I3" s="3" t="s">
        <v>40</v>
      </c>
      <c r="J3" s="6">
        <v>44312</v>
      </c>
      <c r="K3" s="3" t="s">
        <v>30</v>
      </c>
      <c r="L3" s="3" t="s">
        <v>31</v>
      </c>
      <c r="M3" s="3">
        <v>33800</v>
      </c>
      <c r="N3" s="3">
        <v>9</v>
      </c>
      <c r="O3" s="3">
        <v>92.1</v>
      </c>
      <c r="P3" s="3">
        <v>5</v>
      </c>
      <c r="Q3" s="3">
        <v>2</v>
      </c>
      <c r="R3" s="3">
        <v>1</v>
      </c>
      <c r="S3" s="3">
        <v>14</v>
      </c>
      <c r="T3" s="3">
        <v>28</v>
      </c>
      <c r="U3" s="3" t="s">
        <v>41</v>
      </c>
      <c r="V3" s="3">
        <v>2817</v>
      </c>
      <c r="W3" s="3">
        <v>5.3</v>
      </c>
      <c r="X3" s="3" t="s">
        <v>33</v>
      </c>
      <c r="Y3" s="7" t="s">
        <v>42</v>
      </c>
    </row>
    <row r="4" spans="1:25" x14ac:dyDescent="0.3">
      <c r="A4" s="5" t="s">
        <v>43</v>
      </c>
      <c r="B4" s="3" t="s">
        <v>44</v>
      </c>
      <c r="C4" s="3" t="s">
        <v>24</v>
      </c>
      <c r="D4" s="3">
        <v>22</v>
      </c>
      <c r="E4" s="3" t="s">
        <v>45</v>
      </c>
      <c r="F4" s="3" t="s">
        <v>38</v>
      </c>
      <c r="G4" s="3" t="s">
        <v>46</v>
      </c>
      <c r="H4" s="3" t="s">
        <v>28</v>
      </c>
      <c r="I4" s="3" t="s">
        <v>47</v>
      </c>
      <c r="J4" s="6">
        <v>43634</v>
      </c>
      <c r="K4" s="3" t="s">
        <v>30</v>
      </c>
      <c r="L4" s="3" t="s">
        <v>31</v>
      </c>
      <c r="M4" s="3">
        <v>61600</v>
      </c>
      <c r="N4" s="3">
        <v>3</v>
      </c>
      <c r="O4" s="3">
        <v>82.4</v>
      </c>
      <c r="P4" s="3">
        <v>1</v>
      </c>
      <c r="Q4" s="3">
        <v>13</v>
      </c>
      <c r="R4" s="3">
        <v>2</v>
      </c>
      <c r="S4" s="3">
        <v>20</v>
      </c>
      <c r="T4" s="3">
        <v>30</v>
      </c>
      <c r="U4" s="3" t="s">
        <v>32</v>
      </c>
      <c r="V4" s="3">
        <v>5133</v>
      </c>
      <c r="W4" s="3">
        <v>7.1</v>
      </c>
      <c r="X4" s="3" t="s">
        <v>48</v>
      </c>
      <c r="Y4" s="7" t="s">
        <v>42</v>
      </c>
    </row>
    <row r="5" spans="1:25" x14ac:dyDescent="0.3">
      <c r="A5" s="5" t="s">
        <v>49</v>
      </c>
      <c r="B5" s="3" t="s">
        <v>50</v>
      </c>
      <c r="C5" s="3" t="s">
        <v>24</v>
      </c>
      <c r="D5" s="3">
        <v>47</v>
      </c>
      <c r="E5" s="3" t="s">
        <v>51</v>
      </c>
      <c r="F5" s="3" t="s">
        <v>52</v>
      </c>
      <c r="G5" s="3" t="s">
        <v>39</v>
      </c>
      <c r="H5" s="3" t="s">
        <v>28</v>
      </c>
      <c r="I5" s="3" t="s">
        <v>40</v>
      </c>
      <c r="J5" s="6">
        <v>45846</v>
      </c>
      <c r="K5" s="3" t="s">
        <v>30</v>
      </c>
      <c r="L5" s="3" t="s">
        <v>53</v>
      </c>
      <c r="M5" s="3">
        <v>29300</v>
      </c>
      <c r="N5" s="3">
        <v>24</v>
      </c>
      <c r="O5" s="3">
        <v>95.6</v>
      </c>
      <c r="P5" s="3">
        <v>1</v>
      </c>
      <c r="Q5" s="3">
        <v>11</v>
      </c>
      <c r="R5" s="3">
        <v>4</v>
      </c>
      <c r="S5" s="3">
        <v>9</v>
      </c>
      <c r="T5" s="3">
        <v>3</v>
      </c>
      <c r="U5" s="3" t="s">
        <v>32</v>
      </c>
      <c r="V5" s="3">
        <v>2442</v>
      </c>
      <c r="W5" s="3">
        <v>1.1000000000000001</v>
      </c>
      <c r="X5" s="3" t="s">
        <v>54</v>
      </c>
      <c r="Y5" s="7" t="s">
        <v>55</v>
      </c>
    </row>
    <row r="6" spans="1:25" x14ac:dyDescent="0.3">
      <c r="A6" s="5" t="s">
        <v>56</v>
      </c>
      <c r="B6" s="3" t="s">
        <v>57</v>
      </c>
      <c r="C6" s="3" t="s">
        <v>58</v>
      </c>
      <c r="D6" s="3">
        <v>42</v>
      </c>
      <c r="E6" s="3" t="s">
        <v>59</v>
      </c>
      <c r="F6" s="3" t="s">
        <v>60</v>
      </c>
      <c r="G6" s="3" t="s">
        <v>39</v>
      </c>
      <c r="H6" s="3" t="s">
        <v>28</v>
      </c>
      <c r="I6" s="3" t="s">
        <v>47</v>
      </c>
      <c r="J6" s="6">
        <v>46028</v>
      </c>
      <c r="K6" s="3" t="s">
        <v>61</v>
      </c>
      <c r="L6" s="3" t="s">
        <v>31</v>
      </c>
      <c r="M6" s="3">
        <v>43500</v>
      </c>
      <c r="N6" s="3">
        <v>18</v>
      </c>
      <c r="O6" s="3">
        <v>87.7</v>
      </c>
      <c r="P6" s="3">
        <v>0</v>
      </c>
      <c r="Q6" s="3">
        <v>4</v>
      </c>
      <c r="R6" s="3">
        <v>4</v>
      </c>
      <c r="S6" s="3">
        <v>2</v>
      </c>
      <c r="T6" s="3">
        <v>21</v>
      </c>
      <c r="U6" s="3" t="s">
        <v>32</v>
      </c>
      <c r="V6" s="3">
        <v>3625</v>
      </c>
      <c r="W6" s="3">
        <v>0.6</v>
      </c>
      <c r="X6" s="3" t="s">
        <v>62</v>
      </c>
      <c r="Y6" s="7" t="s">
        <v>55</v>
      </c>
    </row>
    <row r="7" spans="1:25" x14ac:dyDescent="0.3">
      <c r="A7" s="5" t="s">
        <v>63</v>
      </c>
      <c r="B7" s="3" t="s">
        <v>64</v>
      </c>
      <c r="C7" s="3" t="s">
        <v>58</v>
      </c>
      <c r="D7" s="3">
        <v>20</v>
      </c>
      <c r="E7" s="3" t="s">
        <v>65</v>
      </c>
      <c r="F7" s="3" t="s">
        <v>66</v>
      </c>
      <c r="G7" s="3" t="s">
        <v>46</v>
      </c>
      <c r="H7" s="3" t="s">
        <v>67</v>
      </c>
      <c r="I7" s="3" t="s">
        <v>68</v>
      </c>
      <c r="J7" s="6">
        <v>43185</v>
      </c>
      <c r="K7" s="3" t="s">
        <v>30</v>
      </c>
      <c r="L7" s="3" t="s">
        <v>53</v>
      </c>
      <c r="M7" s="3">
        <v>71200</v>
      </c>
      <c r="N7" s="3">
        <v>0</v>
      </c>
      <c r="O7" s="3">
        <v>87.1</v>
      </c>
      <c r="P7" s="3">
        <v>0</v>
      </c>
      <c r="Q7" s="3">
        <v>11</v>
      </c>
      <c r="R7" s="3">
        <v>2</v>
      </c>
      <c r="S7" s="3">
        <v>26</v>
      </c>
      <c r="T7" s="3">
        <v>29</v>
      </c>
      <c r="U7" s="3" t="s">
        <v>32</v>
      </c>
      <c r="V7" s="3">
        <v>5933</v>
      </c>
      <c r="W7" s="3">
        <v>8.4</v>
      </c>
      <c r="X7" s="3" t="s">
        <v>48</v>
      </c>
      <c r="Y7" s="7" t="s">
        <v>55</v>
      </c>
    </row>
    <row r="8" spans="1:25" x14ac:dyDescent="0.3">
      <c r="A8" s="5" t="s">
        <v>69</v>
      </c>
      <c r="B8" s="3" t="s">
        <v>70</v>
      </c>
      <c r="C8" s="3" t="s">
        <v>24</v>
      </c>
      <c r="D8" s="3">
        <v>50</v>
      </c>
      <c r="E8" s="3" t="s">
        <v>71</v>
      </c>
      <c r="F8" s="3" t="s">
        <v>72</v>
      </c>
      <c r="G8" s="3" t="s">
        <v>27</v>
      </c>
      <c r="H8" s="3" t="s">
        <v>28</v>
      </c>
      <c r="I8" s="3" t="s">
        <v>73</v>
      </c>
      <c r="J8" s="6">
        <v>45740</v>
      </c>
      <c r="K8" s="3" t="s">
        <v>30</v>
      </c>
      <c r="L8" s="3" t="s">
        <v>31</v>
      </c>
      <c r="M8" s="3">
        <v>135300</v>
      </c>
      <c r="N8" s="3">
        <v>29</v>
      </c>
      <c r="O8" s="3">
        <v>83.5</v>
      </c>
      <c r="P8" s="3">
        <v>3</v>
      </c>
      <c r="Q8" s="3">
        <v>7</v>
      </c>
      <c r="R8" s="3">
        <v>4</v>
      </c>
      <c r="S8" s="3">
        <v>17</v>
      </c>
      <c r="T8" s="3">
        <v>25</v>
      </c>
      <c r="U8" s="3" t="s">
        <v>74</v>
      </c>
      <c r="V8" s="3">
        <v>11275</v>
      </c>
      <c r="W8" s="3">
        <v>1.4</v>
      </c>
      <c r="X8" s="3" t="s">
        <v>54</v>
      </c>
      <c r="Y8" s="7" t="s">
        <v>75</v>
      </c>
    </row>
    <row r="9" spans="1:25" x14ac:dyDescent="0.3">
      <c r="A9" s="5" t="s">
        <v>76</v>
      </c>
      <c r="B9" s="3" t="s">
        <v>77</v>
      </c>
      <c r="C9" s="3" t="s">
        <v>24</v>
      </c>
      <c r="D9" s="3">
        <v>42</v>
      </c>
      <c r="E9" s="3" t="s">
        <v>78</v>
      </c>
      <c r="F9" s="3" t="s">
        <v>79</v>
      </c>
      <c r="G9" s="3" t="s">
        <v>80</v>
      </c>
      <c r="H9" s="3" t="s">
        <v>28</v>
      </c>
      <c r="I9" s="3" t="s">
        <v>29</v>
      </c>
      <c r="J9" s="6">
        <v>43941</v>
      </c>
      <c r="K9" s="3" t="s">
        <v>30</v>
      </c>
      <c r="L9" s="3" t="s">
        <v>53</v>
      </c>
      <c r="M9" s="3">
        <v>51500</v>
      </c>
      <c r="N9" s="3">
        <v>23</v>
      </c>
      <c r="O9" s="3">
        <v>89.3</v>
      </c>
      <c r="P9" s="3">
        <v>4</v>
      </c>
      <c r="Q9" s="3">
        <v>6</v>
      </c>
      <c r="R9" s="3">
        <v>3</v>
      </c>
      <c r="S9" s="3">
        <v>18</v>
      </c>
      <c r="T9" s="3">
        <v>15</v>
      </c>
      <c r="U9" s="3" t="s">
        <v>74</v>
      </c>
      <c r="V9" s="3">
        <v>4292</v>
      </c>
      <c r="W9" s="3">
        <v>6.3</v>
      </c>
      <c r="X9" s="3" t="s">
        <v>62</v>
      </c>
      <c r="Y9" s="7" t="s">
        <v>42</v>
      </c>
    </row>
    <row r="10" spans="1:25" x14ac:dyDescent="0.3">
      <c r="A10" s="5" t="s">
        <v>81</v>
      </c>
      <c r="B10" s="3" t="s">
        <v>82</v>
      </c>
      <c r="C10" s="3" t="s">
        <v>24</v>
      </c>
      <c r="D10" s="3">
        <v>41</v>
      </c>
      <c r="E10" s="3" t="s">
        <v>83</v>
      </c>
      <c r="F10" s="3" t="s">
        <v>79</v>
      </c>
      <c r="G10" s="3" t="s">
        <v>80</v>
      </c>
      <c r="H10" s="3" t="s">
        <v>28</v>
      </c>
      <c r="I10" s="3" t="s">
        <v>68</v>
      </c>
      <c r="J10" s="6">
        <v>43177</v>
      </c>
      <c r="K10" s="3" t="s">
        <v>30</v>
      </c>
      <c r="L10" s="3" t="s">
        <v>53</v>
      </c>
      <c r="M10" s="3">
        <v>50300</v>
      </c>
      <c r="N10" s="3">
        <v>22</v>
      </c>
      <c r="O10" s="3">
        <v>88.2</v>
      </c>
      <c r="P10" s="3">
        <v>3</v>
      </c>
      <c r="Q10" s="3">
        <v>1</v>
      </c>
      <c r="R10" s="3">
        <v>0</v>
      </c>
      <c r="S10" s="3">
        <v>20</v>
      </c>
      <c r="T10" s="3">
        <v>6</v>
      </c>
      <c r="U10" s="3" t="s">
        <v>74</v>
      </c>
      <c r="V10" s="3">
        <v>4192</v>
      </c>
      <c r="W10" s="3">
        <v>8.4</v>
      </c>
      <c r="X10" s="3" t="s">
        <v>62</v>
      </c>
      <c r="Y10" s="7" t="s">
        <v>42</v>
      </c>
    </row>
    <row r="11" spans="1:25" x14ac:dyDescent="0.3">
      <c r="A11" s="5" t="s">
        <v>84</v>
      </c>
      <c r="B11" s="3" t="s">
        <v>85</v>
      </c>
      <c r="C11" s="3" t="s">
        <v>24</v>
      </c>
      <c r="D11" s="3">
        <v>46</v>
      </c>
      <c r="E11" s="3" t="s">
        <v>78</v>
      </c>
      <c r="F11" s="3" t="s">
        <v>72</v>
      </c>
      <c r="G11" s="3" t="s">
        <v>80</v>
      </c>
      <c r="H11" s="3" t="s">
        <v>28</v>
      </c>
      <c r="I11" s="3" t="s">
        <v>86</v>
      </c>
      <c r="J11" s="6">
        <v>45478</v>
      </c>
      <c r="K11" s="3" t="s">
        <v>87</v>
      </c>
      <c r="L11" s="3" t="s">
        <v>31</v>
      </c>
      <c r="M11" s="3">
        <v>63500</v>
      </c>
      <c r="N11" s="3">
        <v>23</v>
      </c>
      <c r="O11" s="3">
        <v>97.7</v>
      </c>
      <c r="P11" s="3">
        <v>5</v>
      </c>
      <c r="Q11" s="3">
        <v>13</v>
      </c>
      <c r="R11" s="3">
        <v>3</v>
      </c>
      <c r="S11" s="3">
        <v>4</v>
      </c>
      <c r="T11" s="3">
        <v>2</v>
      </c>
      <c r="U11" s="3" t="s">
        <v>41</v>
      </c>
      <c r="V11" s="3">
        <v>5292</v>
      </c>
      <c r="W11" s="3">
        <v>2.1</v>
      </c>
      <c r="X11" s="3" t="s">
        <v>54</v>
      </c>
      <c r="Y11" s="7" t="s">
        <v>75</v>
      </c>
    </row>
    <row r="12" spans="1:25" x14ac:dyDescent="0.3">
      <c r="A12" s="5" t="s">
        <v>88</v>
      </c>
      <c r="B12" s="3" t="s">
        <v>89</v>
      </c>
      <c r="C12" s="3" t="s">
        <v>58</v>
      </c>
      <c r="D12" s="3">
        <v>29</v>
      </c>
      <c r="E12" s="3" t="s">
        <v>90</v>
      </c>
      <c r="F12" s="3" t="s">
        <v>91</v>
      </c>
      <c r="G12" s="3" t="s">
        <v>39</v>
      </c>
      <c r="H12" s="3" t="s">
        <v>28</v>
      </c>
      <c r="I12" s="3" t="s">
        <v>92</v>
      </c>
      <c r="J12" s="6">
        <v>45531</v>
      </c>
      <c r="K12" s="3" t="s">
        <v>30</v>
      </c>
      <c r="L12" s="3" t="s">
        <v>93</v>
      </c>
      <c r="M12" s="3">
        <v>23000</v>
      </c>
      <c r="N12" s="3">
        <v>5</v>
      </c>
      <c r="O12" s="3">
        <v>86</v>
      </c>
      <c r="P12" s="3">
        <v>7</v>
      </c>
      <c r="Q12" s="3">
        <v>11</v>
      </c>
      <c r="R12" s="3">
        <v>0</v>
      </c>
      <c r="S12" s="3">
        <v>9</v>
      </c>
      <c r="T12" s="3">
        <v>13</v>
      </c>
      <c r="U12" s="3" t="s">
        <v>94</v>
      </c>
      <c r="V12" s="3">
        <v>1917</v>
      </c>
      <c r="W12" s="3">
        <v>1.9</v>
      </c>
      <c r="X12" s="3" t="s">
        <v>95</v>
      </c>
      <c r="Y12" s="7" t="s">
        <v>42</v>
      </c>
    </row>
    <row r="13" spans="1:25" x14ac:dyDescent="0.3">
      <c r="A13" s="5" t="s">
        <v>96</v>
      </c>
      <c r="B13" s="3" t="s">
        <v>97</v>
      </c>
      <c r="C13" s="3" t="s">
        <v>24</v>
      </c>
      <c r="D13" s="3">
        <v>49</v>
      </c>
      <c r="E13" s="3" t="s">
        <v>98</v>
      </c>
      <c r="F13" s="3" t="s">
        <v>60</v>
      </c>
      <c r="G13" s="3" t="s">
        <v>27</v>
      </c>
      <c r="H13" s="3" t="s">
        <v>28</v>
      </c>
      <c r="I13" s="3" t="s">
        <v>92</v>
      </c>
      <c r="J13" s="6">
        <v>45525</v>
      </c>
      <c r="K13" s="3" t="s">
        <v>30</v>
      </c>
      <c r="L13" s="3" t="s">
        <v>31</v>
      </c>
      <c r="M13" s="3">
        <v>103000</v>
      </c>
      <c r="N13" s="3">
        <v>29</v>
      </c>
      <c r="O13" s="3">
        <v>87.4</v>
      </c>
      <c r="P13" s="3">
        <v>1</v>
      </c>
      <c r="Q13" s="3">
        <v>6</v>
      </c>
      <c r="R13" s="3">
        <v>2</v>
      </c>
      <c r="S13" s="3">
        <v>23</v>
      </c>
      <c r="T13" s="3">
        <v>13</v>
      </c>
      <c r="U13" s="3" t="s">
        <v>94</v>
      </c>
      <c r="V13" s="3">
        <v>8583</v>
      </c>
      <c r="W13" s="3">
        <v>1.9</v>
      </c>
      <c r="X13" s="3" t="s">
        <v>54</v>
      </c>
      <c r="Y13" s="7" t="s">
        <v>42</v>
      </c>
    </row>
    <row r="14" spans="1:25" x14ac:dyDescent="0.3">
      <c r="A14" s="5" t="s">
        <v>99</v>
      </c>
      <c r="B14" s="3" t="s">
        <v>100</v>
      </c>
      <c r="C14" s="3" t="s">
        <v>24</v>
      </c>
      <c r="D14" s="3">
        <v>21</v>
      </c>
      <c r="E14" s="3" t="s">
        <v>101</v>
      </c>
      <c r="F14" s="3" t="s">
        <v>60</v>
      </c>
      <c r="G14" s="3" t="s">
        <v>46</v>
      </c>
      <c r="H14" s="3" t="s">
        <v>28</v>
      </c>
      <c r="I14" s="3" t="s">
        <v>29</v>
      </c>
      <c r="J14" s="6">
        <v>45489</v>
      </c>
      <c r="K14" s="3" t="s">
        <v>30</v>
      </c>
      <c r="L14" s="3" t="s">
        <v>31</v>
      </c>
      <c r="M14" s="3">
        <v>99900</v>
      </c>
      <c r="N14" s="3">
        <v>1</v>
      </c>
      <c r="O14" s="3">
        <v>88</v>
      </c>
      <c r="P14" s="3">
        <v>0</v>
      </c>
      <c r="Q14" s="3">
        <v>4</v>
      </c>
      <c r="R14" s="3">
        <v>2</v>
      </c>
      <c r="S14" s="3">
        <v>15</v>
      </c>
      <c r="T14" s="3">
        <v>20</v>
      </c>
      <c r="U14" s="3" t="s">
        <v>32</v>
      </c>
      <c r="V14" s="3">
        <v>8325</v>
      </c>
      <c r="W14" s="3">
        <v>2</v>
      </c>
      <c r="X14" s="3" t="s">
        <v>48</v>
      </c>
      <c r="Y14" s="7" t="s">
        <v>42</v>
      </c>
    </row>
    <row r="15" spans="1:25" x14ac:dyDescent="0.3">
      <c r="A15" s="5" t="s">
        <v>102</v>
      </c>
      <c r="B15" s="3" t="s">
        <v>103</v>
      </c>
      <c r="C15" s="3" t="s">
        <v>24</v>
      </c>
      <c r="D15" s="3">
        <v>45</v>
      </c>
      <c r="E15" s="3" t="s">
        <v>65</v>
      </c>
      <c r="F15" s="3" t="s">
        <v>72</v>
      </c>
      <c r="G15" s="3" t="s">
        <v>39</v>
      </c>
      <c r="H15" s="3" t="s">
        <v>67</v>
      </c>
      <c r="I15" s="3" t="s">
        <v>86</v>
      </c>
      <c r="J15" s="6">
        <v>44301</v>
      </c>
      <c r="K15" s="3" t="s">
        <v>30</v>
      </c>
      <c r="L15" s="3" t="s">
        <v>53</v>
      </c>
      <c r="M15" s="3">
        <v>45700</v>
      </c>
      <c r="N15" s="3">
        <v>21</v>
      </c>
      <c r="O15" s="3">
        <v>86.9</v>
      </c>
      <c r="P15" s="3">
        <v>1</v>
      </c>
      <c r="Q15" s="3">
        <v>5</v>
      </c>
      <c r="R15" s="3">
        <v>0</v>
      </c>
      <c r="S15" s="3">
        <v>19</v>
      </c>
      <c r="T15" s="3">
        <v>22</v>
      </c>
      <c r="U15" s="3" t="s">
        <v>104</v>
      </c>
      <c r="V15" s="3">
        <v>3808</v>
      </c>
      <c r="W15" s="3">
        <v>5.3</v>
      </c>
      <c r="X15" s="3" t="s">
        <v>54</v>
      </c>
      <c r="Y15" s="7" t="s">
        <v>42</v>
      </c>
    </row>
    <row r="16" spans="1:25" x14ac:dyDescent="0.3">
      <c r="A16" s="5" t="s">
        <v>105</v>
      </c>
      <c r="B16" s="3" t="s">
        <v>106</v>
      </c>
      <c r="C16" s="3" t="s">
        <v>58</v>
      </c>
      <c r="D16" s="3">
        <v>36</v>
      </c>
      <c r="E16" s="3" t="s">
        <v>78</v>
      </c>
      <c r="F16" s="3" t="s">
        <v>60</v>
      </c>
      <c r="G16" s="3" t="s">
        <v>80</v>
      </c>
      <c r="H16" s="3" t="s">
        <v>28</v>
      </c>
      <c r="I16" s="3" t="s">
        <v>107</v>
      </c>
      <c r="J16" s="6">
        <v>45572</v>
      </c>
      <c r="K16" s="3" t="s">
        <v>87</v>
      </c>
      <c r="L16" s="3" t="s">
        <v>53</v>
      </c>
      <c r="M16" s="3">
        <v>68900</v>
      </c>
      <c r="N16" s="3">
        <v>15</v>
      </c>
      <c r="O16" s="3">
        <v>84.4</v>
      </c>
      <c r="P16" s="3">
        <v>5</v>
      </c>
      <c r="Q16" s="3">
        <v>7</v>
      </c>
      <c r="R16" s="3">
        <v>0</v>
      </c>
      <c r="S16" s="3">
        <v>17</v>
      </c>
      <c r="T16" s="3">
        <v>23</v>
      </c>
      <c r="U16" s="3" t="s">
        <v>104</v>
      </c>
      <c r="V16" s="3">
        <v>5742</v>
      </c>
      <c r="W16" s="3">
        <v>1.8</v>
      </c>
      <c r="X16" s="3" t="s">
        <v>108</v>
      </c>
      <c r="Y16" s="7" t="s">
        <v>55</v>
      </c>
    </row>
    <row r="17" spans="1:25" x14ac:dyDescent="0.3">
      <c r="A17" s="5" t="s">
        <v>109</v>
      </c>
      <c r="B17" s="3" t="s">
        <v>110</v>
      </c>
      <c r="C17" s="3" t="s">
        <v>24</v>
      </c>
      <c r="D17" s="3">
        <v>28</v>
      </c>
      <c r="E17" s="3" t="s">
        <v>25</v>
      </c>
      <c r="F17" s="3" t="s">
        <v>52</v>
      </c>
      <c r="G17" s="3" t="s">
        <v>46</v>
      </c>
      <c r="H17" s="3" t="s">
        <v>28</v>
      </c>
      <c r="I17" s="3" t="s">
        <v>29</v>
      </c>
      <c r="J17" s="6">
        <v>45091</v>
      </c>
      <c r="K17" s="3" t="s">
        <v>30</v>
      </c>
      <c r="L17" s="3" t="s">
        <v>53</v>
      </c>
      <c r="M17" s="3">
        <v>73800</v>
      </c>
      <c r="N17" s="3">
        <v>7</v>
      </c>
      <c r="O17" s="3">
        <v>94.2</v>
      </c>
      <c r="P17" s="3">
        <v>3</v>
      </c>
      <c r="Q17" s="3">
        <v>4</v>
      </c>
      <c r="R17" s="3">
        <v>0</v>
      </c>
      <c r="S17" s="3">
        <v>7</v>
      </c>
      <c r="T17" s="3">
        <v>3</v>
      </c>
      <c r="U17" s="3" t="s">
        <v>41</v>
      </c>
      <c r="V17" s="3">
        <v>6150</v>
      </c>
      <c r="W17" s="3">
        <v>3.1</v>
      </c>
      <c r="X17" s="3" t="s">
        <v>95</v>
      </c>
      <c r="Y17" s="7" t="s">
        <v>75</v>
      </c>
    </row>
    <row r="18" spans="1:25" x14ac:dyDescent="0.3">
      <c r="A18" s="5" t="s">
        <v>111</v>
      </c>
      <c r="B18" s="3" t="s">
        <v>112</v>
      </c>
      <c r="C18" s="3" t="s">
        <v>24</v>
      </c>
      <c r="D18" s="3">
        <v>37</v>
      </c>
      <c r="E18" s="3" t="s">
        <v>59</v>
      </c>
      <c r="F18" s="3" t="s">
        <v>38</v>
      </c>
      <c r="G18" s="3" t="s">
        <v>80</v>
      </c>
      <c r="H18" s="3" t="s">
        <v>28</v>
      </c>
      <c r="I18" s="3" t="s">
        <v>29</v>
      </c>
      <c r="J18" s="6">
        <v>45322</v>
      </c>
      <c r="K18" s="3" t="s">
        <v>30</v>
      </c>
      <c r="L18" s="3" t="s">
        <v>93</v>
      </c>
      <c r="M18" s="3">
        <v>43900</v>
      </c>
      <c r="N18" s="3">
        <v>14</v>
      </c>
      <c r="O18" s="3">
        <v>90.1</v>
      </c>
      <c r="P18" s="3">
        <v>6</v>
      </c>
      <c r="Q18" s="3">
        <v>15</v>
      </c>
      <c r="R18" s="3">
        <v>0</v>
      </c>
      <c r="S18" s="3">
        <v>12</v>
      </c>
      <c r="T18" s="3">
        <v>30</v>
      </c>
      <c r="U18" s="3" t="s">
        <v>104</v>
      </c>
      <c r="V18" s="3">
        <v>3658</v>
      </c>
      <c r="W18" s="3">
        <v>2.5</v>
      </c>
      <c r="X18" s="3" t="s">
        <v>108</v>
      </c>
      <c r="Y18" s="7" t="s">
        <v>55</v>
      </c>
    </row>
    <row r="19" spans="1:25" x14ac:dyDescent="0.3">
      <c r="A19" s="5" t="s">
        <v>113</v>
      </c>
      <c r="B19" s="3" t="s">
        <v>114</v>
      </c>
      <c r="C19" s="3" t="s">
        <v>58</v>
      </c>
      <c r="D19" s="3">
        <v>39</v>
      </c>
      <c r="E19" s="3" t="s">
        <v>101</v>
      </c>
      <c r="F19" s="3" t="s">
        <v>79</v>
      </c>
      <c r="G19" s="3" t="s">
        <v>46</v>
      </c>
      <c r="H19" s="3" t="s">
        <v>115</v>
      </c>
      <c r="I19" s="3" t="s">
        <v>29</v>
      </c>
      <c r="J19" s="6">
        <v>43506</v>
      </c>
      <c r="K19" s="3" t="s">
        <v>30</v>
      </c>
      <c r="L19" s="3" t="s">
        <v>93</v>
      </c>
      <c r="M19" s="3">
        <v>73800</v>
      </c>
      <c r="N19" s="3">
        <v>17</v>
      </c>
      <c r="O19" s="3">
        <v>88.3</v>
      </c>
      <c r="P19" s="3">
        <v>1</v>
      </c>
      <c r="Q19" s="3">
        <v>8</v>
      </c>
      <c r="R19" s="3">
        <v>1</v>
      </c>
      <c r="S19" s="3">
        <v>30</v>
      </c>
      <c r="T19" s="3">
        <v>25</v>
      </c>
      <c r="U19" s="3" t="s">
        <v>74</v>
      </c>
      <c r="V19" s="3">
        <v>6150</v>
      </c>
      <c r="W19" s="3">
        <v>7.5</v>
      </c>
      <c r="X19" s="3" t="s">
        <v>108</v>
      </c>
      <c r="Y19" s="7" t="s">
        <v>42</v>
      </c>
    </row>
    <row r="20" spans="1:25" x14ac:dyDescent="0.3">
      <c r="A20" s="5" t="s">
        <v>116</v>
      </c>
      <c r="B20" s="3" t="s">
        <v>117</v>
      </c>
      <c r="C20" s="3" t="s">
        <v>24</v>
      </c>
      <c r="D20" s="3">
        <v>28</v>
      </c>
      <c r="E20" s="3" t="s">
        <v>118</v>
      </c>
      <c r="F20" s="3" t="s">
        <v>91</v>
      </c>
      <c r="G20" s="3" t="s">
        <v>39</v>
      </c>
      <c r="H20" s="3" t="s">
        <v>28</v>
      </c>
      <c r="I20" s="3" t="s">
        <v>47</v>
      </c>
      <c r="J20" s="6">
        <v>45230</v>
      </c>
      <c r="K20" s="3" t="s">
        <v>30</v>
      </c>
      <c r="L20" s="3" t="s">
        <v>31</v>
      </c>
      <c r="M20" s="3">
        <v>25100</v>
      </c>
      <c r="N20" s="3">
        <v>5</v>
      </c>
      <c r="O20" s="3">
        <v>87.7</v>
      </c>
      <c r="P20" s="3">
        <v>0</v>
      </c>
      <c r="Q20" s="3">
        <v>0</v>
      </c>
      <c r="R20" s="3">
        <v>4</v>
      </c>
      <c r="S20" s="3">
        <v>7</v>
      </c>
      <c r="T20" s="3">
        <v>14</v>
      </c>
      <c r="U20" s="3" t="s">
        <v>41</v>
      </c>
      <c r="V20" s="3">
        <v>2092</v>
      </c>
      <c r="W20" s="3">
        <v>2.8</v>
      </c>
      <c r="X20" s="3" t="s">
        <v>95</v>
      </c>
      <c r="Y20" s="7" t="s">
        <v>75</v>
      </c>
    </row>
    <row r="21" spans="1:25" x14ac:dyDescent="0.3">
      <c r="A21" s="5" t="s">
        <v>119</v>
      </c>
      <c r="B21" s="3" t="s">
        <v>57</v>
      </c>
      <c r="C21" s="3" t="s">
        <v>58</v>
      </c>
      <c r="D21" s="3">
        <v>44</v>
      </c>
      <c r="E21" s="3" t="s">
        <v>90</v>
      </c>
      <c r="F21" s="3" t="s">
        <v>38</v>
      </c>
      <c r="G21" s="3" t="s">
        <v>46</v>
      </c>
      <c r="H21" s="3" t="s">
        <v>67</v>
      </c>
      <c r="I21" s="3" t="s">
        <v>107</v>
      </c>
      <c r="J21" s="6">
        <v>43121</v>
      </c>
      <c r="K21" s="3" t="s">
        <v>30</v>
      </c>
      <c r="L21" s="3" t="s">
        <v>53</v>
      </c>
      <c r="M21" s="3">
        <v>68900</v>
      </c>
      <c r="N21" s="3">
        <v>21</v>
      </c>
      <c r="O21" s="3">
        <v>91.6</v>
      </c>
      <c r="P21" s="3">
        <v>4</v>
      </c>
      <c r="Q21" s="3">
        <v>4</v>
      </c>
      <c r="R21" s="3">
        <v>4</v>
      </c>
      <c r="S21" s="3">
        <v>25</v>
      </c>
      <c r="T21" s="3">
        <v>13</v>
      </c>
      <c r="U21" s="3" t="s">
        <v>41</v>
      </c>
      <c r="V21" s="3">
        <v>5742</v>
      </c>
      <c r="W21" s="3">
        <v>8.5</v>
      </c>
      <c r="X21" s="3" t="s">
        <v>62</v>
      </c>
      <c r="Y21" s="7" t="s">
        <v>42</v>
      </c>
    </row>
    <row r="22" spans="1:25" x14ac:dyDescent="0.3">
      <c r="A22" s="5" t="s">
        <v>120</v>
      </c>
      <c r="B22" s="3" t="s">
        <v>121</v>
      </c>
      <c r="C22" s="3" t="s">
        <v>58</v>
      </c>
      <c r="D22" s="3">
        <v>47</v>
      </c>
      <c r="E22" s="3" t="s">
        <v>45</v>
      </c>
      <c r="F22" s="3" t="s">
        <v>66</v>
      </c>
      <c r="G22" s="3" t="s">
        <v>39</v>
      </c>
      <c r="H22" s="3" t="s">
        <v>122</v>
      </c>
      <c r="I22" s="3" t="s">
        <v>47</v>
      </c>
      <c r="J22" s="6">
        <v>45839</v>
      </c>
      <c r="K22" s="3" t="s">
        <v>30</v>
      </c>
      <c r="L22" s="3" t="s">
        <v>31</v>
      </c>
      <c r="M22" s="3">
        <v>32400</v>
      </c>
      <c r="N22" s="3">
        <v>24</v>
      </c>
      <c r="O22" s="3">
        <v>87.8</v>
      </c>
      <c r="P22" s="3">
        <v>8</v>
      </c>
      <c r="Q22" s="3">
        <v>0</v>
      </c>
      <c r="R22" s="3">
        <v>2</v>
      </c>
      <c r="S22" s="3">
        <v>12</v>
      </c>
      <c r="T22" s="3">
        <v>24</v>
      </c>
      <c r="U22" s="3" t="s">
        <v>123</v>
      </c>
      <c r="V22" s="3">
        <v>2700</v>
      </c>
      <c r="W22" s="3">
        <v>1.1000000000000001</v>
      </c>
      <c r="X22" s="3" t="s">
        <v>54</v>
      </c>
      <c r="Y22" s="7" t="s">
        <v>55</v>
      </c>
    </row>
    <row r="23" spans="1:25" x14ac:dyDescent="0.3">
      <c r="A23" s="5" t="s">
        <v>124</v>
      </c>
      <c r="B23" s="3" t="s">
        <v>125</v>
      </c>
      <c r="C23" s="3" t="s">
        <v>24</v>
      </c>
      <c r="D23" s="3">
        <v>30</v>
      </c>
      <c r="E23" s="3" t="s">
        <v>83</v>
      </c>
      <c r="F23" s="3" t="s">
        <v>79</v>
      </c>
      <c r="G23" s="3" t="s">
        <v>27</v>
      </c>
      <c r="H23" s="3" t="s">
        <v>28</v>
      </c>
      <c r="I23" s="3" t="s">
        <v>86</v>
      </c>
      <c r="J23" s="6">
        <v>46158</v>
      </c>
      <c r="K23" s="3" t="s">
        <v>30</v>
      </c>
      <c r="L23" s="3" t="s">
        <v>31</v>
      </c>
      <c r="M23" s="3">
        <v>108600</v>
      </c>
      <c r="N23" s="3">
        <v>6</v>
      </c>
      <c r="O23" s="3">
        <v>90.7</v>
      </c>
      <c r="P23" s="3">
        <v>5</v>
      </c>
      <c r="Q23" s="3">
        <v>0</v>
      </c>
      <c r="R23" s="3">
        <v>1</v>
      </c>
      <c r="S23" s="3">
        <v>23</v>
      </c>
      <c r="T23" s="3">
        <v>24</v>
      </c>
      <c r="U23" s="3" t="s">
        <v>41</v>
      </c>
      <c r="V23" s="3">
        <v>9050</v>
      </c>
      <c r="W23" s="3">
        <v>0.2</v>
      </c>
      <c r="X23" s="3" t="s">
        <v>33</v>
      </c>
      <c r="Y23" s="7" t="s">
        <v>75</v>
      </c>
    </row>
    <row r="24" spans="1:25" x14ac:dyDescent="0.3">
      <c r="A24" s="5" t="s">
        <v>126</v>
      </c>
      <c r="B24" s="3" t="s">
        <v>127</v>
      </c>
      <c r="C24" s="3" t="s">
        <v>24</v>
      </c>
      <c r="D24" s="3">
        <v>36</v>
      </c>
      <c r="E24" s="3" t="s">
        <v>78</v>
      </c>
      <c r="F24" s="3" t="s">
        <v>79</v>
      </c>
      <c r="G24" s="3" t="s">
        <v>80</v>
      </c>
      <c r="H24" s="3" t="s">
        <v>122</v>
      </c>
      <c r="I24" s="3" t="s">
        <v>92</v>
      </c>
      <c r="J24" s="6">
        <v>43498</v>
      </c>
      <c r="K24" s="3" t="s">
        <v>30</v>
      </c>
      <c r="L24" s="3" t="s">
        <v>31</v>
      </c>
      <c r="M24" s="3">
        <v>55900</v>
      </c>
      <c r="N24" s="3">
        <v>16</v>
      </c>
      <c r="O24" s="3">
        <v>93.4</v>
      </c>
      <c r="P24" s="3">
        <v>5</v>
      </c>
      <c r="Q24" s="3">
        <v>0</v>
      </c>
      <c r="R24" s="3">
        <v>0</v>
      </c>
      <c r="S24" s="3">
        <v>11</v>
      </c>
      <c r="T24" s="3">
        <v>28</v>
      </c>
      <c r="U24" s="3" t="s">
        <v>123</v>
      </c>
      <c r="V24" s="3">
        <v>4658</v>
      </c>
      <c r="W24" s="3">
        <v>7.5</v>
      </c>
      <c r="X24" s="3" t="s">
        <v>108</v>
      </c>
      <c r="Y24" s="7" t="s">
        <v>42</v>
      </c>
    </row>
    <row r="25" spans="1:25" x14ac:dyDescent="0.3">
      <c r="A25" s="5" t="s">
        <v>128</v>
      </c>
      <c r="B25" s="3" t="s">
        <v>129</v>
      </c>
      <c r="C25" s="3" t="s">
        <v>58</v>
      </c>
      <c r="D25" s="3">
        <v>33</v>
      </c>
      <c r="E25" s="3" t="s">
        <v>71</v>
      </c>
      <c r="F25" s="3" t="s">
        <v>72</v>
      </c>
      <c r="G25" s="3" t="s">
        <v>80</v>
      </c>
      <c r="H25" s="3" t="s">
        <v>28</v>
      </c>
      <c r="I25" s="3" t="s">
        <v>40</v>
      </c>
      <c r="J25" s="6">
        <v>45478</v>
      </c>
      <c r="K25" s="3" t="s">
        <v>30</v>
      </c>
      <c r="L25" s="3" t="s">
        <v>31</v>
      </c>
      <c r="M25" s="3">
        <v>74600</v>
      </c>
      <c r="N25" s="3">
        <v>13</v>
      </c>
      <c r="O25" s="3">
        <v>92.7</v>
      </c>
      <c r="P25" s="3">
        <v>0</v>
      </c>
      <c r="Q25" s="3">
        <v>14</v>
      </c>
      <c r="R25" s="3">
        <v>1</v>
      </c>
      <c r="S25" s="3">
        <v>12</v>
      </c>
      <c r="T25" s="3">
        <v>8</v>
      </c>
      <c r="U25" s="3" t="s">
        <v>130</v>
      </c>
      <c r="V25" s="3">
        <v>6217</v>
      </c>
      <c r="W25" s="3">
        <v>2.1</v>
      </c>
      <c r="X25" s="3" t="s">
        <v>33</v>
      </c>
      <c r="Y25" s="7" t="s">
        <v>42</v>
      </c>
    </row>
    <row r="26" spans="1:25" x14ac:dyDescent="0.3">
      <c r="A26" s="5" t="s">
        <v>131</v>
      </c>
      <c r="B26" s="3" t="s">
        <v>132</v>
      </c>
      <c r="C26" s="3" t="s">
        <v>58</v>
      </c>
      <c r="D26" s="3">
        <v>37</v>
      </c>
      <c r="E26" s="3" t="s">
        <v>118</v>
      </c>
      <c r="F26" s="3" t="s">
        <v>60</v>
      </c>
      <c r="G26" s="3" t="s">
        <v>27</v>
      </c>
      <c r="H26" s="3" t="s">
        <v>28</v>
      </c>
      <c r="I26" s="3" t="s">
        <v>40</v>
      </c>
      <c r="J26" s="6">
        <v>45373</v>
      </c>
      <c r="K26" s="3" t="s">
        <v>30</v>
      </c>
      <c r="L26" s="3" t="s">
        <v>53</v>
      </c>
      <c r="M26" s="3">
        <v>98600</v>
      </c>
      <c r="N26" s="3">
        <v>15</v>
      </c>
      <c r="O26" s="3">
        <v>98.2</v>
      </c>
      <c r="P26" s="3">
        <v>0</v>
      </c>
      <c r="Q26" s="3">
        <v>4</v>
      </c>
      <c r="R26" s="3">
        <v>0</v>
      </c>
      <c r="S26" s="3">
        <v>29</v>
      </c>
      <c r="T26" s="3">
        <v>22</v>
      </c>
      <c r="U26" s="3" t="s">
        <v>130</v>
      </c>
      <c r="V26" s="3">
        <v>8217</v>
      </c>
      <c r="W26" s="3">
        <v>2.4</v>
      </c>
      <c r="X26" s="3" t="s">
        <v>108</v>
      </c>
      <c r="Y26" s="7" t="s">
        <v>42</v>
      </c>
    </row>
    <row r="27" spans="1:25" x14ac:dyDescent="0.3">
      <c r="A27" s="5" t="s">
        <v>133</v>
      </c>
      <c r="B27" s="3" t="s">
        <v>134</v>
      </c>
      <c r="C27" s="3" t="s">
        <v>24</v>
      </c>
      <c r="D27" s="3">
        <v>37</v>
      </c>
      <c r="E27" s="3" t="s">
        <v>90</v>
      </c>
      <c r="F27" s="3" t="s">
        <v>52</v>
      </c>
      <c r="G27" s="3" t="s">
        <v>39</v>
      </c>
      <c r="H27" s="3" t="s">
        <v>28</v>
      </c>
      <c r="I27" s="3" t="s">
        <v>107</v>
      </c>
      <c r="J27" s="6">
        <v>44901</v>
      </c>
      <c r="K27" s="3" t="s">
        <v>30</v>
      </c>
      <c r="L27" s="3" t="s">
        <v>53</v>
      </c>
      <c r="M27" s="3">
        <v>29500</v>
      </c>
      <c r="N27" s="3">
        <v>16</v>
      </c>
      <c r="O27" s="3">
        <v>95.9</v>
      </c>
      <c r="P27" s="3">
        <v>3</v>
      </c>
      <c r="Q27" s="3">
        <v>8</v>
      </c>
      <c r="R27" s="3">
        <v>4</v>
      </c>
      <c r="S27" s="3">
        <v>26</v>
      </c>
      <c r="T27" s="3">
        <v>3</v>
      </c>
      <c r="U27" s="3" t="s">
        <v>32</v>
      </c>
      <c r="V27" s="3">
        <v>2458</v>
      </c>
      <c r="W27" s="3">
        <v>3.7</v>
      </c>
      <c r="X27" s="3" t="s">
        <v>108</v>
      </c>
      <c r="Y27" s="7" t="s">
        <v>42</v>
      </c>
    </row>
    <row r="28" spans="1:25" x14ac:dyDescent="0.3">
      <c r="A28" s="5" t="s">
        <v>135</v>
      </c>
      <c r="B28" s="3" t="s">
        <v>136</v>
      </c>
      <c r="C28" s="3" t="s">
        <v>24</v>
      </c>
      <c r="D28" s="3">
        <v>31</v>
      </c>
      <c r="E28" s="3" t="s">
        <v>137</v>
      </c>
      <c r="F28" s="3" t="s">
        <v>52</v>
      </c>
      <c r="G28" s="3" t="s">
        <v>80</v>
      </c>
      <c r="H28" s="3" t="s">
        <v>28</v>
      </c>
      <c r="I28" s="3" t="s">
        <v>92</v>
      </c>
      <c r="J28" s="6">
        <v>45929</v>
      </c>
      <c r="K28" s="3" t="s">
        <v>30</v>
      </c>
      <c r="L28" s="3" t="s">
        <v>53</v>
      </c>
      <c r="M28" s="3">
        <v>41300</v>
      </c>
      <c r="N28" s="3">
        <v>8</v>
      </c>
      <c r="O28" s="3">
        <v>92.7</v>
      </c>
      <c r="P28" s="3">
        <v>1</v>
      </c>
      <c r="Q28" s="3">
        <v>1</v>
      </c>
      <c r="R28" s="3">
        <v>0</v>
      </c>
      <c r="S28" s="3">
        <v>16</v>
      </c>
      <c r="T28" s="3">
        <v>9</v>
      </c>
      <c r="U28" s="3" t="s">
        <v>32</v>
      </c>
      <c r="V28" s="3">
        <v>3442</v>
      </c>
      <c r="W28" s="3">
        <v>0.8</v>
      </c>
      <c r="X28" s="3" t="s">
        <v>33</v>
      </c>
      <c r="Y28" s="7" t="s">
        <v>55</v>
      </c>
    </row>
    <row r="29" spans="1:25" x14ac:dyDescent="0.3">
      <c r="A29" s="5" t="s">
        <v>138</v>
      </c>
      <c r="B29" s="3" t="s">
        <v>139</v>
      </c>
      <c r="C29" s="3" t="s">
        <v>58</v>
      </c>
      <c r="D29" s="3">
        <v>37</v>
      </c>
      <c r="E29" s="3" t="s">
        <v>101</v>
      </c>
      <c r="F29" s="3" t="s">
        <v>72</v>
      </c>
      <c r="G29" s="3" t="s">
        <v>80</v>
      </c>
      <c r="H29" s="3" t="s">
        <v>28</v>
      </c>
      <c r="I29" s="3" t="s">
        <v>86</v>
      </c>
      <c r="J29" s="6">
        <v>44909</v>
      </c>
      <c r="K29" s="3" t="s">
        <v>30</v>
      </c>
      <c r="L29" s="3" t="s">
        <v>31</v>
      </c>
      <c r="M29" s="3">
        <v>60900</v>
      </c>
      <c r="N29" s="3">
        <v>13</v>
      </c>
      <c r="O29" s="3">
        <v>92.9</v>
      </c>
      <c r="P29" s="3">
        <v>2</v>
      </c>
      <c r="Q29" s="3">
        <v>5</v>
      </c>
      <c r="R29" s="3">
        <v>4</v>
      </c>
      <c r="S29" s="3">
        <v>14</v>
      </c>
      <c r="T29" s="3">
        <v>20</v>
      </c>
      <c r="U29" s="3" t="s">
        <v>74</v>
      </c>
      <c r="V29" s="3">
        <v>5075</v>
      </c>
      <c r="W29" s="3">
        <v>3.6</v>
      </c>
      <c r="X29" s="3" t="s">
        <v>108</v>
      </c>
      <c r="Y29" s="7" t="s">
        <v>42</v>
      </c>
    </row>
    <row r="30" spans="1:25" x14ac:dyDescent="0.3">
      <c r="A30" s="5" t="s">
        <v>140</v>
      </c>
      <c r="B30" s="3" t="s">
        <v>141</v>
      </c>
      <c r="C30" s="3" t="s">
        <v>24</v>
      </c>
      <c r="D30" s="3">
        <v>50</v>
      </c>
      <c r="E30" s="3" t="s">
        <v>98</v>
      </c>
      <c r="F30" s="3" t="s">
        <v>52</v>
      </c>
      <c r="G30" s="3" t="s">
        <v>80</v>
      </c>
      <c r="H30" s="3" t="s">
        <v>28</v>
      </c>
      <c r="I30" s="3" t="s">
        <v>40</v>
      </c>
      <c r="J30" s="6">
        <v>43994</v>
      </c>
      <c r="K30" s="3" t="s">
        <v>30</v>
      </c>
      <c r="L30" s="3" t="s">
        <v>53</v>
      </c>
      <c r="M30" s="3">
        <v>46800</v>
      </c>
      <c r="N30" s="3">
        <v>26</v>
      </c>
      <c r="O30" s="3">
        <v>100</v>
      </c>
      <c r="P30" s="3">
        <v>5</v>
      </c>
      <c r="Q30" s="3">
        <v>4</v>
      </c>
      <c r="R30" s="3">
        <v>0</v>
      </c>
      <c r="S30" s="3">
        <v>27</v>
      </c>
      <c r="T30" s="3">
        <v>20</v>
      </c>
      <c r="U30" s="3" t="s">
        <v>130</v>
      </c>
      <c r="V30" s="3">
        <v>3900</v>
      </c>
      <c r="W30" s="3">
        <v>6.1</v>
      </c>
      <c r="X30" s="3" t="s">
        <v>54</v>
      </c>
      <c r="Y30" s="7" t="s">
        <v>42</v>
      </c>
    </row>
    <row r="31" spans="1:25" x14ac:dyDescent="0.3">
      <c r="A31" s="5" t="s">
        <v>142</v>
      </c>
      <c r="B31" s="3" t="s">
        <v>143</v>
      </c>
      <c r="C31" s="3" t="s">
        <v>58</v>
      </c>
      <c r="D31" s="3">
        <v>27</v>
      </c>
      <c r="E31" s="3" t="s">
        <v>65</v>
      </c>
      <c r="F31" s="3" t="s">
        <v>72</v>
      </c>
      <c r="G31" s="3" t="s">
        <v>27</v>
      </c>
      <c r="H31" s="3" t="s">
        <v>28</v>
      </c>
      <c r="I31" s="3" t="s">
        <v>68</v>
      </c>
      <c r="J31" s="6">
        <v>45045</v>
      </c>
      <c r="K31" s="3" t="s">
        <v>30</v>
      </c>
      <c r="L31" s="3" t="s">
        <v>93</v>
      </c>
      <c r="M31" s="3">
        <v>127700</v>
      </c>
      <c r="N31" s="3">
        <v>4</v>
      </c>
      <c r="O31" s="3">
        <v>87</v>
      </c>
      <c r="P31" s="3">
        <v>0</v>
      </c>
      <c r="Q31" s="3">
        <v>11</v>
      </c>
      <c r="R31" s="3">
        <v>2</v>
      </c>
      <c r="S31" s="3">
        <v>8</v>
      </c>
      <c r="T31" s="3">
        <v>19</v>
      </c>
      <c r="U31" s="3" t="s">
        <v>41</v>
      </c>
      <c r="V31" s="3">
        <v>10642</v>
      </c>
      <c r="W31" s="3">
        <v>3.3</v>
      </c>
      <c r="X31" s="3" t="s">
        <v>95</v>
      </c>
      <c r="Y31" s="7" t="s">
        <v>55</v>
      </c>
    </row>
    <row r="32" spans="1:25" x14ac:dyDescent="0.3">
      <c r="A32" s="5" t="s">
        <v>144</v>
      </c>
      <c r="B32" s="3" t="s">
        <v>145</v>
      </c>
      <c r="C32" s="3" t="s">
        <v>58</v>
      </c>
      <c r="D32" s="3">
        <v>48</v>
      </c>
      <c r="E32" s="3" t="s">
        <v>71</v>
      </c>
      <c r="F32" s="3" t="s">
        <v>72</v>
      </c>
      <c r="G32" s="3" t="s">
        <v>46</v>
      </c>
      <c r="H32" s="3" t="s">
        <v>67</v>
      </c>
      <c r="I32" s="3" t="s">
        <v>47</v>
      </c>
      <c r="J32" s="6">
        <v>43538</v>
      </c>
      <c r="K32" s="3" t="s">
        <v>30</v>
      </c>
      <c r="L32" s="3" t="s">
        <v>53</v>
      </c>
      <c r="M32" s="3">
        <v>95700</v>
      </c>
      <c r="N32" s="3">
        <v>24</v>
      </c>
      <c r="O32" s="3">
        <v>93.5</v>
      </c>
      <c r="P32" s="3">
        <v>1</v>
      </c>
      <c r="Q32" s="3">
        <v>13</v>
      </c>
      <c r="R32" s="3">
        <v>4</v>
      </c>
      <c r="S32" s="3">
        <v>19</v>
      </c>
      <c r="T32" s="3">
        <v>3</v>
      </c>
      <c r="U32" s="3" t="s">
        <v>41</v>
      </c>
      <c r="V32" s="3">
        <v>7975</v>
      </c>
      <c r="W32" s="3">
        <v>7.4</v>
      </c>
      <c r="X32" s="3" t="s">
        <v>54</v>
      </c>
      <c r="Y32" s="7" t="s">
        <v>75</v>
      </c>
    </row>
    <row r="33" spans="1:25" x14ac:dyDescent="0.3">
      <c r="A33" s="5" t="s">
        <v>146</v>
      </c>
      <c r="B33" s="3" t="s">
        <v>147</v>
      </c>
      <c r="C33" s="3" t="s">
        <v>24</v>
      </c>
      <c r="D33" s="3">
        <v>27</v>
      </c>
      <c r="E33" s="3" t="s">
        <v>78</v>
      </c>
      <c r="F33" s="3" t="s">
        <v>79</v>
      </c>
      <c r="G33" s="3" t="s">
        <v>39</v>
      </c>
      <c r="H33" s="3" t="s">
        <v>28</v>
      </c>
      <c r="I33" s="3" t="s">
        <v>92</v>
      </c>
      <c r="J33" s="6">
        <v>44396</v>
      </c>
      <c r="K33" s="3" t="s">
        <v>30</v>
      </c>
      <c r="L33" s="3" t="s">
        <v>93</v>
      </c>
      <c r="M33" s="3">
        <v>40200</v>
      </c>
      <c r="N33" s="3">
        <v>3</v>
      </c>
      <c r="O33" s="3">
        <v>86.7</v>
      </c>
      <c r="P33" s="3">
        <v>3</v>
      </c>
      <c r="Q33" s="3">
        <v>6</v>
      </c>
      <c r="R33" s="3">
        <v>2</v>
      </c>
      <c r="S33" s="3">
        <v>3</v>
      </c>
      <c r="T33" s="3">
        <v>3</v>
      </c>
      <c r="U33" s="3" t="s">
        <v>123</v>
      </c>
      <c r="V33" s="3">
        <v>3350</v>
      </c>
      <c r="W33" s="3">
        <v>5</v>
      </c>
      <c r="X33" s="3" t="s">
        <v>95</v>
      </c>
      <c r="Y33" s="7" t="s">
        <v>42</v>
      </c>
    </row>
    <row r="34" spans="1:25" x14ac:dyDescent="0.3">
      <c r="A34" s="5" t="s">
        <v>148</v>
      </c>
      <c r="B34" s="3" t="s">
        <v>149</v>
      </c>
      <c r="C34" s="3" t="s">
        <v>24</v>
      </c>
      <c r="D34" s="3">
        <v>45</v>
      </c>
      <c r="E34" s="3" t="s">
        <v>78</v>
      </c>
      <c r="F34" s="3" t="s">
        <v>38</v>
      </c>
      <c r="G34" s="3" t="s">
        <v>46</v>
      </c>
      <c r="H34" s="3" t="s">
        <v>28</v>
      </c>
      <c r="I34" s="3" t="s">
        <v>29</v>
      </c>
      <c r="J34" s="6">
        <v>44404</v>
      </c>
      <c r="K34" s="3" t="s">
        <v>30</v>
      </c>
      <c r="L34" s="3" t="s">
        <v>31</v>
      </c>
      <c r="M34" s="3">
        <v>80700</v>
      </c>
      <c r="N34" s="3">
        <v>22</v>
      </c>
      <c r="O34" s="3">
        <v>95.2</v>
      </c>
      <c r="P34" s="3">
        <v>5</v>
      </c>
      <c r="Q34" s="3">
        <v>6</v>
      </c>
      <c r="R34" s="3">
        <v>1</v>
      </c>
      <c r="S34" s="3">
        <v>23</v>
      </c>
      <c r="T34" s="3">
        <v>14</v>
      </c>
      <c r="U34" s="3" t="s">
        <v>94</v>
      </c>
      <c r="V34" s="3">
        <v>6725</v>
      </c>
      <c r="W34" s="3">
        <v>5</v>
      </c>
      <c r="X34" s="3" t="s">
        <v>54</v>
      </c>
      <c r="Y34" s="7" t="s">
        <v>75</v>
      </c>
    </row>
    <row r="35" spans="1:25" x14ac:dyDescent="0.3">
      <c r="A35" s="5" t="s">
        <v>150</v>
      </c>
      <c r="B35" s="3" t="s">
        <v>151</v>
      </c>
      <c r="C35" s="3" t="s">
        <v>58</v>
      </c>
      <c r="D35" s="3">
        <v>47</v>
      </c>
      <c r="E35" s="3" t="s">
        <v>78</v>
      </c>
      <c r="F35" s="3" t="s">
        <v>52</v>
      </c>
      <c r="G35" s="3" t="s">
        <v>80</v>
      </c>
      <c r="H35" s="3" t="s">
        <v>122</v>
      </c>
      <c r="I35" s="3" t="s">
        <v>68</v>
      </c>
      <c r="J35" s="6">
        <v>43323</v>
      </c>
      <c r="K35" s="3" t="s">
        <v>61</v>
      </c>
      <c r="L35" s="3" t="s">
        <v>31</v>
      </c>
      <c r="M35" s="3">
        <v>42500</v>
      </c>
      <c r="N35" s="3">
        <v>25</v>
      </c>
      <c r="O35" s="3">
        <v>94.2</v>
      </c>
      <c r="P35" s="3">
        <v>2</v>
      </c>
      <c r="Q35" s="3">
        <v>2</v>
      </c>
      <c r="R35" s="3">
        <v>0</v>
      </c>
      <c r="S35" s="3">
        <v>11</v>
      </c>
      <c r="T35" s="3">
        <v>7</v>
      </c>
      <c r="U35" s="3" t="s">
        <v>74</v>
      </c>
      <c r="V35" s="3">
        <v>3542</v>
      </c>
      <c r="W35" s="3">
        <v>8</v>
      </c>
      <c r="X35" s="3" t="s">
        <v>54</v>
      </c>
      <c r="Y35" s="7" t="s">
        <v>42</v>
      </c>
    </row>
    <row r="36" spans="1:25" x14ac:dyDescent="0.3">
      <c r="A36" s="5" t="s">
        <v>152</v>
      </c>
      <c r="B36" s="3" t="s">
        <v>153</v>
      </c>
      <c r="C36" s="3" t="s">
        <v>24</v>
      </c>
      <c r="D36" s="3">
        <v>27</v>
      </c>
      <c r="E36" s="3" t="s">
        <v>101</v>
      </c>
      <c r="F36" s="3" t="s">
        <v>72</v>
      </c>
      <c r="G36" s="3" t="s">
        <v>27</v>
      </c>
      <c r="H36" s="3" t="s">
        <v>28</v>
      </c>
      <c r="I36" s="3" t="s">
        <v>29</v>
      </c>
      <c r="J36" s="6">
        <v>44711</v>
      </c>
      <c r="K36" s="3" t="s">
        <v>30</v>
      </c>
      <c r="L36" s="3" t="s">
        <v>31</v>
      </c>
      <c r="M36" s="3">
        <v>136100</v>
      </c>
      <c r="N36" s="3">
        <v>3</v>
      </c>
      <c r="O36" s="3">
        <v>89.8</v>
      </c>
      <c r="P36" s="3">
        <v>8</v>
      </c>
      <c r="Q36" s="3">
        <v>5</v>
      </c>
      <c r="R36" s="3">
        <v>1</v>
      </c>
      <c r="S36" s="3">
        <v>23</v>
      </c>
      <c r="T36" s="3">
        <v>9</v>
      </c>
      <c r="U36" s="3" t="s">
        <v>94</v>
      </c>
      <c r="V36" s="3">
        <v>11342</v>
      </c>
      <c r="W36" s="3">
        <v>4.2</v>
      </c>
      <c r="X36" s="3" t="s">
        <v>95</v>
      </c>
      <c r="Y36" s="7" t="s">
        <v>42</v>
      </c>
    </row>
    <row r="37" spans="1:25" x14ac:dyDescent="0.3">
      <c r="A37" s="5" t="s">
        <v>154</v>
      </c>
      <c r="B37" s="3" t="s">
        <v>149</v>
      </c>
      <c r="C37" s="3" t="s">
        <v>58</v>
      </c>
      <c r="D37" s="3">
        <v>47</v>
      </c>
      <c r="E37" s="3" t="s">
        <v>118</v>
      </c>
      <c r="F37" s="3" t="s">
        <v>38</v>
      </c>
      <c r="G37" s="3" t="s">
        <v>80</v>
      </c>
      <c r="H37" s="3" t="s">
        <v>28</v>
      </c>
      <c r="I37" s="3" t="s">
        <v>40</v>
      </c>
      <c r="J37" s="6">
        <v>45061</v>
      </c>
      <c r="K37" s="3" t="s">
        <v>61</v>
      </c>
      <c r="L37" s="3" t="s">
        <v>31</v>
      </c>
      <c r="M37" s="3">
        <v>48400</v>
      </c>
      <c r="N37" s="3">
        <v>27</v>
      </c>
      <c r="O37" s="3">
        <v>97.5</v>
      </c>
      <c r="P37" s="3">
        <v>3</v>
      </c>
      <c r="Q37" s="3">
        <v>14</v>
      </c>
      <c r="R37" s="3">
        <v>0</v>
      </c>
      <c r="S37" s="3">
        <v>21</v>
      </c>
      <c r="T37" s="3">
        <v>20</v>
      </c>
      <c r="U37" s="3" t="s">
        <v>130</v>
      </c>
      <c r="V37" s="3">
        <v>4033</v>
      </c>
      <c r="W37" s="3">
        <v>3.2</v>
      </c>
      <c r="X37" s="3" t="s">
        <v>54</v>
      </c>
      <c r="Y37" s="7" t="s">
        <v>42</v>
      </c>
    </row>
    <row r="38" spans="1:25" x14ac:dyDescent="0.3">
      <c r="A38" s="5" t="s">
        <v>155</v>
      </c>
      <c r="B38" s="3" t="s">
        <v>156</v>
      </c>
      <c r="C38" s="3" t="s">
        <v>24</v>
      </c>
      <c r="D38" s="3">
        <v>39</v>
      </c>
      <c r="E38" s="3" t="s">
        <v>59</v>
      </c>
      <c r="F38" s="3" t="s">
        <v>72</v>
      </c>
      <c r="G38" s="3" t="s">
        <v>46</v>
      </c>
      <c r="H38" s="3" t="s">
        <v>28</v>
      </c>
      <c r="I38" s="3" t="s">
        <v>92</v>
      </c>
      <c r="J38" s="6">
        <v>43609</v>
      </c>
      <c r="K38" s="3" t="s">
        <v>30</v>
      </c>
      <c r="L38" s="3" t="s">
        <v>53</v>
      </c>
      <c r="M38" s="3">
        <v>94200</v>
      </c>
      <c r="N38" s="3">
        <v>20</v>
      </c>
      <c r="O38" s="3">
        <v>91.3</v>
      </c>
      <c r="P38" s="3">
        <v>6</v>
      </c>
      <c r="Q38" s="3">
        <v>2</v>
      </c>
      <c r="R38" s="3">
        <v>4</v>
      </c>
      <c r="S38" s="3">
        <v>3</v>
      </c>
      <c r="T38" s="3">
        <v>7</v>
      </c>
      <c r="U38" s="3" t="s">
        <v>94</v>
      </c>
      <c r="V38" s="3">
        <v>7850</v>
      </c>
      <c r="W38" s="3">
        <v>7.2</v>
      </c>
      <c r="X38" s="3" t="s">
        <v>108</v>
      </c>
      <c r="Y38" s="7" t="s">
        <v>75</v>
      </c>
    </row>
    <row r="39" spans="1:25" x14ac:dyDescent="0.3">
      <c r="A39" s="5" t="s">
        <v>157</v>
      </c>
      <c r="B39" s="3" t="s">
        <v>158</v>
      </c>
      <c r="C39" s="3" t="s">
        <v>58</v>
      </c>
      <c r="D39" s="3">
        <v>34</v>
      </c>
      <c r="E39" s="3" t="s">
        <v>98</v>
      </c>
      <c r="F39" s="3" t="s">
        <v>60</v>
      </c>
      <c r="G39" s="3" t="s">
        <v>80</v>
      </c>
      <c r="H39" s="3" t="s">
        <v>28</v>
      </c>
      <c r="I39" s="3" t="s">
        <v>92</v>
      </c>
      <c r="J39" s="6">
        <v>45765</v>
      </c>
      <c r="K39" s="3" t="s">
        <v>30</v>
      </c>
      <c r="L39" s="3" t="s">
        <v>93</v>
      </c>
      <c r="M39" s="3">
        <v>68800</v>
      </c>
      <c r="N39" s="3">
        <v>14</v>
      </c>
      <c r="O39" s="3">
        <v>92.7</v>
      </c>
      <c r="P39" s="3">
        <v>4</v>
      </c>
      <c r="Q39" s="3">
        <v>15</v>
      </c>
      <c r="R39" s="3">
        <v>0</v>
      </c>
      <c r="S39" s="3">
        <v>12</v>
      </c>
      <c r="T39" s="3">
        <v>20</v>
      </c>
      <c r="U39" s="3" t="s">
        <v>104</v>
      </c>
      <c r="V39" s="3">
        <v>5733</v>
      </c>
      <c r="W39" s="3">
        <v>1.3</v>
      </c>
      <c r="X39" s="3" t="s">
        <v>33</v>
      </c>
      <c r="Y39" s="7" t="s">
        <v>75</v>
      </c>
    </row>
    <row r="40" spans="1:25" x14ac:dyDescent="0.3">
      <c r="A40" s="5" t="s">
        <v>159</v>
      </c>
      <c r="B40" s="3" t="s">
        <v>44</v>
      </c>
      <c r="C40" s="3" t="s">
        <v>58</v>
      </c>
      <c r="D40" s="3">
        <v>27</v>
      </c>
      <c r="E40" s="3" t="s">
        <v>160</v>
      </c>
      <c r="F40" s="3" t="s">
        <v>79</v>
      </c>
      <c r="G40" s="3" t="s">
        <v>80</v>
      </c>
      <c r="H40" s="3" t="s">
        <v>28</v>
      </c>
      <c r="I40" s="3" t="s">
        <v>47</v>
      </c>
      <c r="J40" s="6">
        <v>44166</v>
      </c>
      <c r="K40" s="3" t="s">
        <v>30</v>
      </c>
      <c r="L40" s="3" t="s">
        <v>31</v>
      </c>
      <c r="M40" s="3">
        <v>44000</v>
      </c>
      <c r="N40" s="3">
        <v>8</v>
      </c>
      <c r="O40" s="3">
        <v>82.9</v>
      </c>
      <c r="P40" s="3">
        <v>5</v>
      </c>
      <c r="Q40" s="3">
        <v>15</v>
      </c>
      <c r="R40" s="3">
        <v>3</v>
      </c>
      <c r="S40" s="3">
        <v>2</v>
      </c>
      <c r="T40" s="3">
        <v>10</v>
      </c>
      <c r="U40" s="3" t="s">
        <v>74</v>
      </c>
      <c r="V40" s="3">
        <v>3667</v>
      </c>
      <c r="W40" s="3">
        <v>5.7</v>
      </c>
      <c r="X40" s="3" t="s">
        <v>95</v>
      </c>
      <c r="Y40" s="7" t="s">
        <v>55</v>
      </c>
    </row>
    <row r="41" spans="1:25" x14ac:dyDescent="0.3">
      <c r="A41" s="5" t="s">
        <v>161</v>
      </c>
      <c r="B41" s="3" t="s">
        <v>162</v>
      </c>
      <c r="C41" s="3" t="s">
        <v>58</v>
      </c>
      <c r="D41" s="3">
        <v>33</v>
      </c>
      <c r="E41" s="3" t="s">
        <v>98</v>
      </c>
      <c r="F41" s="3" t="s">
        <v>52</v>
      </c>
      <c r="G41" s="3" t="s">
        <v>80</v>
      </c>
      <c r="H41" s="3" t="s">
        <v>28</v>
      </c>
      <c r="I41" s="3" t="s">
        <v>40</v>
      </c>
      <c r="J41" s="6">
        <v>44300</v>
      </c>
      <c r="K41" s="3" t="s">
        <v>30</v>
      </c>
      <c r="L41" s="3" t="s">
        <v>93</v>
      </c>
      <c r="M41" s="3">
        <v>53600</v>
      </c>
      <c r="N41" s="3">
        <v>14</v>
      </c>
      <c r="O41" s="3">
        <v>100</v>
      </c>
      <c r="P41" s="3">
        <v>8</v>
      </c>
      <c r="Q41" s="3">
        <v>1</v>
      </c>
      <c r="R41" s="3">
        <v>3</v>
      </c>
      <c r="S41" s="3">
        <v>4</v>
      </c>
      <c r="T41" s="3">
        <v>16</v>
      </c>
      <c r="U41" s="3" t="s">
        <v>74</v>
      </c>
      <c r="V41" s="3">
        <v>4467</v>
      </c>
      <c r="W41" s="3">
        <v>5.3</v>
      </c>
      <c r="X41" s="3" t="s">
        <v>33</v>
      </c>
      <c r="Y41" s="7" t="s">
        <v>42</v>
      </c>
    </row>
    <row r="42" spans="1:25" x14ac:dyDescent="0.3">
      <c r="A42" s="5" t="s">
        <v>163</v>
      </c>
      <c r="B42" s="3" t="s">
        <v>164</v>
      </c>
      <c r="C42" s="3" t="s">
        <v>58</v>
      </c>
      <c r="D42" s="3">
        <v>32</v>
      </c>
      <c r="E42" s="3" t="s">
        <v>160</v>
      </c>
      <c r="F42" s="3" t="s">
        <v>66</v>
      </c>
      <c r="G42" s="3" t="s">
        <v>39</v>
      </c>
      <c r="H42" s="3" t="s">
        <v>28</v>
      </c>
      <c r="I42" s="3" t="s">
        <v>73</v>
      </c>
      <c r="J42" s="6">
        <v>44369</v>
      </c>
      <c r="K42" s="3" t="s">
        <v>30</v>
      </c>
      <c r="L42" s="3" t="s">
        <v>31</v>
      </c>
      <c r="M42" s="3">
        <v>33700</v>
      </c>
      <c r="N42" s="3">
        <v>12</v>
      </c>
      <c r="O42" s="3">
        <v>85.8</v>
      </c>
      <c r="P42" s="3">
        <v>8</v>
      </c>
      <c r="Q42" s="3">
        <v>4</v>
      </c>
      <c r="R42" s="3">
        <v>3</v>
      </c>
      <c r="S42" s="3">
        <v>12</v>
      </c>
      <c r="T42" s="3">
        <v>18</v>
      </c>
      <c r="U42" s="3" t="s">
        <v>32</v>
      </c>
      <c r="V42" s="3">
        <v>2808</v>
      </c>
      <c r="W42" s="3">
        <v>5.0999999999999996</v>
      </c>
      <c r="X42" s="3" t="s">
        <v>33</v>
      </c>
      <c r="Y42" s="7" t="s">
        <v>75</v>
      </c>
    </row>
    <row r="43" spans="1:25" x14ac:dyDescent="0.3">
      <c r="A43" s="5" t="s">
        <v>165</v>
      </c>
      <c r="B43" s="3" t="s">
        <v>166</v>
      </c>
      <c r="C43" s="3" t="s">
        <v>24</v>
      </c>
      <c r="D43" s="3">
        <v>42</v>
      </c>
      <c r="E43" s="3" t="s">
        <v>118</v>
      </c>
      <c r="F43" s="3" t="s">
        <v>72</v>
      </c>
      <c r="G43" s="3" t="s">
        <v>46</v>
      </c>
      <c r="H43" s="3" t="s">
        <v>28</v>
      </c>
      <c r="I43" s="3" t="s">
        <v>73</v>
      </c>
      <c r="J43" s="6">
        <v>44377</v>
      </c>
      <c r="K43" s="3" t="s">
        <v>30</v>
      </c>
      <c r="L43" s="3" t="s">
        <v>31</v>
      </c>
      <c r="M43" s="3">
        <v>107300</v>
      </c>
      <c r="N43" s="3">
        <v>19</v>
      </c>
      <c r="O43" s="3">
        <v>84.8</v>
      </c>
      <c r="P43" s="3">
        <v>5</v>
      </c>
      <c r="Q43" s="3">
        <v>3</v>
      </c>
      <c r="R43" s="3">
        <v>2</v>
      </c>
      <c r="S43" s="3">
        <v>13</v>
      </c>
      <c r="T43" s="3">
        <v>24</v>
      </c>
      <c r="U43" s="3" t="s">
        <v>130</v>
      </c>
      <c r="V43" s="3">
        <v>8942</v>
      </c>
      <c r="W43" s="3">
        <v>5.0999999999999996</v>
      </c>
      <c r="X43" s="3" t="s">
        <v>62</v>
      </c>
      <c r="Y43" s="7" t="s">
        <v>55</v>
      </c>
    </row>
    <row r="44" spans="1:25" x14ac:dyDescent="0.3">
      <c r="A44" s="5" t="s">
        <v>167</v>
      </c>
      <c r="B44" s="3" t="s">
        <v>168</v>
      </c>
      <c r="C44" s="3" t="s">
        <v>58</v>
      </c>
      <c r="D44" s="3">
        <v>27</v>
      </c>
      <c r="E44" s="3" t="s">
        <v>118</v>
      </c>
      <c r="F44" s="3" t="s">
        <v>60</v>
      </c>
      <c r="G44" s="3" t="s">
        <v>80</v>
      </c>
      <c r="H44" s="3" t="s">
        <v>28</v>
      </c>
      <c r="I44" s="3" t="s">
        <v>47</v>
      </c>
      <c r="J44" s="6">
        <v>44398</v>
      </c>
      <c r="K44" s="3" t="s">
        <v>61</v>
      </c>
      <c r="L44" s="3" t="s">
        <v>31</v>
      </c>
      <c r="M44" s="3">
        <v>73000</v>
      </c>
      <c r="N44" s="3">
        <v>8</v>
      </c>
      <c r="O44" s="3">
        <v>94.1</v>
      </c>
      <c r="P44" s="3">
        <v>1</v>
      </c>
      <c r="Q44" s="3">
        <v>12</v>
      </c>
      <c r="R44" s="3">
        <v>3</v>
      </c>
      <c r="S44" s="3">
        <v>7</v>
      </c>
      <c r="T44" s="3">
        <v>9</v>
      </c>
      <c r="U44" s="3" t="s">
        <v>123</v>
      </c>
      <c r="V44" s="3">
        <v>6083</v>
      </c>
      <c r="W44" s="3">
        <v>5</v>
      </c>
      <c r="X44" s="3" t="s">
        <v>95</v>
      </c>
      <c r="Y44" s="7" t="s">
        <v>42</v>
      </c>
    </row>
    <row r="45" spans="1:25" x14ac:dyDescent="0.3">
      <c r="A45" s="5" t="s">
        <v>169</v>
      </c>
      <c r="B45" s="3" t="s">
        <v>170</v>
      </c>
      <c r="C45" s="3" t="s">
        <v>24</v>
      </c>
      <c r="D45" s="3">
        <v>36</v>
      </c>
      <c r="E45" s="3" t="s">
        <v>78</v>
      </c>
      <c r="F45" s="3" t="s">
        <v>26</v>
      </c>
      <c r="G45" s="3" t="s">
        <v>171</v>
      </c>
      <c r="H45" s="3" t="s">
        <v>28</v>
      </c>
      <c r="I45" s="3" t="s">
        <v>29</v>
      </c>
      <c r="J45" s="6">
        <v>46107</v>
      </c>
      <c r="K45" s="3" t="s">
        <v>30</v>
      </c>
      <c r="L45" s="3" t="s">
        <v>53</v>
      </c>
      <c r="M45" s="3">
        <v>124800</v>
      </c>
      <c r="N45" s="3">
        <v>16</v>
      </c>
      <c r="O45" s="3">
        <v>91.9</v>
      </c>
      <c r="P45" s="3">
        <v>8</v>
      </c>
      <c r="Q45" s="3">
        <v>3</v>
      </c>
      <c r="R45" s="3">
        <v>0</v>
      </c>
      <c r="S45" s="3">
        <v>22</v>
      </c>
      <c r="T45" s="3">
        <v>10</v>
      </c>
      <c r="U45" s="3" t="s">
        <v>94</v>
      </c>
      <c r="V45" s="3">
        <v>10400</v>
      </c>
      <c r="W45" s="3">
        <v>0.4</v>
      </c>
      <c r="X45" s="3" t="s">
        <v>108</v>
      </c>
      <c r="Y45" s="7" t="s">
        <v>42</v>
      </c>
    </row>
    <row r="46" spans="1:25" x14ac:dyDescent="0.3">
      <c r="A46" s="5" t="s">
        <v>172</v>
      </c>
      <c r="B46" s="3" t="s">
        <v>97</v>
      </c>
      <c r="C46" s="3" t="s">
        <v>24</v>
      </c>
      <c r="D46" s="3">
        <v>38</v>
      </c>
      <c r="E46" s="3" t="s">
        <v>90</v>
      </c>
      <c r="F46" s="3" t="s">
        <v>38</v>
      </c>
      <c r="G46" s="3" t="s">
        <v>80</v>
      </c>
      <c r="H46" s="3" t="s">
        <v>28</v>
      </c>
      <c r="I46" s="3" t="s">
        <v>29</v>
      </c>
      <c r="J46" s="6">
        <v>43704</v>
      </c>
      <c r="K46" s="3" t="s">
        <v>61</v>
      </c>
      <c r="L46" s="3" t="s">
        <v>53</v>
      </c>
      <c r="M46" s="3">
        <v>42300</v>
      </c>
      <c r="N46" s="3">
        <v>17</v>
      </c>
      <c r="O46" s="3">
        <v>83.3</v>
      </c>
      <c r="P46" s="3">
        <v>1</v>
      </c>
      <c r="Q46" s="3">
        <v>15</v>
      </c>
      <c r="R46" s="3">
        <v>1</v>
      </c>
      <c r="S46" s="3">
        <v>10</v>
      </c>
      <c r="T46" s="3">
        <v>6</v>
      </c>
      <c r="U46" s="3" t="s">
        <v>94</v>
      </c>
      <c r="V46" s="3">
        <v>3525</v>
      </c>
      <c r="W46" s="3">
        <v>6.9</v>
      </c>
      <c r="X46" s="3" t="s">
        <v>108</v>
      </c>
      <c r="Y46" s="7" t="s">
        <v>42</v>
      </c>
    </row>
    <row r="47" spans="1:25" x14ac:dyDescent="0.3">
      <c r="A47" s="5" t="s">
        <v>173</v>
      </c>
      <c r="B47" s="3" t="s">
        <v>174</v>
      </c>
      <c r="C47" s="3" t="s">
        <v>24</v>
      </c>
      <c r="D47" s="3">
        <v>45</v>
      </c>
      <c r="E47" s="3" t="s">
        <v>98</v>
      </c>
      <c r="F47" s="3" t="s">
        <v>52</v>
      </c>
      <c r="G47" s="3" t="s">
        <v>46</v>
      </c>
      <c r="H47" s="3" t="s">
        <v>28</v>
      </c>
      <c r="I47" s="3" t="s">
        <v>73</v>
      </c>
      <c r="J47" s="6">
        <v>44135</v>
      </c>
      <c r="K47" s="3" t="s">
        <v>30</v>
      </c>
      <c r="L47" s="3" t="s">
        <v>53</v>
      </c>
      <c r="M47" s="3">
        <v>61700</v>
      </c>
      <c r="N47" s="3">
        <v>21</v>
      </c>
      <c r="O47" s="3">
        <v>86.7</v>
      </c>
      <c r="P47" s="3">
        <v>1</v>
      </c>
      <c r="Q47" s="3">
        <v>3</v>
      </c>
      <c r="R47" s="3">
        <v>2</v>
      </c>
      <c r="S47" s="3">
        <v>7</v>
      </c>
      <c r="T47" s="3">
        <v>7</v>
      </c>
      <c r="U47" s="3" t="s">
        <v>32</v>
      </c>
      <c r="V47" s="3">
        <v>5142</v>
      </c>
      <c r="W47" s="3">
        <v>5.7</v>
      </c>
      <c r="X47" s="3" t="s">
        <v>54</v>
      </c>
      <c r="Y47" s="7" t="s">
        <v>34</v>
      </c>
    </row>
    <row r="48" spans="1:25" x14ac:dyDescent="0.3">
      <c r="A48" s="5" t="s">
        <v>175</v>
      </c>
      <c r="B48" s="3" t="s">
        <v>176</v>
      </c>
      <c r="C48" s="3" t="s">
        <v>24</v>
      </c>
      <c r="D48" s="3">
        <v>25</v>
      </c>
      <c r="E48" s="3" t="s">
        <v>59</v>
      </c>
      <c r="F48" s="3" t="s">
        <v>72</v>
      </c>
      <c r="G48" s="3" t="s">
        <v>171</v>
      </c>
      <c r="H48" s="3" t="s">
        <v>115</v>
      </c>
      <c r="I48" s="3" t="s">
        <v>29</v>
      </c>
      <c r="J48" s="6">
        <v>45300</v>
      </c>
      <c r="K48" s="3" t="s">
        <v>30</v>
      </c>
      <c r="L48" s="3" t="s">
        <v>53</v>
      </c>
      <c r="M48" s="3">
        <v>146200</v>
      </c>
      <c r="N48" s="3">
        <v>3</v>
      </c>
      <c r="O48" s="3">
        <v>89</v>
      </c>
      <c r="P48" s="3">
        <v>1</v>
      </c>
      <c r="Q48" s="3">
        <v>7</v>
      </c>
      <c r="R48" s="3">
        <v>4</v>
      </c>
      <c r="S48" s="3">
        <v>30</v>
      </c>
      <c r="T48" s="3">
        <v>22</v>
      </c>
      <c r="U48" s="3" t="s">
        <v>94</v>
      </c>
      <c r="V48" s="3">
        <v>12183</v>
      </c>
      <c r="W48" s="3">
        <v>2.6</v>
      </c>
      <c r="X48" s="3" t="s">
        <v>95</v>
      </c>
      <c r="Y48" s="7" t="s">
        <v>42</v>
      </c>
    </row>
    <row r="49" spans="1:25" x14ac:dyDescent="0.3">
      <c r="A49" s="5" t="s">
        <v>177</v>
      </c>
      <c r="B49" s="3" t="s">
        <v>178</v>
      </c>
      <c r="C49" s="3" t="s">
        <v>58</v>
      </c>
      <c r="D49" s="3">
        <v>36</v>
      </c>
      <c r="E49" s="3" t="s">
        <v>137</v>
      </c>
      <c r="F49" s="3" t="s">
        <v>91</v>
      </c>
      <c r="G49" s="3" t="s">
        <v>46</v>
      </c>
      <c r="H49" s="3" t="s">
        <v>115</v>
      </c>
      <c r="I49" s="3" t="s">
        <v>107</v>
      </c>
      <c r="J49" s="6">
        <v>43289</v>
      </c>
      <c r="K49" s="3" t="s">
        <v>30</v>
      </c>
      <c r="L49" s="3" t="s">
        <v>53</v>
      </c>
      <c r="M49" s="3">
        <v>46200</v>
      </c>
      <c r="N49" s="3">
        <v>17</v>
      </c>
      <c r="O49" s="3">
        <v>87.3</v>
      </c>
      <c r="P49" s="3">
        <v>6</v>
      </c>
      <c r="Q49" s="3">
        <v>12</v>
      </c>
      <c r="R49" s="3">
        <v>2</v>
      </c>
      <c r="S49" s="3">
        <v>29</v>
      </c>
      <c r="T49" s="3">
        <v>27</v>
      </c>
      <c r="U49" s="3" t="s">
        <v>94</v>
      </c>
      <c r="V49" s="3">
        <v>3850</v>
      </c>
      <c r="W49" s="3">
        <v>8.1</v>
      </c>
      <c r="X49" s="3" t="s">
        <v>108</v>
      </c>
      <c r="Y49" s="7" t="s">
        <v>75</v>
      </c>
    </row>
    <row r="50" spans="1:25" x14ac:dyDescent="0.3">
      <c r="A50" s="5" t="s">
        <v>179</v>
      </c>
      <c r="B50" s="3" t="s">
        <v>180</v>
      </c>
      <c r="C50" s="3" t="s">
        <v>58</v>
      </c>
      <c r="D50" s="3">
        <v>23</v>
      </c>
      <c r="E50" s="3" t="s">
        <v>101</v>
      </c>
      <c r="F50" s="3" t="s">
        <v>79</v>
      </c>
      <c r="G50" s="3" t="s">
        <v>27</v>
      </c>
      <c r="H50" s="3" t="s">
        <v>67</v>
      </c>
      <c r="I50" s="3" t="s">
        <v>40</v>
      </c>
      <c r="J50" s="6">
        <v>46108</v>
      </c>
      <c r="K50" s="3" t="s">
        <v>30</v>
      </c>
      <c r="L50" s="3" t="s">
        <v>31</v>
      </c>
      <c r="M50" s="3">
        <v>103500</v>
      </c>
      <c r="N50" s="3">
        <v>3</v>
      </c>
      <c r="O50" s="3">
        <v>92</v>
      </c>
      <c r="P50" s="3">
        <v>3</v>
      </c>
      <c r="Q50" s="3">
        <v>13</v>
      </c>
      <c r="R50" s="3">
        <v>1</v>
      </c>
      <c r="S50" s="3">
        <v>11</v>
      </c>
      <c r="T50" s="3">
        <v>22</v>
      </c>
      <c r="U50" s="3" t="s">
        <v>130</v>
      </c>
      <c r="V50" s="3">
        <v>8625</v>
      </c>
      <c r="W50" s="3">
        <v>0.3</v>
      </c>
      <c r="X50" s="3" t="s">
        <v>48</v>
      </c>
      <c r="Y50" s="7" t="s">
        <v>42</v>
      </c>
    </row>
    <row r="51" spans="1:25" x14ac:dyDescent="0.3">
      <c r="A51" s="5" t="s">
        <v>181</v>
      </c>
      <c r="B51" s="3" t="s">
        <v>182</v>
      </c>
      <c r="C51" s="3" t="s">
        <v>24</v>
      </c>
      <c r="D51" s="3">
        <v>44</v>
      </c>
      <c r="E51" s="3" t="s">
        <v>78</v>
      </c>
      <c r="F51" s="3" t="s">
        <v>26</v>
      </c>
      <c r="G51" s="3" t="s">
        <v>27</v>
      </c>
      <c r="H51" s="3" t="s">
        <v>28</v>
      </c>
      <c r="I51" s="3" t="s">
        <v>107</v>
      </c>
      <c r="J51" s="6">
        <v>43776</v>
      </c>
      <c r="K51" s="3" t="s">
        <v>30</v>
      </c>
      <c r="L51" s="3" t="s">
        <v>53</v>
      </c>
      <c r="M51" s="3">
        <v>91200</v>
      </c>
      <c r="N51" s="3">
        <v>21</v>
      </c>
      <c r="O51" s="3">
        <v>95.7</v>
      </c>
      <c r="P51" s="3">
        <v>7</v>
      </c>
      <c r="Q51" s="3">
        <v>0</v>
      </c>
      <c r="R51" s="3">
        <v>3</v>
      </c>
      <c r="S51" s="3">
        <v>10</v>
      </c>
      <c r="T51" s="3">
        <v>28</v>
      </c>
      <c r="U51" s="3" t="s">
        <v>94</v>
      </c>
      <c r="V51" s="3">
        <v>7600</v>
      </c>
      <c r="W51" s="3">
        <v>6.7</v>
      </c>
      <c r="X51" s="3" t="s">
        <v>62</v>
      </c>
      <c r="Y51" s="7" t="s">
        <v>55</v>
      </c>
    </row>
    <row r="52" spans="1:25" x14ac:dyDescent="0.3">
      <c r="A52" s="5" t="s">
        <v>183</v>
      </c>
      <c r="B52" s="3" t="s">
        <v>184</v>
      </c>
      <c r="C52" s="3" t="s">
        <v>24</v>
      </c>
      <c r="D52" s="3">
        <v>26</v>
      </c>
      <c r="E52" s="3" t="s">
        <v>78</v>
      </c>
      <c r="F52" s="3" t="s">
        <v>72</v>
      </c>
      <c r="G52" s="3" t="s">
        <v>80</v>
      </c>
      <c r="H52" s="3" t="s">
        <v>122</v>
      </c>
      <c r="I52" s="3" t="s">
        <v>68</v>
      </c>
      <c r="J52" s="6">
        <v>43738</v>
      </c>
      <c r="K52" s="3" t="s">
        <v>30</v>
      </c>
      <c r="L52" s="3" t="s">
        <v>53</v>
      </c>
      <c r="M52" s="3">
        <v>76200</v>
      </c>
      <c r="N52" s="3">
        <v>7</v>
      </c>
      <c r="O52" s="3">
        <v>100</v>
      </c>
      <c r="P52" s="3">
        <v>7</v>
      </c>
      <c r="Q52" s="3">
        <v>2</v>
      </c>
      <c r="R52" s="3">
        <v>1</v>
      </c>
      <c r="S52" s="3">
        <v>16</v>
      </c>
      <c r="T52" s="3">
        <v>12</v>
      </c>
      <c r="U52" s="3" t="s">
        <v>32</v>
      </c>
      <c r="V52" s="3">
        <v>6350</v>
      </c>
      <c r="W52" s="3">
        <v>6.8</v>
      </c>
      <c r="X52" s="3" t="s">
        <v>95</v>
      </c>
      <c r="Y52" s="7" t="s">
        <v>34</v>
      </c>
    </row>
    <row r="53" spans="1:25" x14ac:dyDescent="0.3">
      <c r="A53" s="5" t="s">
        <v>185</v>
      </c>
      <c r="B53" s="3" t="s">
        <v>50</v>
      </c>
      <c r="C53" s="3" t="s">
        <v>24</v>
      </c>
      <c r="D53" s="3">
        <v>36</v>
      </c>
      <c r="E53" s="3" t="s">
        <v>65</v>
      </c>
      <c r="F53" s="3" t="s">
        <v>72</v>
      </c>
      <c r="G53" s="3" t="s">
        <v>46</v>
      </c>
      <c r="H53" s="3" t="s">
        <v>28</v>
      </c>
      <c r="I53" s="3" t="s">
        <v>107</v>
      </c>
      <c r="J53" s="6">
        <v>45359</v>
      </c>
      <c r="K53" s="3" t="s">
        <v>30</v>
      </c>
      <c r="L53" s="3" t="s">
        <v>93</v>
      </c>
      <c r="M53" s="3">
        <v>102000</v>
      </c>
      <c r="N53" s="3">
        <v>14</v>
      </c>
      <c r="O53" s="3">
        <v>83.3</v>
      </c>
      <c r="P53" s="3">
        <v>0</v>
      </c>
      <c r="Q53" s="3">
        <v>8</v>
      </c>
      <c r="R53" s="3">
        <v>2</v>
      </c>
      <c r="S53" s="3">
        <v>26</v>
      </c>
      <c r="T53" s="3">
        <v>8</v>
      </c>
      <c r="U53" s="3" t="s">
        <v>32</v>
      </c>
      <c r="V53" s="3">
        <v>8500</v>
      </c>
      <c r="W53" s="3">
        <v>2.4</v>
      </c>
      <c r="X53" s="3" t="s">
        <v>108</v>
      </c>
      <c r="Y53" s="7" t="s">
        <v>42</v>
      </c>
    </row>
    <row r="54" spans="1:25" x14ac:dyDescent="0.3">
      <c r="A54" s="5" t="s">
        <v>186</v>
      </c>
      <c r="B54" s="3" t="s">
        <v>187</v>
      </c>
      <c r="C54" s="3" t="s">
        <v>24</v>
      </c>
      <c r="D54" s="3">
        <v>48</v>
      </c>
      <c r="E54" s="3" t="s">
        <v>90</v>
      </c>
      <c r="F54" s="3" t="s">
        <v>60</v>
      </c>
      <c r="G54" s="3" t="s">
        <v>39</v>
      </c>
      <c r="H54" s="3" t="s">
        <v>28</v>
      </c>
      <c r="I54" s="3" t="s">
        <v>92</v>
      </c>
      <c r="J54" s="6">
        <v>45097</v>
      </c>
      <c r="K54" s="3" t="s">
        <v>30</v>
      </c>
      <c r="L54" s="3" t="s">
        <v>31</v>
      </c>
      <c r="M54" s="3">
        <v>39400</v>
      </c>
      <c r="N54" s="3">
        <v>25</v>
      </c>
      <c r="O54" s="3">
        <v>90.7</v>
      </c>
      <c r="P54" s="3">
        <v>0</v>
      </c>
      <c r="Q54" s="3">
        <v>2</v>
      </c>
      <c r="R54" s="3">
        <v>2</v>
      </c>
      <c r="S54" s="3">
        <v>12</v>
      </c>
      <c r="T54" s="3">
        <v>29</v>
      </c>
      <c r="U54" s="3" t="s">
        <v>104</v>
      </c>
      <c r="V54" s="3">
        <v>3283</v>
      </c>
      <c r="W54" s="3">
        <v>3.1</v>
      </c>
      <c r="X54" s="3" t="s">
        <v>54</v>
      </c>
      <c r="Y54" s="7" t="s">
        <v>42</v>
      </c>
    </row>
    <row r="55" spans="1:25" x14ac:dyDescent="0.3">
      <c r="A55" s="5" t="s">
        <v>188</v>
      </c>
      <c r="B55" s="3" t="s">
        <v>170</v>
      </c>
      <c r="C55" s="3" t="s">
        <v>24</v>
      </c>
      <c r="D55" s="3">
        <v>47</v>
      </c>
      <c r="E55" s="3" t="s">
        <v>78</v>
      </c>
      <c r="F55" s="3" t="s">
        <v>52</v>
      </c>
      <c r="G55" s="3" t="s">
        <v>80</v>
      </c>
      <c r="H55" s="3" t="s">
        <v>28</v>
      </c>
      <c r="I55" s="3" t="s">
        <v>29</v>
      </c>
      <c r="J55" s="6">
        <v>44945</v>
      </c>
      <c r="K55" s="3" t="s">
        <v>30</v>
      </c>
      <c r="L55" s="3" t="s">
        <v>53</v>
      </c>
      <c r="M55" s="3">
        <v>47300</v>
      </c>
      <c r="N55" s="3">
        <v>25</v>
      </c>
      <c r="O55" s="3">
        <v>91.4</v>
      </c>
      <c r="P55" s="3">
        <v>3</v>
      </c>
      <c r="Q55" s="3">
        <v>0</v>
      </c>
      <c r="R55" s="3">
        <v>2</v>
      </c>
      <c r="S55" s="3">
        <v>3</v>
      </c>
      <c r="T55" s="3">
        <v>21</v>
      </c>
      <c r="U55" s="3" t="s">
        <v>32</v>
      </c>
      <c r="V55" s="3">
        <v>3942</v>
      </c>
      <c r="W55" s="3">
        <v>3.5</v>
      </c>
      <c r="X55" s="3" t="s">
        <v>54</v>
      </c>
      <c r="Y55" s="7" t="s">
        <v>42</v>
      </c>
    </row>
    <row r="56" spans="1:25" x14ac:dyDescent="0.3">
      <c r="A56" s="5" t="s">
        <v>189</v>
      </c>
      <c r="B56" s="3" t="s">
        <v>190</v>
      </c>
      <c r="C56" s="3" t="s">
        <v>24</v>
      </c>
      <c r="D56" s="3">
        <v>41</v>
      </c>
      <c r="E56" s="3" t="s">
        <v>25</v>
      </c>
      <c r="F56" s="3" t="s">
        <v>26</v>
      </c>
      <c r="G56" s="3" t="s">
        <v>39</v>
      </c>
      <c r="H56" s="3" t="s">
        <v>122</v>
      </c>
      <c r="I56" s="3" t="s">
        <v>47</v>
      </c>
      <c r="J56" s="6">
        <v>45487</v>
      </c>
      <c r="K56" s="3" t="s">
        <v>30</v>
      </c>
      <c r="L56" s="3" t="s">
        <v>31</v>
      </c>
      <c r="M56" s="3">
        <v>36500</v>
      </c>
      <c r="N56" s="3">
        <v>19</v>
      </c>
      <c r="O56" s="3">
        <v>91.4</v>
      </c>
      <c r="P56" s="3">
        <v>1</v>
      </c>
      <c r="Q56" s="3">
        <v>12</v>
      </c>
      <c r="R56" s="3">
        <v>1</v>
      </c>
      <c r="S56" s="3">
        <v>12</v>
      </c>
      <c r="T56" s="3">
        <v>16</v>
      </c>
      <c r="U56" s="3" t="s">
        <v>32</v>
      </c>
      <c r="V56" s="3">
        <v>3042</v>
      </c>
      <c r="W56" s="3">
        <v>2</v>
      </c>
      <c r="X56" s="3" t="s">
        <v>62</v>
      </c>
      <c r="Y56" s="7" t="s">
        <v>75</v>
      </c>
    </row>
    <row r="57" spans="1:25" x14ac:dyDescent="0.3">
      <c r="A57" s="5" t="s">
        <v>191</v>
      </c>
      <c r="B57" s="3" t="s">
        <v>192</v>
      </c>
      <c r="C57" s="3" t="s">
        <v>24</v>
      </c>
      <c r="D57" s="3">
        <v>41</v>
      </c>
      <c r="E57" s="3" t="s">
        <v>83</v>
      </c>
      <c r="F57" s="3" t="s">
        <v>72</v>
      </c>
      <c r="G57" s="3" t="s">
        <v>46</v>
      </c>
      <c r="H57" s="3" t="s">
        <v>28</v>
      </c>
      <c r="I57" s="3" t="s">
        <v>40</v>
      </c>
      <c r="J57" s="6">
        <v>43147</v>
      </c>
      <c r="K57" s="3" t="s">
        <v>30</v>
      </c>
      <c r="L57" s="3" t="s">
        <v>31</v>
      </c>
      <c r="M57" s="3">
        <v>95400</v>
      </c>
      <c r="N57" s="3">
        <v>17</v>
      </c>
      <c r="O57" s="3">
        <v>92</v>
      </c>
      <c r="P57" s="3">
        <v>2</v>
      </c>
      <c r="Q57" s="3">
        <v>15</v>
      </c>
      <c r="R57" s="3">
        <v>0</v>
      </c>
      <c r="S57" s="3">
        <v>8</v>
      </c>
      <c r="T57" s="3">
        <v>14</v>
      </c>
      <c r="U57" s="3" t="s">
        <v>94</v>
      </c>
      <c r="V57" s="3">
        <v>7950</v>
      </c>
      <c r="W57" s="3">
        <v>8.5</v>
      </c>
      <c r="X57" s="3" t="s">
        <v>62</v>
      </c>
      <c r="Y57" s="7" t="s">
        <v>42</v>
      </c>
    </row>
    <row r="58" spans="1:25" x14ac:dyDescent="0.3">
      <c r="A58" s="5" t="s">
        <v>193</v>
      </c>
      <c r="B58" s="3" t="s">
        <v>194</v>
      </c>
      <c r="C58" s="3" t="s">
        <v>58</v>
      </c>
      <c r="D58" s="3">
        <v>47</v>
      </c>
      <c r="E58" s="3" t="s">
        <v>71</v>
      </c>
      <c r="F58" s="3" t="s">
        <v>52</v>
      </c>
      <c r="G58" s="3" t="s">
        <v>80</v>
      </c>
      <c r="H58" s="3" t="s">
        <v>28</v>
      </c>
      <c r="I58" s="3" t="s">
        <v>40</v>
      </c>
      <c r="J58" s="6">
        <v>43920</v>
      </c>
      <c r="K58" s="3" t="s">
        <v>30</v>
      </c>
      <c r="L58" s="3" t="s">
        <v>53</v>
      </c>
      <c r="M58" s="3">
        <v>48300</v>
      </c>
      <c r="N58" s="3">
        <v>28</v>
      </c>
      <c r="O58" s="3">
        <v>91.4</v>
      </c>
      <c r="P58" s="3">
        <v>1</v>
      </c>
      <c r="Q58" s="3">
        <v>4</v>
      </c>
      <c r="R58" s="3">
        <v>0</v>
      </c>
      <c r="S58" s="3">
        <v>21</v>
      </c>
      <c r="T58" s="3">
        <v>16</v>
      </c>
      <c r="U58" s="3" t="s">
        <v>104</v>
      </c>
      <c r="V58" s="3">
        <v>4025</v>
      </c>
      <c r="W58" s="3">
        <v>6.3</v>
      </c>
      <c r="X58" s="3" t="s">
        <v>54</v>
      </c>
      <c r="Y58" s="7" t="s">
        <v>42</v>
      </c>
    </row>
    <row r="59" spans="1:25" x14ac:dyDescent="0.3">
      <c r="A59" s="5" t="s">
        <v>195</v>
      </c>
      <c r="B59" s="3" t="s">
        <v>196</v>
      </c>
      <c r="C59" s="3" t="s">
        <v>58</v>
      </c>
      <c r="D59" s="3">
        <v>37</v>
      </c>
      <c r="E59" s="3" t="s">
        <v>65</v>
      </c>
      <c r="F59" s="3" t="s">
        <v>79</v>
      </c>
      <c r="G59" s="3" t="s">
        <v>80</v>
      </c>
      <c r="H59" s="3" t="s">
        <v>28</v>
      </c>
      <c r="I59" s="3" t="s">
        <v>40</v>
      </c>
      <c r="J59" s="6">
        <v>46123</v>
      </c>
      <c r="K59" s="3" t="s">
        <v>30</v>
      </c>
      <c r="L59" s="3" t="s">
        <v>53</v>
      </c>
      <c r="M59" s="3">
        <v>43000</v>
      </c>
      <c r="N59" s="3">
        <v>18</v>
      </c>
      <c r="O59" s="3">
        <v>96.8</v>
      </c>
      <c r="P59" s="3">
        <v>8</v>
      </c>
      <c r="Q59" s="3">
        <v>3</v>
      </c>
      <c r="R59" s="3">
        <v>3</v>
      </c>
      <c r="S59" s="3">
        <v>13</v>
      </c>
      <c r="T59" s="3">
        <v>15</v>
      </c>
      <c r="U59" s="3" t="s">
        <v>94</v>
      </c>
      <c r="V59" s="3">
        <v>3583</v>
      </c>
      <c r="W59" s="3">
        <v>0.3</v>
      </c>
      <c r="X59" s="3" t="s">
        <v>108</v>
      </c>
      <c r="Y59" s="7" t="s">
        <v>75</v>
      </c>
    </row>
    <row r="60" spans="1:25" x14ac:dyDescent="0.3">
      <c r="A60" s="5" t="s">
        <v>197</v>
      </c>
      <c r="B60" s="3" t="s">
        <v>198</v>
      </c>
      <c r="C60" s="3" t="s">
        <v>58</v>
      </c>
      <c r="D60" s="3">
        <v>25</v>
      </c>
      <c r="E60" s="3" t="s">
        <v>25</v>
      </c>
      <c r="F60" s="3" t="s">
        <v>38</v>
      </c>
      <c r="G60" s="3" t="s">
        <v>80</v>
      </c>
      <c r="H60" s="3" t="s">
        <v>28</v>
      </c>
      <c r="I60" s="3" t="s">
        <v>68</v>
      </c>
      <c r="J60" s="6">
        <v>44181</v>
      </c>
      <c r="K60" s="3" t="s">
        <v>30</v>
      </c>
      <c r="L60" s="3" t="s">
        <v>53</v>
      </c>
      <c r="M60" s="3">
        <v>51700</v>
      </c>
      <c r="N60" s="3">
        <v>6</v>
      </c>
      <c r="O60" s="3">
        <v>92.9</v>
      </c>
      <c r="P60" s="3">
        <v>5</v>
      </c>
      <c r="Q60" s="3">
        <v>9</v>
      </c>
      <c r="R60" s="3">
        <v>4</v>
      </c>
      <c r="S60" s="3">
        <v>11</v>
      </c>
      <c r="T60" s="3">
        <v>7</v>
      </c>
      <c r="U60" s="3" t="s">
        <v>123</v>
      </c>
      <c r="V60" s="3">
        <v>4308</v>
      </c>
      <c r="W60" s="3">
        <v>5.6</v>
      </c>
      <c r="X60" s="3" t="s">
        <v>95</v>
      </c>
      <c r="Y60" s="7" t="s">
        <v>42</v>
      </c>
    </row>
    <row r="61" spans="1:25" x14ac:dyDescent="0.3">
      <c r="A61" s="5" t="s">
        <v>199</v>
      </c>
      <c r="B61" s="3" t="s">
        <v>200</v>
      </c>
      <c r="C61" s="3" t="s">
        <v>58</v>
      </c>
      <c r="D61" s="3">
        <v>49</v>
      </c>
      <c r="E61" s="3" t="s">
        <v>65</v>
      </c>
      <c r="F61" s="3" t="s">
        <v>66</v>
      </c>
      <c r="G61" s="3" t="s">
        <v>171</v>
      </c>
      <c r="H61" s="3" t="s">
        <v>28</v>
      </c>
      <c r="I61" s="3" t="s">
        <v>40</v>
      </c>
      <c r="J61" s="6">
        <v>44378</v>
      </c>
      <c r="K61" s="3" t="s">
        <v>30</v>
      </c>
      <c r="L61" s="3" t="s">
        <v>31</v>
      </c>
      <c r="M61" s="3">
        <v>106900</v>
      </c>
      <c r="N61" s="3">
        <v>27</v>
      </c>
      <c r="O61" s="3">
        <v>83.4</v>
      </c>
      <c r="P61" s="3">
        <v>6</v>
      </c>
      <c r="Q61" s="3">
        <v>12</v>
      </c>
      <c r="R61" s="3">
        <v>1</v>
      </c>
      <c r="S61" s="3">
        <v>25</v>
      </c>
      <c r="T61" s="3">
        <v>5</v>
      </c>
      <c r="U61" s="3" t="s">
        <v>32</v>
      </c>
      <c r="V61" s="3">
        <v>8908</v>
      </c>
      <c r="W61" s="3">
        <v>5.0999999999999996</v>
      </c>
      <c r="X61" s="3" t="s">
        <v>54</v>
      </c>
      <c r="Y61" s="7" t="s">
        <v>42</v>
      </c>
    </row>
    <row r="62" spans="1:25" x14ac:dyDescent="0.3">
      <c r="A62" s="5" t="s">
        <v>201</v>
      </c>
      <c r="B62" s="3" t="s">
        <v>117</v>
      </c>
      <c r="C62" s="3" t="s">
        <v>24</v>
      </c>
      <c r="D62" s="3">
        <v>29</v>
      </c>
      <c r="E62" s="3" t="s">
        <v>71</v>
      </c>
      <c r="F62" s="3" t="s">
        <v>26</v>
      </c>
      <c r="G62" s="3" t="s">
        <v>39</v>
      </c>
      <c r="H62" s="3" t="s">
        <v>28</v>
      </c>
      <c r="I62" s="3" t="s">
        <v>92</v>
      </c>
      <c r="J62" s="6">
        <v>45985</v>
      </c>
      <c r="K62" s="3" t="s">
        <v>30</v>
      </c>
      <c r="L62" s="3" t="s">
        <v>93</v>
      </c>
      <c r="M62" s="3">
        <v>40400</v>
      </c>
      <c r="N62" s="3">
        <v>8</v>
      </c>
      <c r="O62" s="3">
        <v>84.4</v>
      </c>
      <c r="P62" s="3">
        <v>5</v>
      </c>
      <c r="Q62" s="3">
        <v>7</v>
      </c>
      <c r="R62" s="3">
        <v>0</v>
      </c>
      <c r="S62" s="3">
        <v>23</v>
      </c>
      <c r="T62" s="3">
        <v>30</v>
      </c>
      <c r="U62" s="3" t="s">
        <v>41</v>
      </c>
      <c r="V62" s="3">
        <v>3367</v>
      </c>
      <c r="W62" s="3">
        <v>0.7</v>
      </c>
      <c r="X62" s="3" t="s">
        <v>95</v>
      </c>
      <c r="Y62" s="7" t="s">
        <v>42</v>
      </c>
    </row>
    <row r="63" spans="1:25" x14ac:dyDescent="0.3">
      <c r="A63" s="5" t="s">
        <v>202</v>
      </c>
      <c r="B63" s="3" t="s">
        <v>203</v>
      </c>
      <c r="C63" s="3" t="s">
        <v>24</v>
      </c>
      <c r="D63" s="3">
        <v>37</v>
      </c>
      <c r="E63" s="3" t="s">
        <v>45</v>
      </c>
      <c r="F63" s="3" t="s">
        <v>52</v>
      </c>
      <c r="G63" s="3" t="s">
        <v>122</v>
      </c>
      <c r="H63" s="3" t="s">
        <v>28</v>
      </c>
      <c r="I63" s="3" t="s">
        <v>73</v>
      </c>
      <c r="J63" s="6">
        <v>46100</v>
      </c>
      <c r="K63" s="3" t="s">
        <v>30</v>
      </c>
      <c r="L63" s="3" t="s">
        <v>31</v>
      </c>
      <c r="M63" s="3">
        <v>23700</v>
      </c>
      <c r="N63" s="3">
        <v>16</v>
      </c>
      <c r="O63" s="3">
        <v>95.5</v>
      </c>
      <c r="P63" s="3">
        <v>0</v>
      </c>
      <c r="Q63" s="3">
        <v>10</v>
      </c>
      <c r="R63" s="3">
        <v>3</v>
      </c>
      <c r="S63" s="3">
        <v>29</v>
      </c>
      <c r="T63" s="3">
        <v>19</v>
      </c>
      <c r="U63" s="3" t="s">
        <v>41</v>
      </c>
      <c r="V63" s="3">
        <v>1975</v>
      </c>
      <c r="W63" s="3">
        <v>0.4</v>
      </c>
      <c r="X63" s="3" t="s">
        <v>108</v>
      </c>
      <c r="Y63" s="7" t="s">
        <v>75</v>
      </c>
    </row>
    <row r="64" spans="1:25" x14ac:dyDescent="0.3">
      <c r="A64" s="5" t="s">
        <v>204</v>
      </c>
      <c r="B64" s="3" t="s">
        <v>205</v>
      </c>
      <c r="C64" s="3" t="s">
        <v>58</v>
      </c>
      <c r="D64" s="3">
        <v>43</v>
      </c>
      <c r="E64" s="3" t="s">
        <v>51</v>
      </c>
      <c r="F64" s="3" t="s">
        <v>60</v>
      </c>
      <c r="G64" s="3" t="s">
        <v>39</v>
      </c>
      <c r="H64" s="3" t="s">
        <v>28</v>
      </c>
      <c r="I64" s="3" t="s">
        <v>68</v>
      </c>
      <c r="J64" s="6">
        <v>45746</v>
      </c>
      <c r="K64" s="3" t="s">
        <v>30</v>
      </c>
      <c r="L64" s="3" t="s">
        <v>93</v>
      </c>
      <c r="M64" s="3">
        <v>40200</v>
      </c>
      <c r="N64" s="3">
        <v>22</v>
      </c>
      <c r="O64" s="3">
        <v>93.5</v>
      </c>
      <c r="P64" s="3">
        <v>4</v>
      </c>
      <c r="Q64" s="3">
        <v>11</v>
      </c>
      <c r="R64" s="3">
        <v>4</v>
      </c>
      <c r="S64" s="3">
        <v>12</v>
      </c>
      <c r="T64" s="3">
        <v>19</v>
      </c>
      <c r="U64" s="3" t="s">
        <v>94</v>
      </c>
      <c r="V64" s="3">
        <v>3350</v>
      </c>
      <c r="W64" s="3">
        <v>1.3</v>
      </c>
      <c r="X64" s="3" t="s">
        <v>62</v>
      </c>
      <c r="Y64" s="7" t="s">
        <v>75</v>
      </c>
    </row>
    <row r="65" spans="1:25" x14ac:dyDescent="0.3">
      <c r="A65" s="5" t="s">
        <v>206</v>
      </c>
      <c r="B65" s="3" t="s">
        <v>158</v>
      </c>
      <c r="C65" s="3" t="s">
        <v>24</v>
      </c>
      <c r="D65" s="3">
        <v>26</v>
      </c>
      <c r="E65" s="3" t="s">
        <v>59</v>
      </c>
      <c r="F65" s="3" t="s">
        <v>72</v>
      </c>
      <c r="G65" s="3" t="s">
        <v>171</v>
      </c>
      <c r="H65" s="3" t="s">
        <v>28</v>
      </c>
      <c r="I65" s="3" t="s">
        <v>29</v>
      </c>
      <c r="J65" s="6">
        <v>45318</v>
      </c>
      <c r="K65" s="3" t="s">
        <v>30</v>
      </c>
      <c r="L65" s="3" t="s">
        <v>93</v>
      </c>
      <c r="M65" s="3">
        <v>132300</v>
      </c>
      <c r="N65" s="3">
        <v>3</v>
      </c>
      <c r="O65" s="3">
        <v>89.6</v>
      </c>
      <c r="P65" s="3">
        <v>2</v>
      </c>
      <c r="Q65" s="3">
        <v>10</v>
      </c>
      <c r="R65" s="3">
        <v>3</v>
      </c>
      <c r="S65" s="3">
        <v>7</v>
      </c>
      <c r="T65" s="3">
        <v>29</v>
      </c>
      <c r="U65" s="3" t="s">
        <v>74</v>
      </c>
      <c r="V65" s="3">
        <v>11025</v>
      </c>
      <c r="W65" s="3">
        <v>2.5</v>
      </c>
      <c r="X65" s="3" t="s">
        <v>95</v>
      </c>
      <c r="Y65" s="7" t="s">
        <v>42</v>
      </c>
    </row>
    <row r="66" spans="1:25" x14ac:dyDescent="0.3">
      <c r="A66" s="5" t="s">
        <v>207</v>
      </c>
      <c r="B66" s="3" t="s">
        <v>129</v>
      </c>
      <c r="C66" s="3" t="s">
        <v>24</v>
      </c>
      <c r="D66" s="3">
        <v>33</v>
      </c>
      <c r="E66" s="3" t="s">
        <v>65</v>
      </c>
      <c r="F66" s="3" t="s">
        <v>52</v>
      </c>
      <c r="G66" s="3" t="s">
        <v>171</v>
      </c>
      <c r="H66" s="3" t="s">
        <v>28</v>
      </c>
      <c r="I66" s="3" t="s">
        <v>47</v>
      </c>
      <c r="J66" s="6">
        <v>44270</v>
      </c>
      <c r="K66" s="3" t="s">
        <v>61</v>
      </c>
      <c r="L66" s="3" t="s">
        <v>31</v>
      </c>
      <c r="M66" s="3">
        <v>119500</v>
      </c>
      <c r="N66" s="3">
        <v>9</v>
      </c>
      <c r="O66" s="3">
        <v>93.4</v>
      </c>
      <c r="P66" s="3">
        <v>7</v>
      </c>
      <c r="Q66" s="3">
        <v>8</v>
      </c>
      <c r="R66" s="3">
        <v>3</v>
      </c>
      <c r="S66" s="3">
        <v>4</v>
      </c>
      <c r="T66" s="3">
        <v>30</v>
      </c>
      <c r="U66" s="3" t="s">
        <v>32</v>
      </c>
      <c r="V66" s="3">
        <v>9958</v>
      </c>
      <c r="W66" s="3">
        <v>5.4</v>
      </c>
      <c r="X66" s="3" t="s">
        <v>33</v>
      </c>
      <c r="Y66" s="7" t="s">
        <v>42</v>
      </c>
    </row>
    <row r="67" spans="1:25" x14ac:dyDescent="0.3">
      <c r="A67" s="5" t="s">
        <v>208</v>
      </c>
      <c r="B67" s="3" t="s">
        <v>106</v>
      </c>
      <c r="C67" s="3" t="s">
        <v>24</v>
      </c>
      <c r="D67" s="3">
        <v>41</v>
      </c>
      <c r="E67" s="3" t="s">
        <v>90</v>
      </c>
      <c r="F67" s="3" t="s">
        <v>38</v>
      </c>
      <c r="G67" s="3" t="s">
        <v>46</v>
      </c>
      <c r="H67" s="3" t="s">
        <v>28</v>
      </c>
      <c r="I67" s="3" t="s">
        <v>29</v>
      </c>
      <c r="J67" s="6">
        <v>45987</v>
      </c>
      <c r="K67" s="3" t="s">
        <v>30</v>
      </c>
      <c r="L67" s="3" t="s">
        <v>31</v>
      </c>
      <c r="M67" s="3">
        <v>81600</v>
      </c>
      <c r="N67" s="3">
        <v>18</v>
      </c>
      <c r="O67" s="3">
        <v>94.1</v>
      </c>
      <c r="P67" s="3">
        <v>6</v>
      </c>
      <c r="Q67" s="3">
        <v>9</v>
      </c>
      <c r="R67" s="3">
        <v>4</v>
      </c>
      <c r="S67" s="3">
        <v>10</v>
      </c>
      <c r="T67" s="3">
        <v>5</v>
      </c>
      <c r="U67" s="3" t="s">
        <v>94</v>
      </c>
      <c r="V67" s="3">
        <v>6800</v>
      </c>
      <c r="W67" s="3">
        <v>0.7</v>
      </c>
      <c r="X67" s="3" t="s">
        <v>62</v>
      </c>
      <c r="Y67" s="7" t="s">
        <v>75</v>
      </c>
    </row>
    <row r="68" spans="1:25" x14ac:dyDescent="0.3">
      <c r="A68" s="5" t="s">
        <v>209</v>
      </c>
      <c r="B68" s="3" t="s">
        <v>210</v>
      </c>
      <c r="C68" s="3" t="s">
        <v>58</v>
      </c>
      <c r="D68" s="3">
        <v>33</v>
      </c>
      <c r="E68" s="3" t="s">
        <v>101</v>
      </c>
      <c r="F68" s="3" t="s">
        <v>38</v>
      </c>
      <c r="G68" s="3" t="s">
        <v>27</v>
      </c>
      <c r="H68" s="3" t="s">
        <v>28</v>
      </c>
      <c r="I68" s="3" t="s">
        <v>107</v>
      </c>
      <c r="J68" s="6">
        <v>44157</v>
      </c>
      <c r="K68" s="3" t="s">
        <v>61</v>
      </c>
      <c r="L68" s="3" t="s">
        <v>31</v>
      </c>
      <c r="M68" s="3">
        <v>88600</v>
      </c>
      <c r="N68" s="3">
        <v>14</v>
      </c>
      <c r="O68" s="3">
        <v>96.1</v>
      </c>
      <c r="P68" s="3">
        <v>8</v>
      </c>
      <c r="Q68" s="3">
        <v>4</v>
      </c>
      <c r="R68" s="3">
        <v>2</v>
      </c>
      <c r="S68" s="3">
        <v>23</v>
      </c>
      <c r="T68" s="3">
        <v>28</v>
      </c>
      <c r="U68" s="3" t="s">
        <v>123</v>
      </c>
      <c r="V68" s="3">
        <v>7383</v>
      </c>
      <c r="W68" s="3">
        <v>5.7</v>
      </c>
      <c r="X68" s="3" t="s">
        <v>33</v>
      </c>
      <c r="Y68" s="7" t="s">
        <v>42</v>
      </c>
    </row>
    <row r="69" spans="1:25" x14ac:dyDescent="0.3">
      <c r="A69" s="5" t="s">
        <v>211</v>
      </c>
      <c r="B69" s="3" t="s">
        <v>212</v>
      </c>
      <c r="C69" s="3" t="s">
        <v>24</v>
      </c>
      <c r="D69" s="3">
        <v>29</v>
      </c>
      <c r="E69" s="3" t="s">
        <v>98</v>
      </c>
      <c r="F69" s="3" t="s">
        <v>26</v>
      </c>
      <c r="G69" s="3" t="s">
        <v>39</v>
      </c>
      <c r="H69" s="3" t="s">
        <v>28</v>
      </c>
      <c r="I69" s="3" t="s">
        <v>86</v>
      </c>
      <c r="J69" s="6">
        <v>44639</v>
      </c>
      <c r="K69" s="3" t="s">
        <v>30</v>
      </c>
      <c r="L69" s="3" t="s">
        <v>31</v>
      </c>
      <c r="M69" s="3">
        <v>34100</v>
      </c>
      <c r="N69" s="3">
        <v>10</v>
      </c>
      <c r="O69" s="3">
        <v>89.8</v>
      </c>
      <c r="P69" s="3">
        <v>0</v>
      </c>
      <c r="Q69" s="3">
        <v>0</v>
      </c>
      <c r="R69" s="3">
        <v>0</v>
      </c>
      <c r="S69" s="3">
        <v>19</v>
      </c>
      <c r="T69" s="3">
        <v>22</v>
      </c>
      <c r="U69" s="3" t="s">
        <v>41</v>
      </c>
      <c r="V69" s="3">
        <v>2842</v>
      </c>
      <c r="W69" s="3">
        <v>4.4000000000000004</v>
      </c>
      <c r="X69" s="3" t="s">
        <v>95</v>
      </c>
      <c r="Y69" s="7" t="s">
        <v>75</v>
      </c>
    </row>
    <row r="70" spans="1:25" x14ac:dyDescent="0.3">
      <c r="A70" s="5" t="s">
        <v>213</v>
      </c>
      <c r="B70" s="3" t="s">
        <v>214</v>
      </c>
      <c r="C70" s="3" t="s">
        <v>58</v>
      </c>
      <c r="D70" s="3">
        <v>41</v>
      </c>
      <c r="E70" s="3" t="s">
        <v>25</v>
      </c>
      <c r="F70" s="3" t="s">
        <v>91</v>
      </c>
      <c r="G70" s="3" t="s">
        <v>171</v>
      </c>
      <c r="H70" s="3" t="s">
        <v>28</v>
      </c>
      <c r="I70" s="3" t="s">
        <v>86</v>
      </c>
      <c r="J70" s="6">
        <v>43896</v>
      </c>
      <c r="K70" s="3" t="s">
        <v>30</v>
      </c>
      <c r="L70" s="3" t="s">
        <v>93</v>
      </c>
      <c r="M70" s="3">
        <v>76300</v>
      </c>
      <c r="N70" s="3">
        <v>21</v>
      </c>
      <c r="O70" s="3">
        <v>95</v>
      </c>
      <c r="P70" s="3">
        <v>1</v>
      </c>
      <c r="Q70" s="3">
        <v>3</v>
      </c>
      <c r="R70" s="3">
        <v>0</v>
      </c>
      <c r="S70" s="3">
        <v>5</v>
      </c>
      <c r="T70" s="3">
        <v>2</v>
      </c>
      <c r="U70" s="3" t="s">
        <v>94</v>
      </c>
      <c r="V70" s="3">
        <v>6358</v>
      </c>
      <c r="W70" s="3">
        <v>6.4</v>
      </c>
      <c r="X70" s="3" t="s">
        <v>62</v>
      </c>
      <c r="Y70" s="7" t="s">
        <v>42</v>
      </c>
    </row>
    <row r="71" spans="1:25" x14ac:dyDescent="0.3">
      <c r="A71" s="5" t="s">
        <v>215</v>
      </c>
      <c r="B71" s="3" t="s">
        <v>216</v>
      </c>
      <c r="C71" s="3" t="s">
        <v>58</v>
      </c>
      <c r="D71" s="3">
        <v>44</v>
      </c>
      <c r="E71" s="3" t="s">
        <v>37</v>
      </c>
      <c r="F71" s="3" t="s">
        <v>38</v>
      </c>
      <c r="G71" s="3" t="s">
        <v>39</v>
      </c>
      <c r="H71" s="3" t="s">
        <v>28</v>
      </c>
      <c r="I71" s="3" t="s">
        <v>40</v>
      </c>
      <c r="J71" s="6">
        <v>46107</v>
      </c>
      <c r="K71" s="3" t="s">
        <v>30</v>
      </c>
      <c r="L71" s="3" t="s">
        <v>31</v>
      </c>
      <c r="M71" s="3">
        <v>31700</v>
      </c>
      <c r="N71" s="3">
        <v>25</v>
      </c>
      <c r="O71" s="3">
        <v>90.4</v>
      </c>
      <c r="P71" s="3">
        <v>1</v>
      </c>
      <c r="Q71" s="3">
        <v>2</v>
      </c>
      <c r="R71" s="3">
        <v>4</v>
      </c>
      <c r="S71" s="3">
        <v>6</v>
      </c>
      <c r="T71" s="3">
        <v>4</v>
      </c>
      <c r="U71" s="3" t="s">
        <v>32</v>
      </c>
      <c r="V71" s="3">
        <v>2642</v>
      </c>
      <c r="W71" s="3">
        <v>0.4</v>
      </c>
      <c r="X71" s="3" t="s">
        <v>62</v>
      </c>
      <c r="Y71" s="7" t="s">
        <v>42</v>
      </c>
    </row>
    <row r="72" spans="1:25" x14ac:dyDescent="0.3">
      <c r="A72" s="5" t="s">
        <v>217</v>
      </c>
      <c r="B72" s="3" t="s">
        <v>218</v>
      </c>
      <c r="C72" s="3" t="s">
        <v>58</v>
      </c>
      <c r="D72" s="3">
        <v>28</v>
      </c>
      <c r="E72" s="3" t="s">
        <v>101</v>
      </c>
      <c r="F72" s="3" t="s">
        <v>79</v>
      </c>
      <c r="G72" s="3" t="s">
        <v>39</v>
      </c>
      <c r="H72" s="3" t="s">
        <v>115</v>
      </c>
      <c r="I72" s="3" t="s">
        <v>107</v>
      </c>
      <c r="J72" s="6">
        <v>45963</v>
      </c>
      <c r="K72" s="3" t="s">
        <v>30</v>
      </c>
      <c r="L72" s="3" t="s">
        <v>53</v>
      </c>
      <c r="M72" s="3">
        <v>33500</v>
      </c>
      <c r="N72" s="3">
        <v>7</v>
      </c>
      <c r="O72" s="3">
        <v>83.6</v>
      </c>
      <c r="P72" s="3">
        <v>0</v>
      </c>
      <c r="Q72" s="3">
        <v>5</v>
      </c>
      <c r="R72" s="3">
        <v>0</v>
      </c>
      <c r="S72" s="3">
        <v>21</v>
      </c>
      <c r="T72" s="3">
        <v>6</v>
      </c>
      <c r="U72" s="3" t="s">
        <v>32</v>
      </c>
      <c r="V72" s="3">
        <v>2792</v>
      </c>
      <c r="W72" s="3">
        <v>0.7</v>
      </c>
      <c r="X72" s="3" t="s">
        <v>95</v>
      </c>
      <c r="Y72" s="7" t="s">
        <v>42</v>
      </c>
    </row>
    <row r="73" spans="1:25" x14ac:dyDescent="0.3">
      <c r="A73" s="5" t="s">
        <v>219</v>
      </c>
      <c r="B73" s="3" t="s">
        <v>220</v>
      </c>
      <c r="C73" s="3" t="s">
        <v>58</v>
      </c>
      <c r="D73" s="3">
        <v>45</v>
      </c>
      <c r="E73" s="3" t="s">
        <v>71</v>
      </c>
      <c r="F73" s="3" t="s">
        <v>66</v>
      </c>
      <c r="G73" s="3" t="s">
        <v>39</v>
      </c>
      <c r="H73" s="3" t="s">
        <v>28</v>
      </c>
      <c r="I73" s="3" t="s">
        <v>68</v>
      </c>
      <c r="J73" s="6">
        <v>45490</v>
      </c>
      <c r="K73" s="3" t="s">
        <v>87</v>
      </c>
      <c r="L73" s="3" t="s">
        <v>31</v>
      </c>
      <c r="M73" s="3">
        <v>31200</v>
      </c>
      <c r="N73" s="3">
        <v>21</v>
      </c>
      <c r="O73" s="3">
        <v>92.9</v>
      </c>
      <c r="P73" s="3">
        <v>7</v>
      </c>
      <c r="Q73" s="3">
        <v>14</v>
      </c>
      <c r="R73" s="3">
        <v>1</v>
      </c>
      <c r="S73" s="3">
        <v>21</v>
      </c>
      <c r="T73" s="3">
        <v>25</v>
      </c>
      <c r="U73" s="3" t="s">
        <v>123</v>
      </c>
      <c r="V73" s="3">
        <v>2600</v>
      </c>
      <c r="W73" s="3">
        <v>2</v>
      </c>
      <c r="X73" s="3" t="s">
        <v>54</v>
      </c>
      <c r="Y73" s="7" t="s">
        <v>55</v>
      </c>
    </row>
    <row r="74" spans="1:25" x14ac:dyDescent="0.3">
      <c r="A74" s="5" t="s">
        <v>221</v>
      </c>
      <c r="B74" s="3" t="s">
        <v>222</v>
      </c>
      <c r="C74" s="3" t="s">
        <v>58</v>
      </c>
      <c r="D74" s="3">
        <v>29</v>
      </c>
      <c r="E74" s="3" t="s">
        <v>118</v>
      </c>
      <c r="F74" s="3" t="s">
        <v>72</v>
      </c>
      <c r="G74" s="3" t="s">
        <v>46</v>
      </c>
      <c r="H74" s="3" t="s">
        <v>28</v>
      </c>
      <c r="I74" s="3" t="s">
        <v>86</v>
      </c>
      <c r="J74" s="6">
        <v>43148</v>
      </c>
      <c r="K74" s="3" t="s">
        <v>30</v>
      </c>
      <c r="L74" s="3" t="s">
        <v>53</v>
      </c>
      <c r="M74" s="3">
        <v>100500</v>
      </c>
      <c r="N74" s="3">
        <v>8</v>
      </c>
      <c r="O74" s="3">
        <v>97.3</v>
      </c>
      <c r="P74" s="3">
        <v>3</v>
      </c>
      <c r="Q74" s="3">
        <v>1</v>
      </c>
      <c r="R74" s="3">
        <v>1</v>
      </c>
      <c r="S74" s="3">
        <v>30</v>
      </c>
      <c r="T74" s="3">
        <v>21</v>
      </c>
      <c r="U74" s="3" t="s">
        <v>41</v>
      </c>
      <c r="V74" s="3">
        <v>8375</v>
      </c>
      <c r="W74" s="3">
        <v>8.5</v>
      </c>
      <c r="X74" s="3" t="s">
        <v>95</v>
      </c>
      <c r="Y74" s="7" t="s">
        <v>42</v>
      </c>
    </row>
    <row r="75" spans="1:25" x14ac:dyDescent="0.3">
      <c r="A75" s="5" t="s">
        <v>223</v>
      </c>
      <c r="B75" s="3" t="s">
        <v>224</v>
      </c>
      <c r="C75" s="3" t="s">
        <v>24</v>
      </c>
      <c r="D75" s="3">
        <v>21</v>
      </c>
      <c r="E75" s="3" t="s">
        <v>65</v>
      </c>
      <c r="F75" s="3" t="s">
        <v>72</v>
      </c>
      <c r="G75" s="3" t="s">
        <v>46</v>
      </c>
      <c r="H75" s="3" t="s">
        <v>28</v>
      </c>
      <c r="I75" s="3" t="s">
        <v>29</v>
      </c>
      <c r="J75" s="6">
        <v>45512</v>
      </c>
      <c r="K75" s="3" t="s">
        <v>61</v>
      </c>
      <c r="L75" s="3" t="s">
        <v>53</v>
      </c>
      <c r="M75" s="3">
        <v>88600</v>
      </c>
      <c r="N75" s="3">
        <v>0</v>
      </c>
      <c r="O75" s="3">
        <v>94.9</v>
      </c>
      <c r="P75" s="3">
        <v>6</v>
      </c>
      <c r="Q75" s="3">
        <v>4</v>
      </c>
      <c r="R75" s="3">
        <v>1</v>
      </c>
      <c r="S75" s="3">
        <v>23</v>
      </c>
      <c r="T75" s="3">
        <v>7</v>
      </c>
      <c r="U75" s="3" t="s">
        <v>104</v>
      </c>
      <c r="V75" s="3">
        <v>7383</v>
      </c>
      <c r="W75" s="3">
        <v>2</v>
      </c>
      <c r="X75" s="3" t="s">
        <v>48</v>
      </c>
      <c r="Y75" s="7" t="s">
        <v>55</v>
      </c>
    </row>
    <row r="76" spans="1:25" x14ac:dyDescent="0.3">
      <c r="A76" s="5" t="s">
        <v>225</v>
      </c>
      <c r="B76" s="3" t="s">
        <v>166</v>
      </c>
      <c r="C76" s="3" t="s">
        <v>58</v>
      </c>
      <c r="D76" s="3">
        <v>22</v>
      </c>
      <c r="E76" s="3" t="s">
        <v>98</v>
      </c>
      <c r="F76" s="3" t="s">
        <v>52</v>
      </c>
      <c r="G76" s="3" t="s">
        <v>80</v>
      </c>
      <c r="H76" s="3" t="s">
        <v>28</v>
      </c>
      <c r="I76" s="3" t="s">
        <v>40</v>
      </c>
      <c r="J76" s="6">
        <v>44522</v>
      </c>
      <c r="K76" s="3" t="s">
        <v>30</v>
      </c>
      <c r="L76" s="3" t="s">
        <v>53</v>
      </c>
      <c r="M76" s="3">
        <v>40700</v>
      </c>
      <c r="N76" s="3">
        <v>0</v>
      </c>
      <c r="O76" s="3">
        <v>97</v>
      </c>
      <c r="P76" s="3">
        <v>0</v>
      </c>
      <c r="Q76" s="3">
        <v>7</v>
      </c>
      <c r="R76" s="3">
        <v>4</v>
      </c>
      <c r="S76" s="3">
        <v>29</v>
      </c>
      <c r="T76" s="3">
        <v>29</v>
      </c>
      <c r="U76" s="3" t="s">
        <v>130</v>
      </c>
      <c r="V76" s="3">
        <v>3392</v>
      </c>
      <c r="W76" s="3">
        <v>4.7</v>
      </c>
      <c r="X76" s="3" t="s">
        <v>48</v>
      </c>
      <c r="Y76" s="7" t="s">
        <v>42</v>
      </c>
    </row>
    <row r="77" spans="1:25" x14ac:dyDescent="0.3">
      <c r="A77" s="5" t="s">
        <v>226</v>
      </c>
      <c r="B77" s="3" t="s">
        <v>227</v>
      </c>
      <c r="C77" s="3" t="s">
        <v>58</v>
      </c>
      <c r="D77" s="3">
        <v>35</v>
      </c>
      <c r="E77" s="3" t="s">
        <v>98</v>
      </c>
      <c r="F77" s="3" t="s">
        <v>72</v>
      </c>
      <c r="G77" s="3" t="s">
        <v>171</v>
      </c>
      <c r="H77" s="3" t="s">
        <v>115</v>
      </c>
      <c r="I77" s="3" t="s">
        <v>73</v>
      </c>
      <c r="J77" s="6">
        <v>44319</v>
      </c>
      <c r="K77" s="3" t="s">
        <v>30</v>
      </c>
      <c r="L77" s="3" t="s">
        <v>31</v>
      </c>
      <c r="M77" s="3">
        <v>148700</v>
      </c>
      <c r="N77" s="3">
        <v>16</v>
      </c>
      <c r="O77" s="3">
        <v>91.9</v>
      </c>
      <c r="P77" s="3">
        <v>7</v>
      </c>
      <c r="Q77" s="3">
        <v>10</v>
      </c>
      <c r="R77" s="3">
        <v>3</v>
      </c>
      <c r="S77" s="3">
        <v>14</v>
      </c>
      <c r="T77" s="3">
        <v>5</v>
      </c>
      <c r="U77" s="3" t="s">
        <v>130</v>
      </c>
      <c r="V77" s="3">
        <v>12392</v>
      </c>
      <c r="W77" s="3">
        <v>5.2</v>
      </c>
      <c r="X77" s="3" t="s">
        <v>108</v>
      </c>
      <c r="Y77" s="7" t="s">
        <v>55</v>
      </c>
    </row>
    <row r="78" spans="1:25" x14ac:dyDescent="0.3">
      <c r="A78" s="5" t="s">
        <v>228</v>
      </c>
      <c r="B78" s="3" t="s">
        <v>229</v>
      </c>
      <c r="C78" s="3" t="s">
        <v>58</v>
      </c>
      <c r="D78" s="3">
        <v>29</v>
      </c>
      <c r="E78" s="3" t="s">
        <v>83</v>
      </c>
      <c r="F78" s="3" t="s">
        <v>52</v>
      </c>
      <c r="G78" s="3" t="s">
        <v>80</v>
      </c>
      <c r="H78" s="3" t="s">
        <v>28</v>
      </c>
      <c r="I78" s="3" t="s">
        <v>86</v>
      </c>
      <c r="J78" s="6">
        <v>44861</v>
      </c>
      <c r="K78" s="3" t="s">
        <v>30</v>
      </c>
      <c r="L78" s="3" t="s">
        <v>53</v>
      </c>
      <c r="M78" s="3">
        <v>53200</v>
      </c>
      <c r="N78" s="3">
        <v>6</v>
      </c>
      <c r="O78" s="3">
        <v>86.8</v>
      </c>
      <c r="P78" s="3">
        <v>7</v>
      </c>
      <c r="Q78" s="3">
        <v>4</v>
      </c>
      <c r="R78" s="3">
        <v>3</v>
      </c>
      <c r="S78" s="3">
        <v>4</v>
      </c>
      <c r="T78" s="3">
        <v>6</v>
      </c>
      <c r="U78" s="3" t="s">
        <v>104</v>
      </c>
      <c r="V78" s="3">
        <v>4433</v>
      </c>
      <c r="W78" s="3">
        <v>3.8</v>
      </c>
      <c r="X78" s="3" t="s">
        <v>95</v>
      </c>
      <c r="Y78" s="7" t="s">
        <v>55</v>
      </c>
    </row>
    <row r="79" spans="1:25" x14ac:dyDescent="0.3">
      <c r="A79" s="5" t="s">
        <v>230</v>
      </c>
      <c r="B79" s="3" t="s">
        <v>231</v>
      </c>
      <c r="C79" s="3" t="s">
        <v>58</v>
      </c>
      <c r="D79" s="3">
        <v>42</v>
      </c>
      <c r="E79" s="3" t="s">
        <v>51</v>
      </c>
      <c r="F79" s="3" t="s">
        <v>38</v>
      </c>
      <c r="G79" s="3" t="s">
        <v>39</v>
      </c>
      <c r="H79" s="3" t="s">
        <v>28</v>
      </c>
      <c r="I79" s="3" t="s">
        <v>68</v>
      </c>
      <c r="J79" s="6">
        <v>43825</v>
      </c>
      <c r="K79" s="3" t="s">
        <v>30</v>
      </c>
      <c r="L79" s="3" t="s">
        <v>53</v>
      </c>
      <c r="M79" s="3">
        <v>34100</v>
      </c>
      <c r="N79" s="3">
        <v>21</v>
      </c>
      <c r="O79" s="3">
        <v>92</v>
      </c>
      <c r="P79" s="3">
        <v>2</v>
      </c>
      <c r="Q79" s="3">
        <v>4</v>
      </c>
      <c r="R79" s="3">
        <v>2</v>
      </c>
      <c r="S79" s="3">
        <v>23</v>
      </c>
      <c r="T79" s="3">
        <v>13</v>
      </c>
      <c r="U79" s="3" t="s">
        <v>32</v>
      </c>
      <c r="V79" s="3">
        <v>2842</v>
      </c>
      <c r="W79" s="3">
        <v>6.6</v>
      </c>
      <c r="X79" s="3" t="s">
        <v>62</v>
      </c>
      <c r="Y79" s="7" t="s">
        <v>42</v>
      </c>
    </row>
    <row r="80" spans="1:25" x14ac:dyDescent="0.3">
      <c r="A80" s="5" t="s">
        <v>232</v>
      </c>
      <c r="B80" s="3" t="s">
        <v>212</v>
      </c>
      <c r="C80" s="3" t="s">
        <v>24</v>
      </c>
      <c r="D80" s="3">
        <v>30</v>
      </c>
      <c r="E80" s="3" t="s">
        <v>83</v>
      </c>
      <c r="F80" s="3" t="s">
        <v>38</v>
      </c>
      <c r="G80" s="3" t="s">
        <v>80</v>
      </c>
      <c r="H80" s="3" t="s">
        <v>122</v>
      </c>
      <c r="I80" s="3" t="s">
        <v>29</v>
      </c>
      <c r="J80" s="6">
        <v>44445</v>
      </c>
      <c r="K80" s="3" t="s">
        <v>30</v>
      </c>
      <c r="L80" s="3" t="s">
        <v>53</v>
      </c>
      <c r="M80" s="3">
        <v>56100</v>
      </c>
      <c r="N80" s="3">
        <v>8</v>
      </c>
      <c r="O80" s="3">
        <v>89.1</v>
      </c>
      <c r="P80" s="3">
        <v>8</v>
      </c>
      <c r="Q80" s="3">
        <v>7</v>
      </c>
      <c r="R80" s="3">
        <v>2</v>
      </c>
      <c r="S80" s="3">
        <v>8</v>
      </c>
      <c r="T80" s="3">
        <v>8</v>
      </c>
      <c r="U80" s="3" t="s">
        <v>41</v>
      </c>
      <c r="V80" s="3">
        <v>4675</v>
      </c>
      <c r="W80" s="3">
        <v>4.9000000000000004</v>
      </c>
      <c r="X80" s="3" t="s">
        <v>33</v>
      </c>
      <c r="Y80" s="7" t="s">
        <v>42</v>
      </c>
    </row>
    <row r="81" spans="1:25" x14ac:dyDescent="0.3">
      <c r="A81" s="5" t="s">
        <v>233</v>
      </c>
      <c r="B81" s="3" t="s">
        <v>234</v>
      </c>
      <c r="C81" s="3" t="s">
        <v>24</v>
      </c>
      <c r="D81" s="3">
        <v>29</v>
      </c>
      <c r="E81" s="3" t="s">
        <v>90</v>
      </c>
      <c r="F81" s="3" t="s">
        <v>38</v>
      </c>
      <c r="G81" s="3" t="s">
        <v>46</v>
      </c>
      <c r="H81" s="3" t="s">
        <v>28</v>
      </c>
      <c r="I81" s="3" t="s">
        <v>29</v>
      </c>
      <c r="J81" s="6">
        <v>44918</v>
      </c>
      <c r="K81" s="3" t="s">
        <v>30</v>
      </c>
      <c r="L81" s="3" t="s">
        <v>53</v>
      </c>
      <c r="M81" s="3">
        <v>70700</v>
      </c>
      <c r="N81" s="3">
        <v>5</v>
      </c>
      <c r="O81" s="3">
        <v>92.6</v>
      </c>
      <c r="P81" s="3">
        <v>4</v>
      </c>
      <c r="Q81" s="3">
        <v>10</v>
      </c>
      <c r="R81" s="3">
        <v>1</v>
      </c>
      <c r="S81" s="3">
        <v>27</v>
      </c>
      <c r="T81" s="3">
        <v>14</v>
      </c>
      <c r="U81" s="3" t="s">
        <v>94</v>
      </c>
      <c r="V81" s="3">
        <v>5892</v>
      </c>
      <c r="W81" s="3">
        <v>3.6</v>
      </c>
      <c r="X81" s="3" t="s">
        <v>95</v>
      </c>
      <c r="Y81" s="7" t="s">
        <v>75</v>
      </c>
    </row>
    <row r="82" spans="1:25" x14ac:dyDescent="0.3">
      <c r="A82" s="5" t="s">
        <v>235</v>
      </c>
      <c r="B82" s="3" t="s">
        <v>114</v>
      </c>
      <c r="C82" s="3" t="s">
        <v>24</v>
      </c>
      <c r="D82" s="3">
        <v>31</v>
      </c>
      <c r="E82" s="3" t="s">
        <v>51</v>
      </c>
      <c r="F82" s="3" t="s">
        <v>66</v>
      </c>
      <c r="G82" s="3" t="s">
        <v>27</v>
      </c>
      <c r="H82" s="3" t="s">
        <v>28</v>
      </c>
      <c r="I82" s="3" t="s">
        <v>68</v>
      </c>
      <c r="J82" s="6">
        <v>43238</v>
      </c>
      <c r="K82" s="3" t="s">
        <v>30</v>
      </c>
      <c r="L82" s="3" t="s">
        <v>93</v>
      </c>
      <c r="M82" s="3">
        <v>78300</v>
      </c>
      <c r="N82" s="3">
        <v>12</v>
      </c>
      <c r="O82" s="3">
        <v>91.3</v>
      </c>
      <c r="P82" s="3">
        <v>4</v>
      </c>
      <c r="Q82" s="3">
        <v>4</v>
      </c>
      <c r="R82" s="3">
        <v>1</v>
      </c>
      <c r="S82" s="3">
        <v>19</v>
      </c>
      <c r="T82" s="3">
        <v>9</v>
      </c>
      <c r="U82" s="3" t="s">
        <v>41</v>
      </c>
      <c r="V82" s="3">
        <v>6525</v>
      </c>
      <c r="W82" s="3">
        <v>8.1999999999999993</v>
      </c>
      <c r="X82" s="3" t="s">
        <v>33</v>
      </c>
      <c r="Y82" s="7" t="s">
        <v>75</v>
      </c>
    </row>
    <row r="83" spans="1:25" x14ac:dyDescent="0.3">
      <c r="A83" s="5" t="s">
        <v>236</v>
      </c>
      <c r="B83" s="3" t="s">
        <v>237</v>
      </c>
      <c r="C83" s="3" t="s">
        <v>58</v>
      </c>
      <c r="D83" s="3">
        <v>48</v>
      </c>
      <c r="E83" s="3" t="s">
        <v>137</v>
      </c>
      <c r="F83" s="3" t="s">
        <v>72</v>
      </c>
      <c r="G83" s="3" t="s">
        <v>80</v>
      </c>
      <c r="H83" s="3" t="s">
        <v>28</v>
      </c>
      <c r="I83" s="3" t="s">
        <v>47</v>
      </c>
      <c r="J83" s="6">
        <v>43455</v>
      </c>
      <c r="K83" s="3" t="s">
        <v>30</v>
      </c>
      <c r="L83" s="3" t="s">
        <v>93</v>
      </c>
      <c r="M83" s="3">
        <v>59400</v>
      </c>
      <c r="N83" s="3">
        <v>28</v>
      </c>
      <c r="O83" s="3">
        <v>96.1</v>
      </c>
      <c r="P83" s="3">
        <v>4</v>
      </c>
      <c r="Q83" s="3">
        <v>3</v>
      </c>
      <c r="R83" s="3">
        <v>4</v>
      </c>
      <c r="S83" s="3">
        <v>30</v>
      </c>
      <c r="T83" s="3">
        <v>14</v>
      </c>
      <c r="U83" s="3" t="s">
        <v>74</v>
      </c>
      <c r="V83" s="3">
        <v>4950</v>
      </c>
      <c r="W83" s="3">
        <v>7.6</v>
      </c>
      <c r="X83" s="3" t="s">
        <v>54</v>
      </c>
      <c r="Y83" s="7" t="s">
        <v>42</v>
      </c>
    </row>
    <row r="84" spans="1:25" x14ac:dyDescent="0.3">
      <c r="A84" s="5" t="s">
        <v>238</v>
      </c>
      <c r="B84" s="3" t="s">
        <v>239</v>
      </c>
      <c r="C84" s="3" t="s">
        <v>58</v>
      </c>
      <c r="D84" s="3">
        <v>33</v>
      </c>
      <c r="E84" s="3" t="s">
        <v>37</v>
      </c>
      <c r="F84" s="3" t="s">
        <v>66</v>
      </c>
      <c r="G84" s="3" t="s">
        <v>46</v>
      </c>
      <c r="H84" s="3" t="s">
        <v>28</v>
      </c>
      <c r="I84" s="3" t="s">
        <v>29</v>
      </c>
      <c r="J84" s="6">
        <v>44969</v>
      </c>
      <c r="K84" s="3" t="s">
        <v>30</v>
      </c>
      <c r="L84" s="3" t="s">
        <v>31</v>
      </c>
      <c r="M84" s="3">
        <v>70400</v>
      </c>
      <c r="N84" s="3">
        <v>11</v>
      </c>
      <c r="O84" s="3">
        <v>84.1</v>
      </c>
      <c r="P84" s="3">
        <v>0</v>
      </c>
      <c r="Q84" s="3">
        <v>9</v>
      </c>
      <c r="R84" s="3">
        <v>1</v>
      </c>
      <c r="S84" s="3">
        <v>18</v>
      </c>
      <c r="T84" s="3">
        <v>13</v>
      </c>
      <c r="U84" s="3" t="s">
        <v>74</v>
      </c>
      <c r="V84" s="3">
        <v>5867</v>
      </c>
      <c r="W84" s="3">
        <v>3.5</v>
      </c>
      <c r="X84" s="3" t="s">
        <v>33</v>
      </c>
      <c r="Y84" s="7" t="s">
        <v>75</v>
      </c>
    </row>
    <row r="85" spans="1:25" x14ac:dyDescent="0.3">
      <c r="A85" s="5" t="s">
        <v>240</v>
      </c>
      <c r="B85" s="3" t="s">
        <v>241</v>
      </c>
      <c r="C85" s="3" t="s">
        <v>24</v>
      </c>
      <c r="D85" s="3">
        <v>49</v>
      </c>
      <c r="E85" s="3" t="s">
        <v>51</v>
      </c>
      <c r="F85" s="3" t="s">
        <v>52</v>
      </c>
      <c r="G85" s="3" t="s">
        <v>80</v>
      </c>
      <c r="H85" s="3" t="s">
        <v>122</v>
      </c>
      <c r="I85" s="3" t="s">
        <v>40</v>
      </c>
      <c r="J85" s="6">
        <v>44194</v>
      </c>
      <c r="K85" s="3" t="s">
        <v>30</v>
      </c>
      <c r="L85" s="3" t="s">
        <v>31</v>
      </c>
      <c r="M85" s="3">
        <v>48300</v>
      </c>
      <c r="N85" s="3">
        <v>26</v>
      </c>
      <c r="O85" s="3">
        <v>79.3</v>
      </c>
      <c r="P85" s="3">
        <v>1</v>
      </c>
      <c r="Q85" s="3">
        <v>8</v>
      </c>
      <c r="R85" s="3">
        <v>1</v>
      </c>
      <c r="S85" s="3">
        <v>4</v>
      </c>
      <c r="T85" s="3">
        <v>11</v>
      </c>
      <c r="U85" s="3" t="s">
        <v>123</v>
      </c>
      <c r="V85" s="3">
        <v>4025</v>
      </c>
      <c r="W85" s="3">
        <v>5.6</v>
      </c>
      <c r="X85" s="3" t="s">
        <v>54</v>
      </c>
      <c r="Y85" s="7" t="s">
        <v>42</v>
      </c>
    </row>
    <row r="86" spans="1:25" x14ac:dyDescent="0.3">
      <c r="A86" s="5" t="s">
        <v>242</v>
      </c>
      <c r="B86" s="3" t="s">
        <v>243</v>
      </c>
      <c r="C86" s="3" t="s">
        <v>58</v>
      </c>
      <c r="D86" s="3">
        <v>28</v>
      </c>
      <c r="E86" s="3" t="s">
        <v>78</v>
      </c>
      <c r="F86" s="3" t="s">
        <v>52</v>
      </c>
      <c r="G86" s="3" t="s">
        <v>46</v>
      </c>
      <c r="H86" s="3" t="s">
        <v>28</v>
      </c>
      <c r="I86" s="3" t="s">
        <v>107</v>
      </c>
      <c r="J86" s="6">
        <v>43911</v>
      </c>
      <c r="K86" s="3" t="s">
        <v>30</v>
      </c>
      <c r="L86" s="3" t="s">
        <v>53</v>
      </c>
      <c r="M86" s="3">
        <v>71500</v>
      </c>
      <c r="N86" s="3">
        <v>4</v>
      </c>
      <c r="O86" s="3">
        <v>91.4</v>
      </c>
      <c r="P86" s="3">
        <v>0</v>
      </c>
      <c r="Q86" s="3">
        <v>1</v>
      </c>
      <c r="R86" s="3">
        <v>1</v>
      </c>
      <c r="S86" s="3">
        <v>12</v>
      </c>
      <c r="T86" s="3">
        <v>11</v>
      </c>
      <c r="U86" s="3" t="s">
        <v>94</v>
      </c>
      <c r="V86" s="3">
        <v>5958</v>
      </c>
      <c r="W86" s="3">
        <v>6.4</v>
      </c>
      <c r="X86" s="3" t="s">
        <v>95</v>
      </c>
      <c r="Y86" s="7" t="s">
        <v>42</v>
      </c>
    </row>
    <row r="87" spans="1:25" x14ac:dyDescent="0.3">
      <c r="A87" s="5" t="s">
        <v>244</v>
      </c>
      <c r="B87" s="3" t="s">
        <v>106</v>
      </c>
      <c r="C87" s="3" t="s">
        <v>58</v>
      </c>
      <c r="D87" s="3">
        <v>47</v>
      </c>
      <c r="E87" s="3" t="s">
        <v>59</v>
      </c>
      <c r="F87" s="3" t="s">
        <v>26</v>
      </c>
      <c r="G87" s="3" t="s">
        <v>171</v>
      </c>
      <c r="H87" s="3" t="s">
        <v>115</v>
      </c>
      <c r="I87" s="3" t="s">
        <v>92</v>
      </c>
      <c r="J87" s="6">
        <v>44706</v>
      </c>
      <c r="K87" s="3" t="s">
        <v>61</v>
      </c>
      <c r="L87" s="3" t="s">
        <v>31</v>
      </c>
      <c r="M87" s="3">
        <v>134300</v>
      </c>
      <c r="N87" s="3">
        <v>25</v>
      </c>
      <c r="O87" s="3">
        <v>89.2</v>
      </c>
      <c r="P87" s="3">
        <v>1</v>
      </c>
      <c r="Q87" s="3">
        <v>0</v>
      </c>
      <c r="R87" s="3">
        <v>0</v>
      </c>
      <c r="S87" s="3">
        <v>25</v>
      </c>
      <c r="T87" s="3">
        <v>9</v>
      </c>
      <c r="U87" s="3" t="s">
        <v>32</v>
      </c>
      <c r="V87" s="3">
        <v>11192</v>
      </c>
      <c r="W87" s="3">
        <v>4.2</v>
      </c>
      <c r="X87" s="3" t="s">
        <v>54</v>
      </c>
      <c r="Y87" s="7" t="s">
        <v>55</v>
      </c>
    </row>
    <row r="88" spans="1:25" x14ac:dyDescent="0.3">
      <c r="A88" s="5" t="s">
        <v>245</v>
      </c>
      <c r="B88" s="3" t="s">
        <v>36</v>
      </c>
      <c r="C88" s="3" t="s">
        <v>24</v>
      </c>
      <c r="D88" s="3">
        <v>32</v>
      </c>
      <c r="E88" s="3" t="s">
        <v>59</v>
      </c>
      <c r="F88" s="3" t="s">
        <v>38</v>
      </c>
      <c r="G88" s="3" t="s">
        <v>122</v>
      </c>
      <c r="H88" s="3" t="s">
        <v>122</v>
      </c>
      <c r="I88" s="3" t="s">
        <v>68</v>
      </c>
      <c r="J88" s="6">
        <v>44844</v>
      </c>
      <c r="K88" s="3" t="s">
        <v>30</v>
      </c>
      <c r="L88" s="3" t="s">
        <v>93</v>
      </c>
      <c r="M88" s="3">
        <v>23500</v>
      </c>
      <c r="N88" s="3">
        <v>12</v>
      </c>
      <c r="O88" s="3">
        <v>88.4</v>
      </c>
      <c r="P88" s="3">
        <v>8</v>
      </c>
      <c r="Q88" s="3">
        <v>3</v>
      </c>
      <c r="R88" s="3">
        <v>3</v>
      </c>
      <c r="S88" s="3">
        <v>25</v>
      </c>
      <c r="T88" s="3">
        <v>28</v>
      </c>
      <c r="U88" s="3" t="s">
        <v>123</v>
      </c>
      <c r="V88" s="3">
        <v>1958</v>
      </c>
      <c r="W88" s="3">
        <v>3.8</v>
      </c>
      <c r="X88" s="3" t="s">
        <v>33</v>
      </c>
      <c r="Y88" s="7" t="s">
        <v>55</v>
      </c>
    </row>
    <row r="89" spans="1:25" x14ac:dyDescent="0.3">
      <c r="A89" s="5" t="s">
        <v>246</v>
      </c>
      <c r="B89" s="3" t="s">
        <v>247</v>
      </c>
      <c r="C89" s="3" t="s">
        <v>24</v>
      </c>
      <c r="D89" s="3">
        <v>49</v>
      </c>
      <c r="E89" s="3" t="s">
        <v>118</v>
      </c>
      <c r="F89" s="3" t="s">
        <v>72</v>
      </c>
      <c r="G89" s="3" t="s">
        <v>27</v>
      </c>
      <c r="H89" s="3" t="s">
        <v>28</v>
      </c>
      <c r="I89" s="3" t="s">
        <v>47</v>
      </c>
      <c r="J89" s="6">
        <v>45860</v>
      </c>
      <c r="K89" s="3" t="s">
        <v>30</v>
      </c>
      <c r="L89" s="3" t="s">
        <v>53</v>
      </c>
      <c r="M89" s="3">
        <v>103900</v>
      </c>
      <c r="N89" s="3">
        <v>27</v>
      </c>
      <c r="O89" s="3">
        <v>87.5</v>
      </c>
      <c r="P89" s="3">
        <v>8</v>
      </c>
      <c r="Q89" s="3">
        <v>9</v>
      </c>
      <c r="R89" s="3">
        <v>0</v>
      </c>
      <c r="S89" s="3">
        <v>11</v>
      </c>
      <c r="T89" s="3">
        <v>30</v>
      </c>
      <c r="U89" s="3" t="s">
        <v>94</v>
      </c>
      <c r="V89" s="3">
        <v>8658</v>
      </c>
      <c r="W89" s="3">
        <v>1</v>
      </c>
      <c r="X89" s="3" t="s">
        <v>54</v>
      </c>
      <c r="Y89" s="7" t="s">
        <v>75</v>
      </c>
    </row>
    <row r="90" spans="1:25" x14ac:dyDescent="0.3">
      <c r="A90" s="5" t="s">
        <v>248</v>
      </c>
      <c r="B90" s="3" t="s">
        <v>249</v>
      </c>
      <c r="C90" s="3" t="s">
        <v>24</v>
      </c>
      <c r="D90" s="3">
        <v>25</v>
      </c>
      <c r="E90" s="3" t="s">
        <v>59</v>
      </c>
      <c r="F90" s="3" t="s">
        <v>26</v>
      </c>
      <c r="G90" s="3" t="s">
        <v>46</v>
      </c>
      <c r="H90" s="3" t="s">
        <v>28</v>
      </c>
      <c r="I90" s="3" t="s">
        <v>29</v>
      </c>
      <c r="J90" s="6">
        <v>43159</v>
      </c>
      <c r="K90" s="3" t="s">
        <v>30</v>
      </c>
      <c r="L90" s="3" t="s">
        <v>93</v>
      </c>
      <c r="M90" s="3">
        <v>84100</v>
      </c>
      <c r="N90" s="3">
        <v>5</v>
      </c>
      <c r="O90" s="3">
        <v>90.8</v>
      </c>
      <c r="P90" s="3">
        <v>4</v>
      </c>
      <c r="Q90" s="3">
        <v>11</v>
      </c>
      <c r="R90" s="3">
        <v>1</v>
      </c>
      <c r="S90" s="3">
        <v>4</v>
      </c>
      <c r="T90" s="3">
        <v>29</v>
      </c>
      <c r="U90" s="3" t="s">
        <v>94</v>
      </c>
      <c r="V90" s="3">
        <v>7008</v>
      </c>
      <c r="W90" s="3">
        <v>8.4</v>
      </c>
      <c r="X90" s="3" t="s">
        <v>95</v>
      </c>
      <c r="Y90" s="7" t="s">
        <v>42</v>
      </c>
    </row>
    <row r="91" spans="1:25" x14ac:dyDescent="0.3">
      <c r="A91" s="5" t="s">
        <v>250</v>
      </c>
      <c r="B91" s="3" t="s">
        <v>251</v>
      </c>
      <c r="C91" s="3" t="s">
        <v>58</v>
      </c>
      <c r="D91" s="3">
        <v>30</v>
      </c>
      <c r="E91" s="3" t="s">
        <v>101</v>
      </c>
      <c r="F91" s="3" t="s">
        <v>72</v>
      </c>
      <c r="G91" s="3" t="s">
        <v>80</v>
      </c>
      <c r="H91" s="3" t="s">
        <v>28</v>
      </c>
      <c r="I91" s="3" t="s">
        <v>107</v>
      </c>
      <c r="J91" s="6">
        <v>43871</v>
      </c>
      <c r="K91" s="3" t="s">
        <v>30</v>
      </c>
      <c r="L91" s="3" t="s">
        <v>53</v>
      </c>
      <c r="M91" s="3">
        <v>66700</v>
      </c>
      <c r="N91" s="3">
        <v>7</v>
      </c>
      <c r="O91" s="3">
        <v>93.1</v>
      </c>
      <c r="P91" s="3">
        <v>3</v>
      </c>
      <c r="Q91" s="3">
        <v>2</v>
      </c>
      <c r="R91" s="3">
        <v>1</v>
      </c>
      <c r="S91" s="3">
        <v>29</v>
      </c>
      <c r="T91" s="3">
        <v>15</v>
      </c>
      <c r="U91" s="3" t="s">
        <v>94</v>
      </c>
      <c r="V91" s="3">
        <v>5558</v>
      </c>
      <c r="W91" s="3">
        <v>6.5</v>
      </c>
      <c r="X91" s="3" t="s">
        <v>33</v>
      </c>
      <c r="Y91" s="7" t="s">
        <v>75</v>
      </c>
    </row>
    <row r="92" spans="1:25" x14ac:dyDescent="0.3">
      <c r="A92" s="5" t="s">
        <v>252</v>
      </c>
      <c r="B92" s="3" t="s">
        <v>253</v>
      </c>
      <c r="C92" s="3" t="s">
        <v>24</v>
      </c>
      <c r="D92" s="3">
        <v>20</v>
      </c>
      <c r="E92" s="3" t="s">
        <v>71</v>
      </c>
      <c r="F92" s="3" t="s">
        <v>60</v>
      </c>
      <c r="G92" s="3" t="s">
        <v>171</v>
      </c>
      <c r="H92" s="3" t="s">
        <v>28</v>
      </c>
      <c r="I92" s="3" t="s">
        <v>73</v>
      </c>
      <c r="J92" s="6">
        <v>43489</v>
      </c>
      <c r="K92" s="3" t="s">
        <v>30</v>
      </c>
      <c r="L92" s="3" t="s">
        <v>31</v>
      </c>
      <c r="M92" s="3">
        <v>142700</v>
      </c>
      <c r="N92" s="3">
        <v>0</v>
      </c>
      <c r="O92" s="3">
        <v>93.7</v>
      </c>
      <c r="P92" s="3">
        <v>1</v>
      </c>
      <c r="Q92" s="3">
        <v>8</v>
      </c>
      <c r="R92" s="3">
        <v>0</v>
      </c>
      <c r="S92" s="3">
        <v>6</v>
      </c>
      <c r="T92" s="3">
        <v>24</v>
      </c>
      <c r="U92" s="3" t="s">
        <v>74</v>
      </c>
      <c r="V92" s="3">
        <v>11892</v>
      </c>
      <c r="W92" s="3">
        <v>7.5</v>
      </c>
      <c r="X92" s="3" t="s">
        <v>48</v>
      </c>
      <c r="Y92" s="7" t="s">
        <v>75</v>
      </c>
    </row>
    <row r="93" spans="1:25" x14ac:dyDescent="0.3">
      <c r="A93" s="5" t="s">
        <v>254</v>
      </c>
      <c r="B93" s="3" t="s">
        <v>200</v>
      </c>
      <c r="C93" s="3" t="s">
        <v>58</v>
      </c>
      <c r="D93" s="3">
        <v>46</v>
      </c>
      <c r="E93" s="3" t="s">
        <v>37</v>
      </c>
      <c r="F93" s="3" t="s">
        <v>26</v>
      </c>
      <c r="G93" s="3" t="s">
        <v>80</v>
      </c>
      <c r="H93" s="3" t="s">
        <v>28</v>
      </c>
      <c r="I93" s="3" t="s">
        <v>47</v>
      </c>
      <c r="J93" s="6">
        <v>45994</v>
      </c>
      <c r="K93" s="3" t="s">
        <v>30</v>
      </c>
      <c r="L93" s="3" t="s">
        <v>31</v>
      </c>
      <c r="M93" s="3">
        <v>53400</v>
      </c>
      <c r="N93" s="3">
        <v>23</v>
      </c>
      <c r="O93" s="3">
        <v>76.8</v>
      </c>
      <c r="P93" s="3">
        <v>5</v>
      </c>
      <c r="Q93" s="3">
        <v>2</v>
      </c>
      <c r="R93" s="3">
        <v>0</v>
      </c>
      <c r="S93" s="3">
        <v>2</v>
      </c>
      <c r="T93" s="3">
        <v>5</v>
      </c>
      <c r="U93" s="3" t="s">
        <v>123</v>
      </c>
      <c r="V93" s="3">
        <v>4450</v>
      </c>
      <c r="W93" s="3">
        <v>0.7</v>
      </c>
      <c r="X93" s="3" t="s">
        <v>54</v>
      </c>
      <c r="Y93" s="7" t="s">
        <v>42</v>
      </c>
    </row>
    <row r="94" spans="1:25" x14ac:dyDescent="0.3">
      <c r="A94" s="5" t="s">
        <v>255</v>
      </c>
      <c r="B94" s="3" t="s">
        <v>256</v>
      </c>
      <c r="C94" s="3" t="s">
        <v>24</v>
      </c>
      <c r="D94" s="3">
        <v>34</v>
      </c>
      <c r="E94" s="3" t="s">
        <v>160</v>
      </c>
      <c r="F94" s="3" t="s">
        <v>26</v>
      </c>
      <c r="G94" s="3" t="s">
        <v>80</v>
      </c>
      <c r="H94" s="3" t="s">
        <v>28</v>
      </c>
      <c r="I94" s="3" t="s">
        <v>68</v>
      </c>
      <c r="J94" s="6">
        <v>46017</v>
      </c>
      <c r="K94" s="3" t="s">
        <v>30</v>
      </c>
      <c r="L94" s="3" t="s">
        <v>31</v>
      </c>
      <c r="M94" s="3">
        <v>54700</v>
      </c>
      <c r="N94" s="3">
        <v>10</v>
      </c>
      <c r="O94" s="3">
        <v>90.5</v>
      </c>
      <c r="P94" s="3">
        <v>8</v>
      </c>
      <c r="Q94" s="3">
        <v>2</v>
      </c>
      <c r="R94" s="3">
        <v>4</v>
      </c>
      <c r="S94" s="3">
        <v>12</v>
      </c>
      <c r="T94" s="3">
        <v>21</v>
      </c>
      <c r="U94" s="3" t="s">
        <v>104</v>
      </c>
      <c r="V94" s="3">
        <v>4558</v>
      </c>
      <c r="W94" s="3">
        <v>0.6</v>
      </c>
      <c r="X94" s="3" t="s">
        <v>33</v>
      </c>
      <c r="Y94" s="7" t="s">
        <v>75</v>
      </c>
    </row>
    <row r="95" spans="1:25" x14ac:dyDescent="0.3">
      <c r="A95" s="5" t="s">
        <v>257</v>
      </c>
      <c r="B95" s="3" t="s">
        <v>103</v>
      </c>
      <c r="C95" s="3" t="s">
        <v>24</v>
      </c>
      <c r="D95" s="3">
        <v>26</v>
      </c>
      <c r="E95" s="3" t="s">
        <v>45</v>
      </c>
      <c r="F95" s="3" t="s">
        <v>26</v>
      </c>
      <c r="G95" s="3" t="s">
        <v>39</v>
      </c>
      <c r="H95" s="3" t="s">
        <v>28</v>
      </c>
      <c r="I95" s="3" t="s">
        <v>29</v>
      </c>
      <c r="J95" s="6">
        <v>43439</v>
      </c>
      <c r="K95" s="3" t="s">
        <v>30</v>
      </c>
      <c r="L95" s="3" t="s">
        <v>53</v>
      </c>
      <c r="M95" s="3">
        <v>32700</v>
      </c>
      <c r="N95" s="3">
        <v>4</v>
      </c>
      <c r="O95" s="3">
        <v>82.1</v>
      </c>
      <c r="P95" s="3">
        <v>7</v>
      </c>
      <c r="Q95" s="3">
        <v>9</v>
      </c>
      <c r="R95" s="3">
        <v>4</v>
      </c>
      <c r="S95" s="3">
        <v>10</v>
      </c>
      <c r="T95" s="3">
        <v>3</v>
      </c>
      <c r="U95" s="3" t="s">
        <v>104</v>
      </c>
      <c r="V95" s="3">
        <v>2725</v>
      </c>
      <c r="W95" s="3">
        <v>7.7</v>
      </c>
      <c r="X95" s="3" t="s">
        <v>95</v>
      </c>
      <c r="Y95" s="7" t="s">
        <v>55</v>
      </c>
    </row>
    <row r="96" spans="1:25" x14ac:dyDescent="0.3">
      <c r="A96" s="5" t="s">
        <v>258</v>
      </c>
      <c r="B96" s="3" t="s">
        <v>259</v>
      </c>
      <c r="C96" s="3" t="s">
        <v>24</v>
      </c>
      <c r="D96" s="3">
        <v>30</v>
      </c>
      <c r="E96" s="3" t="s">
        <v>37</v>
      </c>
      <c r="F96" s="3" t="s">
        <v>72</v>
      </c>
      <c r="G96" s="3" t="s">
        <v>39</v>
      </c>
      <c r="H96" s="3" t="s">
        <v>115</v>
      </c>
      <c r="I96" s="3" t="s">
        <v>73</v>
      </c>
      <c r="J96" s="6">
        <v>43857</v>
      </c>
      <c r="K96" s="3" t="s">
        <v>30</v>
      </c>
      <c r="L96" s="3" t="s">
        <v>31</v>
      </c>
      <c r="M96" s="3">
        <v>44900</v>
      </c>
      <c r="N96" s="3">
        <v>7</v>
      </c>
      <c r="O96" s="3">
        <v>95.5</v>
      </c>
      <c r="P96" s="3">
        <v>3</v>
      </c>
      <c r="Q96" s="3">
        <v>12</v>
      </c>
      <c r="R96" s="3">
        <v>1</v>
      </c>
      <c r="S96" s="3">
        <v>9</v>
      </c>
      <c r="T96" s="3">
        <v>10</v>
      </c>
      <c r="U96" s="3" t="s">
        <v>130</v>
      </c>
      <c r="V96" s="3">
        <v>3742</v>
      </c>
      <c r="W96" s="3">
        <v>6.5</v>
      </c>
      <c r="X96" s="3" t="s">
        <v>33</v>
      </c>
      <c r="Y96" s="7" t="s">
        <v>55</v>
      </c>
    </row>
    <row r="97" spans="1:25" x14ac:dyDescent="0.3">
      <c r="A97" s="5" t="s">
        <v>260</v>
      </c>
      <c r="B97" s="3" t="s">
        <v>89</v>
      </c>
      <c r="C97" s="3" t="s">
        <v>24</v>
      </c>
      <c r="D97" s="3">
        <v>36</v>
      </c>
      <c r="E97" s="3" t="s">
        <v>118</v>
      </c>
      <c r="F97" s="3" t="s">
        <v>52</v>
      </c>
      <c r="G97" s="3" t="s">
        <v>27</v>
      </c>
      <c r="H97" s="3" t="s">
        <v>28</v>
      </c>
      <c r="I97" s="3" t="s">
        <v>29</v>
      </c>
      <c r="J97" s="6">
        <v>43696</v>
      </c>
      <c r="K97" s="3" t="s">
        <v>30</v>
      </c>
      <c r="L97" s="3" t="s">
        <v>53</v>
      </c>
      <c r="M97" s="3">
        <v>83500</v>
      </c>
      <c r="N97" s="3">
        <v>12</v>
      </c>
      <c r="O97" s="3">
        <v>94.1</v>
      </c>
      <c r="P97" s="3">
        <v>5</v>
      </c>
      <c r="Q97" s="3">
        <v>6</v>
      </c>
      <c r="R97" s="3">
        <v>0</v>
      </c>
      <c r="S97" s="3">
        <v>29</v>
      </c>
      <c r="T97" s="3">
        <v>7</v>
      </c>
      <c r="U97" s="3" t="s">
        <v>74</v>
      </c>
      <c r="V97" s="3">
        <v>6958</v>
      </c>
      <c r="W97" s="3">
        <v>7</v>
      </c>
      <c r="X97" s="3" t="s">
        <v>108</v>
      </c>
      <c r="Y97" s="7" t="s">
        <v>42</v>
      </c>
    </row>
    <row r="98" spans="1:25" x14ac:dyDescent="0.3">
      <c r="A98" s="5" t="s">
        <v>261</v>
      </c>
      <c r="B98" s="3" t="s">
        <v>256</v>
      </c>
      <c r="C98" s="3" t="s">
        <v>24</v>
      </c>
      <c r="D98" s="3">
        <v>24</v>
      </c>
      <c r="E98" s="3" t="s">
        <v>45</v>
      </c>
      <c r="F98" s="3" t="s">
        <v>72</v>
      </c>
      <c r="G98" s="3" t="s">
        <v>46</v>
      </c>
      <c r="H98" s="3" t="s">
        <v>28</v>
      </c>
      <c r="I98" s="3" t="s">
        <v>92</v>
      </c>
      <c r="J98" s="6">
        <v>43536</v>
      </c>
      <c r="K98" s="3" t="s">
        <v>30</v>
      </c>
      <c r="L98" s="3" t="s">
        <v>53</v>
      </c>
      <c r="M98" s="3">
        <v>91000</v>
      </c>
      <c r="N98" s="3">
        <v>5</v>
      </c>
      <c r="O98" s="3">
        <v>85.7</v>
      </c>
      <c r="P98" s="3">
        <v>8</v>
      </c>
      <c r="Q98" s="3">
        <v>12</v>
      </c>
      <c r="R98" s="3">
        <v>4</v>
      </c>
      <c r="S98" s="3">
        <v>8</v>
      </c>
      <c r="T98" s="3">
        <v>30</v>
      </c>
      <c r="U98" s="3" t="s">
        <v>104</v>
      </c>
      <c r="V98" s="3">
        <v>7583</v>
      </c>
      <c r="W98" s="3">
        <v>7.4</v>
      </c>
      <c r="X98" s="3" t="s">
        <v>48</v>
      </c>
      <c r="Y98" s="7" t="s">
        <v>42</v>
      </c>
    </row>
    <row r="99" spans="1:25" x14ac:dyDescent="0.3">
      <c r="A99" s="5" t="s">
        <v>262</v>
      </c>
      <c r="B99" s="3" t="s">
        <v>243</v>
      </c>
      <c r="C99" s="3" t="s">
        <v>24</v>
      </c>
      <c r="D99" s="3">
        <v>28</v>
      </c>
      <c r="E99" s="3" t="s">
        <v>78</v>
      </c>
      <c r="F99" s="3" t="s">
        <v>72</v>
      </c>
      <c r="G99" s="3" t="s">
        <v>27</v>
      </c>
      <c r="H99" s="3" t="s">
        <v>115</v>
      </c>
      <c r="I99" s="3" t="s">
        <v>92</v>
      </c>
      <c r="J99" s="6">
        <v>44574</v>
      </c>
      <c r="K99" s="3" t="s">
        <v>30</v>
      </c>
      <c r="L99" s="3" t="s">
        <v>53</v>
      </c>
      <c r="M99" s="3">
        <v>105800</v>
      </c>
      <c r="N99" s="3">
        <v>8</v>
      </c>
      <c r="O99" s="3">
        <v>91.4</v>
      </c>
      <c r="P99" s="3">
        <v>3</v>
      </c>
      <c r="Q99" s="3">
        <v>11</v>
      </c>
      <c r="R99" s="3">
        <v>2</v>
      </c>
      <c r="S99" s="3">
        <v>29</v>
      </c>
      <c r="T99" s="3">
        <v>28</v>
      </c>
      <c r="U99" s="3" t="s">
        <v>41</v>
      </c>
      <c r="V99" s="3">
        <v>8817</v>
      </c>
      <c r="W99" s="3">
        <v>4.5</v>
      </c>
      <c r="X99" s="3" t="s">
        <v>95</v>
      </c>
      <c r="Y99" s="7" t="s">
        <v>42</v>
      </c>
    </row>
    <row r="100" spans="1:25" x14ac:dyDescent="0.3">
      <c r="A100" s="5" t="s">
        <v>263</v>
      </c>
      <c r="B100" s="3" t="s">
        <v>264</v>
      </c>
      <c r="C100" s="3" t="s">
        <v>24</v>
      </c>
      <c r="D100" s="3">
        <v>45</v>
      </c>
      <c r="E100" s="3" t="s">
        <v>160</v>
      </c>
      <c r="F100" s="3" t="s">
        <v>52</v>
      </c>
      <c r="G100" s="3" t="s">
        <v>39</v>
      </c>
      <c r="H100" s="3" t="s">
        <v>28</v>
      </c>
      <c r="I100" s="3" t="s">
        <v>73</v>
      </c>
      <c r="J100" s="6">
        <v>43477</v>
      </c>
      <c r="K100" s="3" t="s">
        <v>61</v>
      </c>
      <c r="L100" s="3" t="s">
        <v>31</v>
      </c>
      <c r="M100" s="3">
        <v>29700</v>
      </c>
      <c r="N100" s="3">
        <v>21</v>
      </c>
      <c r="O100" s="3">
        <v>81</v>
      </c>
      <c r="P100" s="3">
        <v>8</v>
      </c>
      <c r="Q100" s="3">
        <v>1</v>
      </c>
      <c r="R100" s="3">
        <v>0</v>
      </c>
      <c r="S100" s="3">
        <v>28</v>
      </c>
      <c r="T100" s="3">
        <v>20</v>
      </c>
      <c r="U100" s="3" t="s">
        <v>104</v>
      </c>
      <c r="V100" s="3">
        <v>2475</v>
      </c>
      <c r="W100" s="3">
        <v>7.6</v>
      </c>
      <c r="X100" s="3" t="s">
        <v>54</v>
      </c>
      <c r="Y100" s="7" t="s">
        <v>75</v>
      </c>
    </row>
    <row r="101" spans="1:25" x14ac:dyDescent="0.3">
      <c r="A101" s="5" t="s">
        <v>265</v>
      </c>
      <c r="B101" s="3" t="s">
        <v>266</v>
      </c>
      <c r="C101" s="3" t="s">
        <v>58</v>
      </c>
      <c r="D101" s="3">
        <v>35</v>
      </c>
      <c r="E101" s="3" t="s">
        <v>65</v>
      </c>
      <c r="F101" s="3" t="s">
        <v>66</v>
      </c>
      <c r="G101" s="3" t="s">
        <v>39</v>
      </c>
      <c r="H101" s="3" t="s">
        <v>28</v>
      </c>
      <c r="I101" s="3" t="s">
        <v>68</v>
      </c>
      <c r="J101" s="6">
        <v>45083</v>
      </c>
      <c r="K101" s="3" t="s">
        <v>30</v>
      </c>
      <c r="L101" s="3" t="s">
        <v>53</v>
      </c>
      <c r="M101" s="3">
        <v>28500</v>
      </c>
      <c r="N101" s="3">
        <v>16</v>
      </c>
      <c r="O101" s="3">
        <v>93.2</v>
      </c>
      <c r="P101" s="3">
        <v>7</v>
      </c>
      <c r="Q101" s="3">
        <v>10</v>
      </c>
      <c r="R101" s="3">
        <v>3</v>
      </c>
      <c r="S101" s="3">
        <v>5</v>
      </c>
      <c r="T101" s="3">
        <v>4</v>
      </c>
      <c r="U101" s="3" t="s">
        <v>123</v>
      </c>
      <c r="V101" s="3">
        <v>2375</v>
      </c>
      <c r="W101" s="3">
        <v>3.2</v>
      </c>
      <c r="X101" s="3" t="s">
        <v>108</v>
      </c>
      <c r="Y101" s="7" t="s">
        <v>42</v>
      </c>
    </row>
    <row r="102" spans="1:25" x14ac:dyDescent="0.3">
      <c r="A102" s="5" t="s">
        <v>267</v>
      </c>
      <c r="B102" s="3" t="s">
        <v>268</v>
      </c>
      <c r="C102" s="3" t="s">
        <v>58</v>
      </c>
      <c r="D102" s="3">
        <v>30</v>
      </c>
      <c r="E102" s="3" t="s">
        <v>45</v>
      </c>
      <c r="F102" s="3" t="s">
        <v>52</v>
      </c>
      <c r="G102" s="3" t="s">
        <v>122</v>
      </c>
      <c r="H102" s="3" t="s">
        <v>28</v>
      </c>
      <c r="I102" s="3" t="s">
        <v>107</v>
      </c>
      <c r="J102" s="6">
        <v>45539</v>
      </c>
      <c r="K102" s="3" t="s">
        <v>30</v>
      </c>
      <c r="L102" s="3" t="s">
        <v>53</v>
      </c>
      <c r="M102" s="3">
        <v>20600</v>
      </c>
      <c r="N102" s="3">
        <v>7</v>
      </c>
      <c r="O102" s="3">
        <v>93.3</v>
      </c>
      <c r="P102" s="3">
        <v>2</v>
      </c>
      <c r="Q102" s="3">
        <v>15</v>
      </c>
      <c r="R102" s="3">
        <v>2</v>
      </c>
      <c r="S102" s="3">
        <v>13</v>
      </c>
      <c r="T102" s="3">
        <v>30</v>
      </c>
      <c r="U102" s="3" t="s">
        <v>130</v>
      </c>
      <c r="V102" s="3">
        <v>1717</v>
      </c>
      <c r="W102" s="3">
        <v>1.9</v>
      </c>
      <c r="X102" s="3" t="s">
        <v>33</v>
      </c>
      <c r="Y102" s="7" t="s">
        <v>75</v>
      </c>
    </row>
    <row r="103" spans="1:25" x14ac:dyDescent="0.3">
      <c r="A103" s="5" t="s">
        <v>269</v>
      </c>
      <c r="B103" s="3" t="s">
        <v>220</v>
      </c>
      <c r="C103" s="3" t="s">
        <v>24</v>
      </c>
      <c r="D103" s="3">
        <v>45</v>
      </c>
      <c r="E103" s="3" t="s">
        <v>137</v>
      </c>
      <c r="F103" s="3" t="s">
        <v>79</v>
      </c>
      <c r="G103" s="3" t="s">
        <v>80</v>
      </c>
      <c r="H103" s="3" t="s">
        <v>28</v>
      </c>
      <c r="I103" s="3" t="s">
        <v>107</v>
      </c>
      <c r="J103" s="6">
        <v>45629</v>
      </c>
      <c r="K103" s="3" t="s">
        <v>30</v>
      </c>
      <c r="L103" s="3" t="s">
        <v>31</v>
      </c>
      <c r="M103" s="3">
        <v>57300</v>
      </c>
      <c r="N103" s="3">
        <v>22</v>
      </c>
      <c r="O103" s="3">
        <v>94.8</v>
      </c>
      <c r="P103" s="3">
        <v>8</v>
      </c>
      <c r="Q103" s="3">
        <v>7</v>
      </c>
      <c r="R103" s="3">
        <v>2</v>
      </c>
      <c r="S103" s="3">
        <v>9</v>
      </c>
      <c r="T103" s="3">
        <v>14</v>
      </c>
      <c r="U103" s="3" t="s">
        <v>41</v>
      </c>
      <c r="V103" s="3">
        <v>4775</v>
      </c>
      <c r="W103" s="3">
        <v>1.7</v>
      </c>
      <c r="X103" s="3" t="s">
        <v>54</v>
      </c>
      <c r="Y103" s="7" t="s">
        <v>42</v>
      </c>
    </row>
    <row r="104" spans="1:25" x14ac:dyDescent="0.3">
      <c r="A104" s="5" t="s">
        <v>270</v>
      </c>
      <c r="B104" s="3" t="s">
        <v>271</v>
      </c>
      <c r="C104" s="3" t="s">
        <v>58</v>
      </c>
      <c r="D104" s="3">
        <v>44</v>
      </c>
      <c r="E104" s="3" t="s">
        <v>25</v>
      </c>
      <c r="F104" s="3" t="s">
        <v>26</v>
      </c>
      <c r="G104" s="3" t="s">
        <v>171</v>
      </c>
      <c r="H104" s="3" t="s">
        <v>28</v>
      </c>
      <c r="I104" s="3" t="s">
        <v>40</v>
      </c>
      <c r="J104" s="6">
        <v>45969</v>
      </c>
      <c r="K104" s="3" t="s">
        <v>30</v>
      </c>
      <c r="L104" s="3" t="s">
        <v>53</v>
      </c>
      <c r="M104" s="3">
        <v>112200</v>
      </c>
      <c r="N104" s="3">
        <v>22</v>
      </c>
      <c r="O104" s="3">
        <v>94.1</v>
      </c>
      <c r="P104" s="3">
        <v>4</v>
      </c>
      <c r="Q104" s="3">
        <v>5</v>
      </c>
      <c r="R104" s="3">
        <v>0</v>
      </c>
      <c r="S104" s="3">
        <v>24</v>
      </c>
      <c r="T104" s="3">
        <v>28</v>
      </c>
      <c r="U104" s="3" t="s">
        <v>123</v>
      </c>
      <c r="V104" s="3">
        <v>9350</v>
      </c>
      <c r="W104" s="3">
        <v>0.7</v>
      </c>
      <c r="X104" s="3" t="s">
        <v>62</v>
      </c>
      <c r="Y104" s="7" t="s">
        <v>75</v>
      </c>
    </row>
    <row r="105" spans="1:25" x14ac:dyDescent="0.3">
      <c r="A105" s="5" t="s">
        <v>272</v>
      </c>
      <c r="B105" s="3" t="s">
        <v>273</v>
      </c>
      <c r="C105" s="3" t="s">
        <v>58</v>
      </c>
      <c r="D105" s="3">
        <v>36</v>
      </c>
      <c r="E105" s="3" t="s">
        <v>78</v>
      </c>
      <c r="F105" s="3" t="s">
        <v>52</v>
      </c>
      <c r="G105" s="3" t="s">
        <v>46</v>
      </c>
      <c r="H105" s="3" t="s">
        <v>28</v>
      </c>
      <c r="I105" s="3" t="s">
        <v>86</v>
      </c>
      <c r="J105" s="6">
        <v>43214</v>
      </c>
      <c r="K105" s="3" t="s">
        <v>61</v>
      </c>
      <c r="L105" s="3" t="s">
        <v>31</v>
      </c>
      <c r="M105" s="3">
        <v>67300</v>
      </c>
      <c r="N105" s="3">
        <v>16</v>
      </c>
      <c r="O105" s="3">
        <v>88.3</v>
      </c>
      <c r="P105" s="3">
        <v>0</v>
      </c>
      <c r="Q105" s="3">
        <v>15</v>
      </c>
      <c r="R105" s="3">
        <v>1</v>
      </c>
      <c r="S105" s="3">
        <v>16</v>
      </c>
      <c r="T105" s="3">
        <v>12</v>
      </c>
      <c r="U105" s="3" t="s">
        <v>41</v>
      </c>
      <c r="V105" s="3">
        <v>5608</v>
      </c>
      <c r="W105" s="3">
        <v>8.3000000000000007</v>
      </c>
      <c r="X105" s="3" t="s">
        <v>108</v>
      </c>
      <c r="Y105" s="7" t="s">
        <v>75</v>
      </c>
    </row>
    <row r="106" spans="1:25" x14ac:dyDescent="0.3">
      <c r="A106" s="5" t="s">
        <v>274</v>
      </c>
      <c r="B106" s="3" t="s">
        <v>275</v>
      </c>
      <c r="C106" s="3" t="s">
        <v>58</v>
      </c>
      <c r="D106" s="3">
        <v>25</v>
      </c>
      <c r="E106" s="3" t="s">
        <v>25</v>
      </c>
      <c r="F106" s="3" t="s">
        <v>72</v>
      </c>
      <c r="G106" s="3" t="s">
        <v>80</v>
      </c>
      <c r="H106" s="3" t="s">
        <v>28</v>
      </c>
      <c r="I106" s="3" t="s">
        <v>86</v>
      </c>
      <c r="J106" s="6">
        <v>43874</v>
      </c>
      <c r="K106" s="3" t="s">
        <v>30</v>
      </c>
      <c r="L106" s="3" t="s">
        <v>31</v>
      </c>
      <c r="M106" s="3">
        <v>61900</v>
      </c>
      <c r="N106" s="3">
        <v>1</v>
      </c>
      <c r="O106" s="3">
        <v>85.9</v>
      </c>
      <c r="P106" s="3">
        <v>7</v>
      </c>
      <c r="Q106" s="3">
        <v>11</v>
      </c>
      <c r="R106" s="3">
        <v>3</v>
      </c>
      <c r="S106" s="3">
        <v>1</v>
      </c>
      <c r="T106" s="3">
        <v>29</v>
      </c>
      <c r="U106" s="3" t="s">
        <v>74</v>
      </c>
      <c r="V106" s="3">
        <v>5158</v>
      </c>
      <c r="W106" s="3">
        <v>6.5</v>
      </c>
      <c r="X106" s="3" t="s">
        <v>95</v>
      </c>
      <c r="Y106" s="7" t="s">
        <v>75</v>
      </c>
    </row>
    <row r="107" spans="1:25" x14ac:dyDescent="0.3">
      <c r="A107" s="5" t="s">
        <v>276</v>
      </c>
      <c r="B107" s="3" t="s">
        <v>147</v>
      </c>
      <c r="C107" s="3" t="s">
        <v>58</v>
      </c>
      <c r="D107" s="3">
        <v>34</v>
      </c>
      <c r="E107" s="3" t="s">
        <v>45</v>
      </c>
      <c r="F107" s="3" t="s">
        <v>79</v>
      </c>
      <c r="G107" s="3" t="s">
        <v>27</v>
      </c>
      <c r="H107" s="3" t="s">
        <v>122</v>
      </c>
      <c r="I107" s="3" t="s">
        <v>92</v>
      </c>
      <c r="J107" s="6">
        <v>45027</v>
      </c>
      <c r="K107" s="3" t="s">
        <v>30</v>
      </c>
      <c r="L107" s="3" t="s">
        <v>31</v>
      </c>
      <c r="M107" s="3">
        <v>102700</v>
      </c>
      <c r="N107" s="3">
        <v>11</v>
      </c>
      <c r="O107" s="3">
        <v>87.5</v>
      </c>
      <c r="P107" s="3">
        <v>4</v>
      </c>
      <c r="Q107" s="3">
        <v>10</v>
      </c>
      <c r="R107" s="3">
        <v>4</v>
      </c>
      <c r="S107" s="3">
        <v>25</v>
      </c>
      <c r="T107" s="3">
        <v>15</v>
      </c>
      <c r="U107" s="3" t="s">
        <v>123</v>
      </c>
      <c r="V107" s="3">
        <v>8558</v>
      </c>
      <c r="W107" s="3">
        <v>3.3</v>
      </c>
      <c r="X107" s="3" t="s">
        <v>33</v>
      </c>
      <c r="Y107" s="7" t="s">
        <v>55</v>
      </c>
    </row>
    <row r="108" spans="1:25" x14ac:dyDescent="0.3">
      <c r="A108" s="5" t="s">
        <v>277</v>
      </c>
      <c r="B108" s="3" t="s">
        <v>278</v>
      </c>
      <c r="C108" s="3" t="s">
        <v>24</v>
      </c>
      <c r="D108" s="3">
        <v>48</v>
      </c>
      <c r="E108" s="3" t="s">
        <v>98</v>
      </c>
      <c r="F108" s="3" t="s">
        <v>38</v>
      </c>
      <c r="G108" s="3" t="s">
        <v>46</v>
      </c>
      <c r="H108" s="3" t="s">
        <v>28</v>
      </c>
      <c r="I108" s="3" t="s">
        <v>92</v>
      </c>
      <c r="J108" s="6">
        <v>45320</v>
      </c>
      <c r="K108" s="3" t="s">
        <v>30</v>
      </c>
      <c r="L108" s="3" t="s">
        <v>93</v>
      </c>
      <c r="M108" s="3">
        <v>60300</v>
      </c>
      <c r="N108" s="3">
        <v>24</v>
      </c>
      <c r="O108" s="3">
        <v>90.4</v>
      </c>
      <c r="P108" s="3">
        <v>4</v>
      </c>
      <c r="Q108" s="3">
        <v>11</v>
      </c>
      <c r="R108" s="3">
        <v>4</v>
      </c>
      <c r="S108" s="3">
        <v>1</v>
      </c>
      <c r="T108" s="3">
        <v>18</v>
      </c>
      <c r="U108" s="3" t="s">
        <v>94</v>
      </c>
      <c r="V108" s="3">
        <v>5025</v>
      </c>
      <c r="W108" s="3">
        <v>2.5</v>
      </c>
      <c r="X108" s="3" t="s">
        <v>54</v>
      </c>
      <c r="Y108" s="7" t="s">
        <v>42</v>
      </c>
    </row>
    <row r="109" spans="1:25" x14ac:dyDescent="0.3">
      <c r="A109" s="5" t="s">
        <v>279</v>
      </c>
      <c r="B109" s="3" t="s">
        <v>187</v>
      </c>
      <c r="C109" s="3" t="s">
        <v>58</v>
      </c>
      <c r="D109" s="3">
        <v>22</v>
      </c>
      <c r="E109" s="3" t="s">
        <v>137</v>
      </c>
      <c r="F109" s="3" t="s">
        <v>26</v>
      </c>
      <c r="G109" s="3" t="s">
        <v>122</v>
      </c>
      <c r="H109" s="3" t="s">
        <v>28</v>
      </c>
      <c r="I109" s="3" t="s">
        <v>29</v>
      </c>
      <c r="J109" s="6">
        <v>43118</v>
      </c>
      <c r="K109" s="3" t="s">
        <v>30</v>
      </c>
      <c r="L109" s="3" t="s">
        <v>53</v>
      </c>
      <c r="M109" s="3">
        <v>21400</v>
      </c>
      <c r="N109" s="3">
        <v>1</v>
      </c>
      <c r="O109" s="3">
        <v>84.7</v>
      </c>
      <c r="P109" s="3">
        <v>1</v>
      </c>
      <c r="Q109" s="3">
        <v>13</v>
      </c>
      <c r="R109" s="3">
        <v>1</v>
      </c>
      <c r="S109" s="3">
        <v>26</v>
      </c>
      <c r="T109" s="3">
        <v>19</v>
      </c>
      <c r="U109" s="3" t="s">
        <v>32</v>
      </c>
      <c r="V109" s="3">
        <v>1783</v>
      </c>
      <c r="W109" s="3">
        <v>8.5</v>
      </c>
      <c r="X109" s="3" t="s">
        <v>48</v>
      </c>
      <c r="Y109" s="7" t="s">
        <v>42</v>
      </c>
    </row>
    <row r="110" spans="1:25" x14ac:dyDescent="0.3">
      <c r="A110" s="5" t="s">
        <v>280</v>
      </c>
      <c r="B110" s="3" t="s">
        <v>281</v>
      </c>
      <c r="C110" s="3" t="s">
        <v>58</v>
      </c>
      <c r="D110" s="3">
        <v>50</v>
      </c>
      <c r="E110" s="3" t="s">
        <v>83</v>
      </c>
      <c r="F110" s="3" t="s">
        <v>52</v>
      </c>
      <c r="G110" s="3" t="s">
        <v>27</v>
      </c>
      <c r="H110" s="3" t="s">
        <v>28</v>
      </c>
      <c r="I110" s="3" t="s">
        <v>68</v>
      </c>
      <c r="J110" s="6">
        <v>43335</v>
      </c>
      <c r="K110" s="3" t="s">
        <v>30</v>
      </c>
      <c r="L110" s="3" t="s">
        <v>93</v>
      </c>
      <c r="M110" s="3">
        <v>80000</v>
      </c>
      <c r="N110" s="3">
        <v>30</v>
      </c>
      <c r="O110" s="3">
        <v>89.3</v>
      </c>
      <c r="P110" s="3">
        <v>8</v>
      </c>
      <c r="Q110" s="3">
        <v>15</v>
      </c>
      <c r="R110" s="3">
        <v>3</v>
      </c>
      <c r="S110" s="3">
        <v>23</v>
      </c>
      <c r="T110" s="3">
        <v>6</v>
      </c>
      <c r="U110" s="3" t="s">
        <v>123</v>
      </c>
      <c r="V110" s="3">
        <v>6667</v>
      </c>
      <c r="W110" s="3">
        <v>7.9</v>
      </c>
      <c r="X110" s="3" t="s">
        <v>54</v>
      </c>
      <c r="Y110" s="7" t="s">
        <v>55</v>
      </c>
    </row>
    <row r="111" spans="1:25" x14ac:dyDescent="0.3">
      <c r="A111" s="5" t="s">
        <v>282</v>
      </c>
      <c r="B111" s="3" t="s">
        <v>251</v>
      </c>
      <c r="C111" s="3" t="s">
        <v>24</v>
      </c>
      <c r="D111" s="3">
        <v>47</v>
      </c>
      <c r="E111" s="3" t="s">
        <v>101</v>
      </c>
      <c r="F111" s="3" t="s">
        <v>60</v>
      </c>
      <c r="G111" s="3" t="s">
        <v>80</v>
      </c>
      <c r="H111" s="3" t="s">
        <v>28</v>
      </c>
      <c r="I111" s="3" t="s">
        <v>29</v>
      </c>
      <c r="J111" s="6">
        <v>44434</v>
      </c>
      <c r="K111" s="3" t="s">
        <v>30</v>
      </c>
      <c r="L111" s="3" t="s">
        <v>53</v>
      </c>
      <c r="M111" s="3">
        <v>73000</v>
      </c>
      <c r="N111" s="3">
        <v>27</v>
      </c>
      <c r="O111" s="3">
        <v>89.3</v>
      </c>
      <c r="P111" s="3">
        <v>5</v>
      </c>
      <c r="Q111" s="3">
        <v>8</v>
      </c>
      <c r="R111" s="3">
        <v>3</v>
      </c>
      <c r="S111" s="3">
        <v>3</v>
      </c>
      <c r="T111" s="3">
        <v>26</v>
      </c>
      <c r="U111" s="3" t="s">
        <v>74</v>
      </c>
      <c r="V111" s="3">
        <v>6083</v>
      </c>
      <c r="W111" s="3">
        <v>4.9000000000000004</v>
      </c>
      <c r="X111" s="3" t="s">
        <v>54</v>
      </c>
      <c r="Y111" s="7" t="s">
        <v>75</v>
      </c>
    </row>
    <row r="112" spans="1:25" x14ac:dyDescent="0.3">
      <c r="A112" s="5" t="s">
        <v>283</v>
      </c>
      <c r="B112" s="3" t="s">
        <v>284</v>
      </c>
      <c r="C112" s="3" t="s">
        <v>24</v>
      </c>
      <c r="D112" s="3">
        <v>28</v>
      </c>
      <c r="E112" s="3" t="s">
        <v>101</v>
      </c>
      <c r="F112" s="3" t="s">
        <v>60</v>
      </c>
      <c r="G112" s="3" t="s">
        <v>39</v>
      </c>
      <c r="H112" s="3" t="s">
        <v>28</v>
      </c>
      <c r="I112" s="3" t="s">
        <v>40</v>
      </c>
      <c r="J112" s="6">
        <v>44793</v>
      </c>
      <c r="K112" s="3" t="s">
        <v>61</v>
      </c>
      <c r="L112" s="3" t="s">
        <v>31</v>
      </c>
      <c r="M112" s="3">
        <v>45100</v>
      </c>
      <c r="N112" s="3">
        <v>9</v>
      </c>
      <c r="O112" s="3">
        <v>96.6</v>
      </c>
      <c r="P112" s="3">
        <v>2</v>
      </c>
      <c r="Q112" s="3">
        <v>7</v>
      </c>
      <c r="R112" s="3">
        <v>2</v>
      </c>
      <c r="S112" s="3">
        <v>6</v>
      </c>
      <c r="T112" s="3">
        <v>4</v>
      </c>
      <c r="U112" s="3" t="s">
        <v>41</v>
      </c>
      <c r="V112" s="3">
        <v>3758</v>
      </c>
      <c r="W112" s="3">
        <v>3.9</v>
      </c>
      <c r="X112" s="3" t="s">
        <v>95</v>
      </c>
      <c r="Y112" s="7" t="s">
        <v>42</v>
      </c>
    </row>
    <row r="113" spans="1:25" x14ac:dyDescent="0.3">
      <c r="A113" s="5" t="s">
        <v>285</v>
      </c>
      <c r="B113" s="3" t="s">
        <v>180</v>
      </c>
      <c r="C113" s="3" t="s">
        <v>24</v>
      </c>
      <c r="D113" s="3">
        <v>49</v>
      </c>
      <c r="E113" s="3" t="s">
        <v>101</v>
      </c>
      <c r="F113" s="3" t="s">
        <v>52</v>
      </c>
      <c r="G113" s="3" t="s">
        <v>39</v>
      </c>
      <c r="H113" s="3" t="s">
        <v>115</v>
      </c>
      <c r="I113" s="3" t="s">
        <v>40</v>
      </c>
      <c r="J113" s="6">
        <v>45871</v>
      </c>
      <c r="K113" s="3" t="s">
        <v>30</v>
      </c>
      <c r="L113" s="3" t="s">
        <v>31</v>
      </c>
      <c r="M113" s="3">
        <v>29500</v>
      </c>
      <c r="N113" s="3">
        <v>28</v>
      </c>
      <c r="O113" s="3">
        <v>93.4</v>
      </c>
      <c r="P113" s="3">
        <v>6</v>
      </c>
      <c r="Q113" s="3">
        <v>3</v>
      </c>
      <c r="R113" s="3">
        <v>2</v>
      </c>
      <c r="S113" s="3">
        <v>19</v>
      </c>
      <c r="T113" s="3">
        <v>8</v>
      </c>
      <c r="U113" s="3" t="s">
        <v>130</v>
      </c>
      <c r="V113" s="3">
        <v>2458</v>
      </c>
      <c r="W113" s="3">
        <v>1</v>
      </c>
      <c r="X113" s="3" t="s">
        <v>54</v>
      </c>
      <c r="Y113" s="7" t="s">
        <v>55</v>
      </c>
    </row>
    <row r="114" spans="1:25" x14ac:dyDescent="0.3">
      <c r="A114" s="5" t="s">
        <v>286</v>
      </c>
      <c r="B114" s="3" t="s">
        <v>287</v>
      </c>
      <c r="C114" s="3" t="s">
        <v>24</v>
      </c>
      <c r="D114" s="3">
        <v>31</v>
      </c>
      <c r="E114" s="3" t="s">
        <v>45</v>
      </c>
      <c r="F114" s="3" t="s">
        <v>38</v>
      </c>
      <c r="G114" s="3" t="s">
        <v>80</v>
      </c>
      <c r="H114" s="3" t="s">
        <v>28</v>
      </c>
      <c r="I114" s="3" t="s">
        <v>47</v>
      </c>
      <c r="J114" s="6">
        <v>43381</v>
      </c>
      <c r="K114" s="3" t="s">
        <v>30</v>
      </c>
      <c r="L114" s="3" t="s">
        <v>31</v>
      </c>
      <c r="M114" s="3">
        <v>45100</v>
      </c>
      <c r="N114" s="3">
        <v>11</v>
      </c>
      <c r="O114" s="3">
        <v>87.4</v>
      </c>
      <c r="P114" s="3">
        <v>1</v>
      </c>
      <c r="Q114" s="3">
        <v>7</v>
      </c>
      <c r="R114" s="3">
        <v>3</v>
      </c>
      <c r="S114" s="3">
        <v>3</v>
      </c>
      <c r="T114" s="3">
        <v>7</v>
      </c>
      <c r="U114" s="3" t="s">
        <v>123</v>
      </c>
      <c r="V114" s="3">
        <v>3758</v>
      </c>
      <c r="W114" s="3">
        <v>7.8</v>
      </c>
      <c r="X114" s="3" t="s">
        <v>33</v>
      </c>
      <c r="Y114" s="7" t="s">
        <v>42</v>
      </c>
    </row>
    <row r="115" spans="1:25" x14ac:dyDescent="0.3">
      <c r="A115" s="5" t="s">
        <v>288</v>
      </c>
      <c r="B115" s="3" t="s">
        <v>114</v>
      </c>
      <c r="C115" s="3" t="s">
        <v>58</v>
      </c>
      <c r="D115" s="3">
        <v>38</v>
      </c>
      <c r="E115" s="3" t="s">
        <v>101</v>
      </c>
      <c r="F115" s="3" t="s">
        <v>26</v>
      </c>
      <c r="G115" s="3" t="s">
        <v>80</v>
      </c>
      <c r="H115" s="3" t="s">
        <v>28</v>
      </c>
      <c r="I115" s="3" t="s">
        <v>29</v>
      </c>
      <c r="J115" s="6">
        <v>43931</v>
      </c>
      <c r="K115" s="3" t="s">
        <v>87</v>
      </c>
      <c r="L115" s="3" t="s">
        <v>53</v>
      </c>
      <c r="M115" s="3">
        <v>47100</v>
      </c>
      <c r="N115" s="3">
        <v>17</v>
      </c>
      <c r="O115" s="3">
        <v>92.5</v>
      </c>
      <c r="P115" s="3">
        <v>6</v>
      </c>
      <c r="Q115" s="3">
        <v>3</v>
      </c>
      <c r="R115" s="3">
        <v>0</v>
      </c>
      <c r="S115" s="3">
        <v>7</v>
      </c>
      <c r="T115" s="3">
        <v>28</v>
      </c>
      <c r="U115" s="3" t="s">
        <v>104</v>
      </c>
      <c r="V115" s="3">
        <v>3925</v>
      </c>
      <c r="W115" s="3">
        <v>6.3</v>
      </c>
      <c r="X115" s="3" t="s">
        <v>108</v>
      </c>
      <c r="Y115" s="7" t="s">
        <v>55</v>
      </c>
    </row>
    <row r="116" spans="1:25" x14ac:dyDescent="0.3">
      <c r="A116" s="5" t="s">
        <v>289</v>
      </c>
      <c r="B116" s="3" t="s">
        <v>290</v>
      </c>
      <c r="C116" s="3" t="s">
        <v>58</v>
      </c>
      <c r="D116" s="3">
        <v>37</v>
      </c>
      <c r="E116" s="3" t="s">
        <v>98</v>
      </c>
      <c r="F116" s="3" t="s">
        <v>26</v>
      </c>
      <c r="G116" s="3" t="s">
        <v>80</v>
      </c>
      <c r="H116" s="3" t="s">
        <v>28</v>
      </c>
      <c r="I116" s="3" t="s">
        <v>68</v>
      </c>
      <c r="J116" s="6">
        <v>44239</v>
      </c>
      <c r="K116" s="3" t="s">
        <v>87</v>
      </c>
      <c r="L116" s="3" t="s">
        <v>31</v>
      </c>
      <c r="M116" s="3">
        <v>46300</v>
      </c>
      <c r="N116" s="3">
        <v>13</v>
      </c>
      <c r="O116" s="3">
        <v>93.1</v>
      </c>
      <c r="P116" s="3">
        <v>1</v>
      </c>
      <c r="Q116" s="3">
        <v>10</v>
      </c>
      <c r="R116" s="3">
        <v>0</v>
      </c>
      <c r="S116" s="3">
        <v>13</v>
      </c>
      <c r="T116" s="3">
        <v>4</v>
      </c>
      <c r="U116" s="3" t="s">
        <v>41</v>
      </c>
      <c r="V116" s="3">
        <v>3858</v>
      </c>
      <c r="W116" s="3">
        <v>5.5</v>
      </c>
      <c r="X116" s="3" t="s">
        <v>108</v>
      </c>
      <c r="Y116" s="7" t="s">
        <v>42</v>
      </c>
    </row>
    <row r="117" spans="1:25" x14ac:dyDescent="0.3">
      <c r="A117" s="5" t="s">
        <v>291</v>
      </c>
      <c r="B117" s="3" t="s">
        <v>253</v>
      </c>
      <c r="C117" s="3" t="s">
        <v>24</v>
      </c>
      <c r="D117" s="3">
        <v>35</v>
      </c>
      <c r="E117" s="3" t="s">
        <v>98</v>
      </c>
      <c r="F117" s="3" t="s">
        <v>38</v>
      </c>
      <c r="G117" s="3" t="s">
        <v>39</v>
      </c>
      <c r="H117" s="3" t="s">
        <v>28</v>
      </c>
      <c r="I117" s="3" t="s">
        <v>86</v>
      </c>
      <c r="J117" s="6">
        <v>44796</v>
      </c>
      <c r="K117" s="3" t="s">
        <v>30</v>
      </c>
      <c r="L117" s="3" t="s">
        <v>31</v>
      </c>
      <c r="M117" s="3">
        <v>37400</v>
      </c>
      <c r="N117" s="3">
        <v>14</v>
      </c>
      <c r="O117" s="3">
        <v>82.3</v>
      </c>
      <c r="P117" s="3">
        <v>4</v>
      </c>
      <c r="Q117" s="3">
        <v>14</v>
      </c>
      <c r="R117" s="3">
        <v>0</v>
      </c>
      <c r="S117" s="3">
        <v>26</v>
      </c>
      <c r="T117" s="3">
        <v>28</v>
      </c>
      <c r="U117" s="3" t="s">
        <v>74</v>
      </c>
      <c r="V117" s="3">
        <v>3117</v>
      </c>
      <c r="W117" s="3">
        <v>3.9</v>
      </c>
      <c r="X117" s="3" t="s">
        <v>108</v>
      </c>
      <c r="Y117" s="7" t="s">
        <v>42</v>
      </c>
    </row>
    <row r="118" spans="1:25" x14ac:dyDescent="0.3">
      <c r="A118" s="5" t="s">
        <v>292</v>
      </c>
      <c r="B118" s="3" t="s">
        <v>293</v>
      </c>
      <c r="C118" s="3" t="s">
        <v>58</v>
      </c>
      <c r="D118" s="3">
        <v>27</v>
      </c>
      <c r="E118" s="3" t="s">
        <v>137</v>
      </c>
      <c r="F118" s="3" t="s">
        <v>66</v>
      </c>
      <c r="G118" s="3" t="s">
        <v>46</v>
      </c>
      <c r="H118" s="3" t="s">
        <v>28</v>
      </c>
      <c r="I118" s="3" t="s">
        <v>47</v>
      </c>
      <c r="J118" s="6">
        <v>44791</v>
      </c>
      <c r="K118" s="3" t="s">
        <v>30</v>
      </c>
      <c r="L118" s="3" t="s">
        <v>53</v>
      </c>
      <c r="M118" s="3">
        <v>66100</v>
      </c>
      <c r="N118" s="3">
        <v>5</v>
      </c>
      <c r="O118" s="3">
        <v>100</v>
      </c>
      <c r="P118" s="3">
        <v>8</v>
      </c>
      <c r="Q118" s="3">
        <v>4</v>
      </c>
      <c r="R118" s="3">
        <v>3</v>
      </c>
      <c r="S118" s="3">
        <v>25</v>
      </c>
      <c r="T118" s="3">
        <v>21</v>
      </c>
      <c r="U118" s="3" t="s">
        <v>104</v>
      </c>
      <c r="V118" s="3">
        <v>5508</v>
      </c>
      <c r="W118" s="3">
        <v>4</v>
      </c>
      <c r="X118" s="3" t="s">
        <v>95</v>
      </c>
      <c r="Y118" s="7" t="s">
        <v>42</v>
      </c>
    </row>
    <row r="119" spans="1:25" x14ac:dyDescent="0.3">
      <c r="A119" s="5" t="s">
        <v>294</v>
      </c>
      <c r="B119" s="3" t="s">
        <v>295</v>
      </c>
      <c r="C119" s="3" t="s">
        <v>24</v>
      </c>
      <c r="D119" s="3">
        <v>38</v>
      </c>
      <c r="E119" s="3" t="s">
        <v>78</v>
      </c>
      <c r="F119" s="3" t="s">
        <v>60</v>
      </c>
      <c r="G119" s="3" t="s">
        <v>171</v>
      </c>
      <c r="H119" s="3" t="s">
        <v>28</v>
      </c>
      <c r="I119" s="3" t="s">
        <v>73</v>
      </c>
      <c r="J119" s="6">
        <v>44687</v>
      </c>
      <c r="K119" s="3" t="s">
        <v>30</v>
      </c>
      <c r="L119" s="3" t="s">
        <v>93</v>
      </c>
      <c r="M119" s="3">
        <v>154200</v>
      </c>
      <c r="N119" s="3">
        <v>19</v>
      </c>
      <c r="O119" s="3">
        <v>90.1</v>
      </c>
      <c r="P119" s="3">
        <v>8</v>
      </c>
      <c r="Q119" s="3">
        <v>10</v>
      </c>
      <c r="R119" s="3">
        <v>4</v>
      </c>
      <c r="S119" s="3">
        <v>19</v>
      </c>
      <c r="T119" s="3">
        <v>14</v>
      </c>
      <c r="U119" s="3" t="s">
        <v>32</v>
      </c>
      <c r="V119" s="3">
        <v>12850</v>
      </c>
      <c r="W119" s="3">
        <v>4.2</v>
      </c>
      <c r="X119" s="3" t="s">
        <v>108</v>
      </c>
      <c r="Y119" s="7" t="s">
        <v>75</v>
      </c>
    </row>
    <row r="120" spans="1:25" x14ac:dyDescent="0.3">
      <c r="A120" s="5" t="s">
        <v>296</v>
      </c>
      <c r="B120" s="3" t="s">
        <v>297</v>
      </c>
      <c r="C120" s="3" t="s">
        <v>24</v>
      </c>
      <c r="D120" s="3">
        <v>50</v>
      </c>
      <c r="E120" s="3" t="s">
        <v>160</v>
      </c>
      <c r="F120" s="3" t="s">
        <v>66</v>
      </c>
      <c r="G120" s="3" t="s">
        <v>46</v>
      </c>
      <c r="H120" s="3" t="s">
        <v>28</v>
      </c>
      <c r="I120" s="3" t="s">
        <v>68</v>
      </c>
      <c r="J120" s="6">
        <v>43518</v>
      </c>
      <c r="K120" s="3" t="s">
        <v>30</v>
      </c>
      <c r="L120" s="3" t="s">
        <v>31</v>
      </c>
      <c r="M120" s="3">
        <v>62600</v>
      </c>
      <c r="N120" s="3">
        <v>29</v>
      </c>
      <c r="O120" s="3">
        <v>86.5</v>
      </c>
      <c r="P120" s="3">
        <v>5</v>
      </c>
      <c r="Q120" s="3">
        <v>9</v>
      </c>
      <c r="R120" s="3">
        <v>0</v>
      </c>
      <c r="S120" s="3">
        <v>2</v>
      </c>
      <c r="T120" s="3">
        <v>12</v>
      </c>
      <c r="U120" s="3" t="s">
        <v>123</v>
      </c>
      <c r="V120" s="3">
        <v>5217</v>
      </c>
      <c r="W120" s="3">
        <v>7.4</v>
      </c>
      <c r="X120" s="3" t="s">
        <v>54</v>
      </c>
      <c r="Y120" s="7" t="s">
        <v>75</v>
      </c>
    </row>
    <row r="121" spans="1:25" x14ac:dyDescent="0.3">
      <c r="A121" s="5" t="s">
        <v>298</v>
      </c>
      <c r="B121" s="3" t="s">
        <v>299</v>
      </c>
      <c r="C121" s="3" t="s">
        <v>24</v>
      </c>
      <c r="D121" s="3">
        <v>24</v>
      </c>
      <c r="E121" s="3" t="s">
        <v>160</v>
      </c>
      <c r="F121" s="3" t="s">
        <v>66</v>
      </c>
      <c r="G121" s="3" t="s">
        <v>80</v>
      </c>
      <c r="H121" s="3" t="s">
        <v>28</v>
      </c>
      <c r="I121" s="3" t="s">
        <v>92</v>
      </c>
      <c r="J121" s="6">
        <v>45432</v>
      </c>
      <c r="K121" s="3" t="s">
        <v>30</v>
      </c>
      <c r="L121" s="3" t="s">
        <v>53</v>
      </c>
      <c r="M121" s="3">
        <v>46500</v>
      </c>
      <c r="N121" s="3">
        <v>0</v>
      </c>
      <c r="O121" s="3">
        <v>91.1</v>
      </c>
      <c r="P121" s="3">
        <v>2</v>
      </c>
      <c r="Q121" s="3">
        <v>10</v>
      </c>
      <c r="R121" s="3">
        <v>4</v>
      </c>
      <c r="S121" s="3">
        <v>10</v>
      </c>
      <c r="T121" s="3">
        <v>28</v>
      </c>
      <c r="U121" s="3" t="s">
        <v>32</v>
      </c>
      <c r="V121" s="3">
        <v>3875</v>
      </c>
      <c r="W121" s="3">
        <v>2.2000000000000002</v>
      </c>
      <c r="X121" s="3" t="s">
        <v>48</v>
      </c>
      <c r="Y121" s="7" t="s">
        <v>75</v>
      </c>
    </row>
    <row r="122" spans="1:25" x14ac:dyDescent="0.3">
      <c r="A122" s="5" t="s">
        <v>300</v>
      </c>
      <c r="B122" s="3" t="s">
        <v>136</v>
      </c>
      <c r="C122" s="3" t="s">
        <v>24</v>
      </c>
      <c r="D122" s="3">
        <v>31</v>
      </c>
      <c r="E122" s="3" t="s">
        <v>137</v>
      </c>
      <c r="F122" s="3" t="s">
        <v>66</v>
      </c>
      <c r="G122" s="3" t="s">
        <v>39</v>
      </c>
      <c r="H122" s="3" t="s">
        <v>28</v>
      </c>
      <c r="I122" s="3" t="s">
        <v>40</v>
      </c>
      <c r="J122" s="6">
        <v>43685</v>
      </c>
      <c r="K122" s="3" t="s">
        <v>30</v>
      </c>
      <c r="L122" s="3" t="s">
        <v>53</v>
      </c>
      <c r="M122" s="3">
        <v>29500</v>
      </c>
      <c r="N122" s="3">
        <v>11</v>
      </c>
      <c r="O122" s="3">
        <v>86.4</v>
      </c>
      <c r="P122" s="3">
        <v>3</v>
      </c>
      <c r="Q122" s="3">
        <v>14</v>
      </c>
      <c r="R122" s="3">
        <v>0</v>
      </c>
      <c r="S122" s="3">
        <v>25</v>
      </c>
      <c r="T122" s="3">
        <v>22</v>
      </c>
      <c r="U122" s="3" t="s">
        <v>130</v>
      </c>
      <c r="V122" s="3">
        <v>2458</v>
      </c>
      <c r="W122" s="3">
        <v>7</v>
      </c>
      <c r="X122" s="3" t="s">
        <v>33</v>
      </c>
      <c r="Y122" s="7" t="s">
        <v>42</v>
      </c>
    </row>
    <row r="123" spans="1:25" x14ac:dyDescent="0.3">
      <c r="A123" s="5" t="s">
        <v>301</v>
      </c>
      <c r="B123" s="3" t="s">
        <v>302</v>
      </c>
      <c r="C123" s="3" t="s">
        <v>24</v>
      </c>
      <c r="D123" s="3">
        <v>25</v>
      </c>
      <c r="E123" s="3" t="s">
        <v>83</v>
      </c>
      <c r="F123" s="3" t="s">
        <v>91</v>
      </c>
      <c r="G123" s="3" t="s">
        <v>39</v>
      </c>
      <c r="H123" s="3" t="s">
        <v>28</v>
      </c>
      <c r="I123" s="3" t="s">
        <v>92</v>
      </c>
      <c r="J123" s="6">
        <v>44452</v>
      </c>
      <c r="K123" s="3" t="s">
        <v>30</v>
      </c>
      <c r="L123" s="3" t="s">
        <v>53</v>
      </c>
      <c r="M123" s="3">
        <v>24000</v>
      </c>
      <c r="N123" s="3">
        <v>3</v>
      </c>
      <c r="O123" s="3">
        <v>82.2</v>
      </c>
      <c r="P123" s="3">
        <v>3</v>
      </c>
      <c r="Q123" s="3">
        <v>6</v>
      </c>
      <c r="R123" s="3">
        <v>3</v>
      </c>
      <c r="S123" s="3">
        <v>24</v>
      </c>
      <c r="T123" s="3">
        <v>3</v>
      </c>
      <c r="U123" s="3" t="s">
        <v>32</v>
      </c>
      <c r="V123" s="3">
        <v>2000</v>
      </c>
      <c r="W123" s="3">
        <v>4.9000000000000004</v>
      </c>
      <c r="X123" s="3" t="s">
        <v>95</v>
      </c>
      <c r="Y123" s="7" t="s">
        <v>75</v>
      </c>
    </row>
    <row r="124" spans="1:25" x14ac:dyDescent="0.3">
      <c r="A124" s="5" t="s">
        <v>303</v>
      </c>
      <c r="B124" s="3" t="s">
        <v>304</v>
      </c>
      <c r="C124" s="3" t="s">
        <v>24</v>
      </c>
      <c r="D124" s="3">
        <v>50</v>
      </c>
      <c r="E124" s="3" t="s">
        <v>90</v>
      </c>
      <c r="F124" s="3" t="s">
        <v>52</v>
      </c>
      <c r="G124" s="3" t="s">
        <v>39</v>
      </c>
      <c r="H124" s="3" t="s">
        <v>28</v>
      </c>
      <c r="I124" s="3" t="s">
        <v>107</v>
      </c>
      <c r="J124" s="6">
        <v>44465</v>
      </c>
      <c r="K124" s="3" t="s">
        <v>30</v>
      </c>
      <c r="L124" s="3" t="s">
        <v>53</v>
      </c>
      <c r="M124" s="3">
        <v>35000</v>
      </c>
      <c r="N124" s="3">
        <v>29</v>
      </c>
      <c r="O124" s="3">
        <v>93.8</v>
      </c>
      <c r="P124" s="3">
        <v>8</v>
      </c>
      <c r="Q124" s="3">
        <v>5</v>
      </c>
      <c r="R124" s="3">
        <v>0</v>
      </c>
      <c r="S124" s="3">
        <v>2</v>
      </c>
      <c r="T124" s="3">
        <v>9</v>
      </c>
      <c r="U124" s="3" t="s">
        <v>130</v>
      </c>
      <c r="V124" s="3">
        <v>2917</v>
      </c>
      <c r="W124" s="3">
        <v>4.8</v>
      </c>
      <c r="X124" s="3" t="s">
        <v>54</v>
      </c>
      <c r="Y124" s="7" t="s">
        <v>42</v>
      </c>
    </row>
    <row r="125" spans="1:25" x14ac:dyDescent="0.3">
      <c r="A125" s="5" t="s">
        <v>305</v>
      </c>
      <c r="B125" s="3" t="s">
        <v>251</v>
      </c>
      <c r="C125" s="3" t="s">
        <v>24</v>
      </c>
      <c r="D125" s="3">
        <v>31</v>
      </c>
      <c r="E125" s="3" t="s">
        <v>25</v>
      </c>
      <c r="F125" s="3" t="s">
        <v>52</v>
      </c>
      <c r="G125" s="3" t="s">
        <v>46</v>
      </c>
      <c r="H125" s="3" t="s">
        <v>122</v>
      </c>
      <c r="I125" s="3" t="s">
        <v>92</v>
      </c>
      <c r="J125" s="6">
        <v>45770</v>
      </c>
      <c r="K125" s="3" t="s">
        <v>87</v>
      </c>
      <c r="L125" s="3" t="s">
        <v>93</v>
      </c>
      <c r="M125" s="3">
        <v>61300</v>
      </c>
      <c r="N125" s="3">
        <v>12</v>
      </c>
      <c r="O125" s="3">
        <v>91.2</v>
      </c>
      <c r="P125" s="3">
        <v>3</v>
      </c>
      <c r="Q125" s="3">
        <v>4</v>
      </c>
      <c r="R125" s="3">
        <v>4</v>
      </c>
      <c r="S125" s="3">
        <v>4</v>
      </c>
      <c r="T125" s="3">
        <v>13</v>
      </c>
      <c r="U125" s="3" t="s">
        <v>123</v>
      </c>
      <c r="V125" s="3">
        <v>5108</v>
      </c>
      <c r="W125" s="3">
        <v>1.3</v>
      </c>
      <c r="X125" s="3" t="s">
        <v>33</v>
      </c>
      <c r="Y125" s="7" t="s">
        <v>42</v>
      </c>
    </row>
    <row r="126" spans="1:25" x14ac:dyDescent="0.3">
      <c r="A126" s="5" t="s">
        <v>306</v>
      </c>
      <c r="B126" s="3" t="s">
        <v>259</v>
      </c>
      <c r="C126" s="3" t="s">
        <v>58</v>
      </c>
      <c r="D126" s="3">
        <v>45</v>
      </c>
      <c r="E126" s="3" t="s">
        <v>90</v>
      </c>
      <c r="F126" s="3" t="s">
        <v>66</v>
      </c>
      <c r="G126" s="3" t="s">
        <v>46</v>
      </c>
      <c r="H126" s="3" t="s">
        <v>28</v>
      </c>
      <c r="I126" s="3" t="s">
        <v>107</v>
      </c>
      <c r="J126" s="6">
        <v>45369</v>
      </c>
      <c r="K126" s="3" t="s">
        <v>87</v>
      </c>
      <c r="L126" s="3" t="s">
        <v>31</v>
      </c>
      <c r="M126" s="3">
        <v>68800</v>
      </c>
      <c r="N126" s="3">
        <v>26</v>
      </c>
      <c r="O126" s="3">
        <v>92.3</v>
      </c>
      <c r="P126" s="3">
        <v>3</v>
      </c>
      <c r="Q126" s="3">
        <v>15</v>
      </c>
      <c r="R126" s="3">
        <v>1</v>
      </c>
      <c r="S126" s="3">
        <v>15</v>
      </c>
      <c r="T126" s="3">
        <v>13</v>
      </c>
      <c r="U126" s="3" t="s">
        <v>74</v>
      </c>
      <c r="V126" s="3">
        <v>5733</v>
      </c>
      <c r="W126" s="3">
        <v>2.4</v>
      </c>
      <c r="X126" s="3" t="s">
        <v>54</v>
      </c>
      <c r="Y126" s="7" t="s">
        <v>42</v>
      </c>
    </row>
    <row r="127" spans="1:25" x14ac:dyDescent="0.3">
      <c r="A127" s="5" t="s">
        <v>307</v>
      </c>
      <c r="B127" s="3" t="s">
        <v>97</v>
      </c>
      <c r="C127" s="3" t="s">
        <v>24</v>
      </c>
      <c r="D127" s="3">
        <v>34</v>
      </c>
      <c r="E127" s="3" t="s">
        <v>98</v>
      </c>
      <c r="F127" s="3" t="s">
        <v>91</v>
      </c>
      <c r="G127" s="3" t="s">
        <v>46</v>
      </c>
      <c r="H127" s="3" t="s">
        <v>28</v>
      </c>
      <c r="I127" s="3" t="s">
        <v>68</v>
      </c>
      <c r="J127" s="6">
        <v>45157</v>
      </c>
      <c r="K127" s="3" t="s">
        <v>30</v>
      </c>
      <c r="L127" s="3" t="s">
        <v>53</v>
      </c>
      <c r="M127" s="3">
        <v>59100</v>
      </c>
      <c r="N127" s="3">
        <v>10</v>
      </c>
      <c r="O127" s="3">
        <v>82.5</v>
      </c>
      <c r="P127" s="3">
        <v>4</v>
      </c>
      <c r="Q127" s="3">
        <v>1</v>
      </c>
      <c r="R127" s="3">
        <v>4</v>
      </c>
      <c r="S127" s="3">
        <v>10</v>
      </c>
      <c r="T127" s="3">
        <v>24</v>
      </c>
      <c r="U127" s="3" t="s">
        <v>41</v>
      </c>
      <c r="V127" s="3">
        <v>4925</v>
      </c>
      <c r="W127" s="3">
        <v>3</v>
      </c>
      <c r="X127" s="3" t="s">
        <v>33</v>
      </c>
      <c r="Y127" s="7" t="s">
        <v>42</v>
      </c>
    </row>
    <row r="128" spans="1:25" x14ac:dyDescent="0.3">
      <c r="A128" s="5" t="s">
        <v>308</v>
      </c>
      <c r="B128" s="3" t="s">
        <v>309</v>
      </c>
      <c r="C128" s="3" t="s">
        <v>24</v>
      </c>
      <c r="D128" s="3">
        <v>49</v>
      </c>
      <c r="E128" s="3" t="s">
        <v>98</v>
      </c>
      <c r="F128" s="3" t="s">
        <v>72</v>
      </c>
      <c r="G128" s="3" t="s">
        <v>46</v>
      </c>
      <c r="H128" s="3" t="s">
        <v>28</v>
      </c>
      <c r="I128" s="3" t="s">
        <v>68</v>
      </c>
      <c r="J128" s="6">
        <v>45033</v>
      </c>
      <c r="K128" s="3" t="s">
        <v>30</v>
      </c>
      <c r="L128" s="3" t="s">
        <v>31</v>
      </c>
      <c r="M128" s="3">
        <v>83900</v>
      </c>
      <c r="N128" s="3">
        <v>27</v>
      </c>
      <c r="O128" s="3">
        <v>93.3</v>
      </c>
      <c r="P128" s="3">
        <v>5</v>
      </c>
      <c r="Q128" s="3">
        <v>13</v>
      </c>
      <c r="R128" s="3">
        <v>1</v>
      </c>
      <c r="S128" s="3">
        <v>0</v>
      </c>
      <c r="T128" s="3">
        <v>16</v>
      </c>
      <c r="U128" s="3" t="s">
        <v>94</v>
      </c>
      <c r="V128" s="3">
        <v>6992</v>
      </c>
      <c r="W128" s="3">
        <v>3.3</v>
      </c>
      <c r="X128" s="3" t="s">
        <v>54</v>
      </c>
      <c r="Y128" s="7" t="s">
        <v>55</v>
      </c>
    </row>
    <row r="129" spans="1:25" x14ac:dyDescent="0.3">
      <c r="A129" s="5" t="s">
        <v>310</v>
      </c>
      <c r="B129" s="3" t="s">
        <v>311</v>
      </c>
      <c r="C129" s="3" t="s">
        <v>24</v>
      </c>
      <c r="D129" s="3">
        <v>29</v>
      </c>
      <c r="E129" s="3" t="s">
        <v>65</v>
      </c>
      <c r="F129" s="3" t="s">
        <v>60</v>
      </c>
      <c r="G129" s="3" t="s">
        <v>80</v>
      </c>
      <c r="H129" s="3" t="s">
        <v>28</v>
      </c>
      <c r="I129" s="3" t="s">
        <v>107</v>
      </c>
      <c r="J129" s="6">
        <v>43932</v>
      </c>
      <c r="K129" s="3" t="s">
        <v>30</v>
      </c>
      <c r="L129" s="3" t="s">
        <v>31</v>
      </c>
      <c r="M129" s="3">
        <v>71100</v>
      </c>
      <c r="N129" s="3">
        <v>7</v>
      </c>
      <c r="O129" s="3">
        <v>89.9</v>
      </c>
      <c r="P129" s="3">
        <v>7</v>
      </c>
      <c r="Q129" s="3">
        <v>14</v>
      </c>
      <c r="R129" s="3">
        <v>4</v>
      </c>
      <c r="S129" s="3">
        <v>8</v>
      </c>
      <c r="T129" s="3">
        <v>26</v>
      </c>
      <c r="U129" s="3" t="s">
        <v>41</v>
      </c>
      <c r="V129" s="3">
        <v>5925</v>
      </c>
      <c r="W129" s="3">
        <v>6.3</v>
      </c>
      <c r="X129" s="3" t="s">
        <v>95</v>
      </c>
      <c r="Y129" s="7" t="s">
        <v>42</v>
      </c>
    </row>
    <row r="130" spans="1:25" x14ac:dyDescent="0.3">
      <c r="A130" s="5" t="s">
        <v>312</v>
      </c>
      <c r="B130" s="3" t="s">
        <v>180</v>
      </c>
      <c r="C130" s="3" t="s">
        <v>24</v>
      </c>
      <c r="D130" s="3">
        <v>36</v>
      </c>
      <c r="E130" s="3" t="s">
        <v>98</v>
      </c>
      <c r="F130" s="3" t="s">
        <v>79</v>
      </c>
      <c r="G130" s="3" t="s">
        <v>80</v>
      </c>
      <c r="H130" s="3" t="s">
        <v>28</v>
      </c>
      <c r="I130" s="3" t="s">
        <v>47</v>
      </c>
      <c r="J130" s="6">
        <v>45523</v>
      </c>
      <c r="K130" s="3" t="s">
        <v>30</v>
      </c>
      <c r="L130" s="3" t="s">
        <v>53</v>
      </c>
      <c r="M130" s="3">
        <v>43800</v>
      </c>
      <c r="N130" s="3">
        <v>14</v>
      </c>
      <c r="O130" s="3">
        <v>84.7</v>
      </c>
      <c r="P130" s="3">
        <v>0</v>
      </c>
      <c r="Q130" s="3">
        <v>14</v>
      </c>
      <c r="R130" s="3">
        <v>0</v>
      </c>
      <c r="S130" s="3">
        <v>21</v>
      </c>
      <c r="T130" s="3">
        <v>9</v>
      </c>
      <c r="U130" s="3" t="s">
        <v>123</v>
      </c>
      <c r="V130" s="3">
        <v>3650</v>
      </c>
      <c r="W130" s="3">
        <v>1.9</v>
      </c>
      <c r="X130" s="3" t="s">
        <v>108</v>
      </c>
      <c r="Y130" s="7" t="s">
        <v>42</v>
      </c>
    </row>
    <row r="131" spans="1:25" x14ac:dyDescent="0.3">
      <c r="A131" s="5" t="s">
        <v>313</v>
      </c>
      <c r="B131" s="3" t="s">
        <v>110</v>
      </c>
      <c r="C131" s="3" t="s">
        <v>24</v>
      </c>
      <c r="D131" s="3">
        <v>26</v>
      </c>
      <c r="E131" s="3" t="s">
        <v>25</v>
      </c>
      <c r="F131" s="3" t="s">
        <v>38</v>
      </c>
      <c r="G131" s="3" t="s">
        <v>46</v>
      </c>
      <c r="H131" s="3" t="s">
        <v>28</v>
      </c>
      <c r="I131" s="3" t="s">
        <v>107</v>
      </c>
      <c r="J131" s="6">
        <v>43634</v>
      </c>
      <c r="K131" s="3" t="s">
        <v>30</v>
      </c>
      <c r="L131" s="3" t="s">
        <v>93</v>
      </c>
      <c r="M131" s="3">
        <v>67200</v>
      </c>
      <c r="N131" s="3">
        <v>5</v>
      </c>
      <c r="O131" s="3">
        <v>86.5</v>
      </c>
      <c r="P131" s="3">
        <v>4</v>
      </c>
      <c r="Q131" s="3">
        <v>4</v>
      </c>
      <c r="R131" s="3">
        <v>0</v>
      </c>
      <c r="S131" s="3">
        <v>4</v>
      </c>
      <c r="T131" s="3">
        <v>13</v>
      </c>
      <c r="U131" s="3" t="s">
        <v>123</v>
      </c>
      <c r="V131" s="3">
        <v>5600</v>
      </c>
      <c r="W131" s="3">
        <v>7.1</v>
      </c>
      <c r="X131" s="3" t="s">
        <v>95</v>
      </c>
      <c r="Y131" s="7" t="s">
        <v>55</v>
      </c>
    </row>
    <row r="132" spans="1:25" x14ac:dyDescent="0.3">
      <c r="A132" s="5" t="s">
        <v>314</v>
      </c>
      <c r="B132" s="3" t="s">
        <v>315</v>
      </c>
      <c r="C132" s="3" t="s">
        <v>58</v>
      </c>
      <c r="D132" s="3">
        <v>46</v>
      </c>
      <c r="E132" s="3" t="s">
        <v>90</v>
      </c>
      <c r="F132" s="3" t="s">
        <v>79</v>
      </c>
      <c r="G132" s="3" t="s">
        <v>80</v>
      </c>
      <c r="H132" s="3" t="s">
        <v>28</v>
      </c>
      <c r="I132" s="3" t="s">
        <v>40</v>
      </c>
      <c r="J132" s="6">
        <v>44223</v>
      </c>
      <c r="K132" s="3" t="s">
        <v>30</v>
      </c>
      <c r="L132" s="3" t="s">
        <v>93</v>
      </c>
      <c r="M132" s="3">
        <v>52600</v>
      </c>
      <c r="N132" s="3">
        <v>22</v>
      </c>
      <c r="O132" s="3">
        <v>98.9</v>
      </c>
      <c r="P132" s="3">
        <v>8</v>
      </c>
      <c r="Q132" s="3">
        <v>14</v>
      </c>
      <c r="R132" s="3">
        <v>4</v>
      </c>
      <c r="S132" s="3">
        <v>19</v>
      </c>
      <c r="T132" s="3">
        <v>24</v>
      </c>
      <c r="U132" s="3" t="s">
        <v>130</v>
      </c>
      <c r="V132" s="3">
        <v>4383</v>
      </c>
      <c r="W132" s="3">
        <v>5.5</v>
      </c>
      <c r="X132" s="3" t="s">
        <v>54</v>
      </c>
      <c r="Y132" s="7" t="s">
        <v>55</v>
      </c>
    </row>
    <row r="133" spans="1:25" x14ac:dyDescent="0.3">
      <c r="A133" s="5" t="s">
        <v>316</v>
      </c>
      <c r="B133" s="3" t="s">
        <v>290</v>
      </c>
      <c r="C133" s="3" t="s">
        <v>24</v>
      </c>
      <c r="D133" s="3">
        <v>26</v>
      </c>
      <c r="E133" s="3" t="s">
        <v>101</v>
      </c>
      <c r="F133" s="3" t="s">
        <v>52</v>
      </c>
      <c r="G133" s="3" t="s">
        <v>39</v>
      </c>
      <c r="H133" s="3" t="s">
        <v>28</v>
      </c>
      <c r="I133" s="3" t="s">
        <v>86</v>
      </c>
      <c r="J133" s="6">
        <v>44806</v>
      </c>
      <c r="K133" s="3" t="s">
        <v>30</v>
      </c>
      <c r="L133" s="3" t="s">
        <v>31</v>
      </c>
      <c r="M133" s="3">
        <v>34000</v>
      </c>
      <c r="N133" s="3">
        <v>2</v>
      </c>
      <c r="O133" s="3">
        <v>88.8</v>
      </c>
      <c r="P133" s="3">
        <v>3</v>
      </c>
      <c r="Q133" s="3">
        <v>9</v>
      </c>
      <c r="R133" s="3">
        <v>0</v>
      </c>
      <c r="S133" s="3">
        <v>23</v>
      </c>
      <c r="T133" s="3">
        <v>26</v>
      </c>
      <c r="U133" s="3" t="s">
        <v>123</v>
      </c>
      <c r="V133" s="3">
        <v>2833</v>
      </c>
      <c r="W133" s="3">
        <v>3.9</v>
      </c>
      <c r="X133" s="3" t="s">
        <v>95</v>
      </c>
      <c r="Y133" s="7" t="s">
        <v>55</v>
      </c>
    </row>
    <row r="134" spans="1:25" x14ac:dyDescent="0.3">
      <c r="A134" s="5" t="s">
        <v>317</v>
      </c>
      <c r="B134" s="3" t="s">
        <v>231</v>
      </c>
      <c r="C134" s="3" t="s">
        <v>24</v>
      </c>
      <c r="D134" s="3">
        <v>50</v>
      </c>
      <c r="E134" s="3" t="s">
        <v>37</v>
      </c>
      <c r="F134" s="3" t="s">
        <v>72</v>
      </c>
      <c r="G134" s="3" t="s">
        <v>80</v>
      </c>
      <c r="H134" s="3" t="s">
        <v>115</v>
      </c>
      <c r="I134" s="3" t="s">
        <v>29</v>
      </c>
      <c r="J134" s="6">
        <v>45850</v>
      </c>
      <c r="K134" s="3" t="s">
        <v>30</v>
      </c>
      <c r="L134" s="3" t="s">
        <v>31</v>
      </c>
      <c r="M134" s="3">
        <v>57300</v>
      </c>
      <c r="N134" s="3">
        <v>26</v>
      </c>
      <c r="O134" s="3">
        <v>98.6</v>
      </c>
      <c r="P134" s="3">
        <v>7</v>
      </c>
      <c r="Q134" s="3">
        <v>6</v>
      </c>
      <c r="R134" s="3">
        <v>0</v>
      </c>
      <c r="S134" s="3">
        <v>10</v>
      </c>
      <c r="T134" s="3">
        <v>11</v>
      </c>
      <c r="U134" s="3" t="s">
        <v>123</v>
      </c>
      <c r="V134" s="3">
        <v>4775</v>
      </c>
      <c r="W134" s="3">
        <v>1.1000000000000001</v>
      </c>
      <c r="X134" s="3" t="s">
        <v>54</v>
      </c>
      <c r="Y134" s="7" t="s">
        <v>55</v>
      </c>
    </row>
    <row r="135" spans="1:25" x14ac:dyDescent="0.3">
      <c r="A135" s="5" t="s">
        <v>318</v>
      </c>
      <c r="B135" s="3" t="s">
        <v>178</v>
      </c>
      <c r="C135" s="3" t="s">
        <v>24</v>
      </c>
      <c r="D135" s="3">
        <v>40</v>
      </c>
      <c r="E135" s="3" t="s">
        <v>137</v>
      </c>
      <c r="F135" s="3" t="s">
        <v>60</v>
      </c>
      <c r="G135" s="3" t="s">
        <v>80</v>
      </c>
      <c r="H135" s="3" t="s">
        <v>28</v>
      </c>
      <c r="I135" s="3" t="s">
        <v>68</v>
      </c>
      <c r="J135" s="6">
        <v>45980</v>
      </c>
      <c r="K135" s="3" t="s">
        <v>30</v>
      </c>
      <c r="L135" s="3" t="s">
        <v>53</v>
      </c>
      <c r="M135" s="3">
        <v>69000</v>
      </c>
      <c r="N135" s="3">
        <v>17</v>
      </c>
      <c r="O135" s="3">
        <v>86.2</v>
      </c>
      <c r="P135" s="3">
        <v>8</v>
      </c>
      <c r="Q135" s="3">
        <v>10</v>
      </c>
      <c r="R135" s="3">
        <v>3</v>
      </c>
      <c r="S135" s="3">
        <v>1</v>
      </c>
      <c r="T135" s="3">
        <v>22</v>
      </c>
      <c r="U135" s="3" t="s">
        <v>130</v>
      </c>
      <c r="V135" s="3">
        <v>5750</v>
      </c>
      <c r="W135" s="3">
        <v>0.7</v>
      </c>
      <c r="X135" s="3" t="s">
        <v>62</v>
      </c>
      <c r="Y135" s="7" t="s">
        <v>42</v>
      </c>
    </row>
    <row r="136" spans="1:25" x14ac:dyDescent="0.3">
      <c r="A136" s="5" t="s">
        <v>319</v>
      </c>
      <c r="B136" s="3" t="s">
        <v>320</v>
      </c>
      <c r="C136" s="3" t="s">
        <v>58</v>
      </c>
      <c r="D136" s="3">
        <v>44</v>
      </c>
      <c r="E136" s="3" t="s">
        <v>37</v>
      </c>
      <c r="F136" s="3" t="s">
        <v>38</v>
      </c>
      <c r="G136" s="3" t="s">
        <v>39</v>
      </c>
      <c r="H136" s="3" t="s">
        <v>28</v>
      </c>
      <c r="I136" s="3" t="s">
        <v>47</v>
      </c>
      <c r="J136" s="6">
        <v>45925</v>
      </c>
      <c r="K136" s="3" t="s">
        <v>30</v>
      </c>
      <c r="L136" s="3" t="s">
        <v>53</v>
      </c>
      <c r="M136" s="3">
        <v>39400</v>
      </c>
      <c r="N136" s="3">
        <v>24</v>
      </c>
      <c r="O136" s="3">
        <v>88.1</v>
      </c>
      <c r="P136" s="3">
        <v>0</v>
      </c>
      <c r="Q136" s="3">
        <v>12</v>
      </c>
      <c r="R136" s="3">
        <v>2</v>
      </c>
      <c r="S136" s="3">
        <v>29</v>
      </c>
      <c r="T136" s="3">
        <v>4</v>
      </c>
      <c r="U136" s="3" t="s">
        <v>130</v>
      </c>
      <c r="V136" s="3">
        <v>3283</v>
      </c>
      <c r="W136" s="3">
        <v>0.8</v>
      </c>
      <c r="X136" s="3" t="s">
        <v>62</v>
      </c>
      <c r="Y136" s="7" t="s">
        <v>42</v>
      </c>
    </row>
    <row r="137" spans="1:25" x14ac:dyDescent="0.3">
      <c r="A137" s="5" t="s">
        <v>321</v>
      </c>
      <c r="B137" s="3" t="s">
        <v>145</v>
      </c>
      <c r="C137" s="3" t="s">
        <v>58</v>
      </c>
      <c r="D137" s="3">
        <v>30</v>
      </c>
      <c r="E137" s="3" t="s">
        <v>160</v>
      </c>
      <c r="F137" s="3" t="s">
        <v>66</v>
      </c>
      <c r="G137" s="3" t="s">
        <v>27</v>
      </c>
      <c r="H137" s="3" t="s">
        <v>28</v>
      </c>
      <c r="I137" s="3" t="s">
        <v>73</v>
      </c>
      <c r="J137" s="6">
        <v>44506</v>
      </c>
      <c r="K137" s="3" t="s">
        <v>30</v>
      </c>
      <c r="L137" s="3" t="s">
        <v>53</v>
      </c>
      <c r="M137" s="3">
        <v>75700</v>
      </c>
      <c r="N137" s="3">
        <v>6</v>
      </c>
      <c r="O137" s="3">
        <v>88.9</v>
      </c>
      <c r="P137" s="3">
        <v>7</v>
      </c>
      <c r="Q137" s="3">
        <v>5</v>
      </c>
      <c r="R137" s="3">
        <v>2</v>
      </c>
      <c r="S137" s="3">
        <v>9</v>
      </c>
      <c r="T137" s="3">
        <v>7</v>
      </c>
      <c r="U137" s="3" t="s">
        <v>74</v>
      </c>
      <c r="V137" s="3">
        <v>6308</v>
      </c>
      <c r="W137" s="3">
        <v>4.7</v>
      </c>
      <c r="X137" s="3" t="s">
        <v>33</v>
      </c>
      <c r="Y137" s="7" t="s">
        <v>75</v>
      </c>
    </row>
    <row r="138" spans="1:25" x14ac:dyDescent="0.3">
      <c r="A138" s="5" t="s">
        <v>322</v>
      </c>
      <c r="B138" s="3" t="s">
        <v>323</v>
      </c>
      <c r="C138" s="3" t="s">
        <v>24</v>
      </c>
      <c r="D138" s="3">
        <v>21</v>
      </c>
      <c r="E138" s="3" t="s">
        <v>78</v>
      </c>
      <c r="F138" s="3" t="s">
        <v>72</v>
      </c>
      <c r="G138" s="3" t="s">
        <v>27</v>
      </c>
      <c r="H138" s="3" t="s">
        <v>115</v>
      </c>
      <c r="I138" s="3" t="s">
        <v>40</v>
      </c>
      <c r="J138" s="6">
        <v>44987</v>
      </c>
      <c r="K138" s="3" t="s">
        <v>87</v>
      </c>
      <c r="L138" s="3" t="s">
        <v>93</v>
      </c>
      <c r="M138" s="3">
        <v>137700</v>
      </c>
      <c r="N138" s="3">
        <v>0</v>
      </c>
      <c r="O138" s="3">
        <v>94.9</v>
      </c>
      <c r="P138" s="3">
        <v>7</v>
      </c>
      <c r="Q138" s="3">
        <v>5</v>
      </c>
      <c r="R138" s="3">
        <v>4</v>
      </c>
      <c r="S138" s="3">
        <v>4</v>
      </c>
      <c r="T138" s="3">
        <v>26</v>
      </c>
      <c r="U138" s="3" t="s">
        <v>104</v>
      </c>
      <c r="V138" s="3">
        <v>11475</v>
      </c>
      <c r="W138" s="3">
        <v>3.4</v>
      </c>
      <c r="X138" s="3" t="s">
        <v>48</v>
      </c>
      <c r="Y138" s="7" t="s">
        <v>42</v>
      </c>
    </row>
    <row r="139" spans="1:25" x14ac:dyDescent="0.3">
      <c r="A139" s="5" t="s">
        <v>324</v>
      </c>
      <c r="B139" s="3" t="s">
        <v>323</v>
      </c>
      <c r="C139" s="3" t="s">
        <v>58</v>
      </c>
      <c r="D139" s="3">
        <v>40</v>
      </c>
      <c r="E139" s="3" t="s">
        <v>45</v>
      </c>
      <c r="F139" s="3" t="s">
        <v>38</v>
      </c>
      <c r="G139" s="3" t="s">
        <v>39</v>
      </c>
      <c r="H139" s="3" t="s">
        <v>28</v>
      </c>
      <c r="I139" s="3" t="s">
        <v>29</v>
      </c>
      <c r="J139" s="6">
        <v>46088</v>
      </c>
      <c r="K139" s="3" t="s">
        <v>30</v>
      </c>
      <c r="L139" s="3" t="s">
        <v>53</v>
      </c>
      <c r="M139" s="3">
        <v>34700</v>
      </c>
      <c r="N139" s="3">
        <v>17</v>
      </c>
      <c r="O139" s="3">
        <v>92.2</v>
      </c>
      <c r="P139" s="3">
        <v>4</v>
      </c>
      <c r="Q139" s="3">
        <v>15</v>
      </c>
      <c r="R139" s="3">
        <v>2</v>
      </c>
      <c r="S139" s="3">
        <v>23</v>
      </c>
      <c r="T139" s="3">
        <v>23</v>
      </c>
      <c r="U139" s="3" t="s">
        <v>123</v>
      </c>
      <c r="V139" s="3">
        <v>2892</v>
      </c>
      <c r="W139" s="3">
        <v>0.4</v>
      </c>
      <c r="X139" s="3" t="s">
        <v>62</v>
      </c>
      <c r="Y139" s="7" t="s">
        <v>42</v>
      </c>
    </row>
    <row r="140" spans="1:25" x14ac:dyDescent="0.3">
      <c r="A140" s="5" t="s">
        <v>325</v>
      </c>
      <c r="B140" s="3" t="s">
        <v>326</v>
      </c>
      <c r="C140" s="3" t="s">
        <v>24</v>
      </c>
      <c r="D140" s="3">
        <v>21</v>
      </c>
      <c r="E140" s="3" t="s">
        <v>45</v>
      </c>
      <c r="F140" s="3" t="s">
        <v>79</v>
      </c>
      <c r="G140" s="3" t="s">
        <v>39</v>
      </c>
      <c r="H140" s="3" t="s">
        <v>28</v>
      </c>
      <c r="I140" s="3" t="s">
        <v>47</v>
      </c>
      <c r="J140" s="6">
        <v>43547</v>
      </c>
      <c r="K140" s="3" t="s">
        <v>61</v>
      </c>
      <c r="L140" s="3" t="s">
        <v>31</v>
      </c>
      <c r="M140" s="3">
        <v>40600</v>
      </c>
      <c r="N140" s="3">
        <v>0</v>
      </c>
      <c r="O140" s="3">
        <v>91.8</v>
      </c>
      <c r="P140" s="3">
        <v>1</v>
      </c>
      <c r="Q140" s="3">
        <v>15</v>
      </c>
      <c r="R140" s="3">
        <v>1</v>
      </c>
      <c r="S140" s="3">
        <v>16</v>
      </c>
      <c r="T140" s="3">
        <v>29</v>
      </c>
      <c r="U140" s="3" t="s">
        <v>94</v>
      </c>
      <c r="V140" s="3">
        <v>3383</v>
      </c>
      <c r="W140" s="3">
        <v>7.4</v>
      </c>
      <c r="X140" s="3" t="s">
        <v>48</v>
      </c>
      <c r="Y140" s="7" t="s">
        <v>75</v>
      </c>
    </row>
    <row r="141" spans="1:25" x14ac:dyDescent="0.3">
      <c r="A141" s="5" t="s">
        <v>327</v>
      </c>
      <c r="B141" s="3" t="s">
        <v>147</v>
      </c>
      <c r="C141" s="3" t="s">
        <v>24</v>
      </c>
      <c r="D141" s="3">
        <v>33</v>
      </c>
      <c r="E141" s="3" t="s">
        <v>65</v>
      </c>
      <c r="F141" s="3" t="s">
        <v>38</v>
      </c>
      <c r="G141" s="3" t="s">
        <v>46</v>
      </c>
      <c r="H141" s="3" t="s">
        <v>115</v>
      </c>
      <c r="I141" s="3" t="s">
        <v>86</v>
      </c>
      <c r="J141" s="6">
        <v>45828</v>
      </c>
      <c r="K141" s="3" t="s">
        <v>30</v>
      </c>
      <c r="L141" s="3" t="s">
        <v>93</v>
      </c>
      <c r="M141" s="3">
        <v>63200</v>
      </c>
      <c r="N141" s="3">
        <v>13</v>
      </c>
      <c r="O141" s="3">
        <v>96.2</v>
      </c>
      <c r="P141" s="3">
        <v>6</v>
      </c>
      <c r="Q141" s="3">
        <v>4</v>
      </c>
      <c r="R141" s="3">
        <v>4</v>
      </c>
      <c r="S141" s="3">
        <v>11</v>
      </c>
      <c r="T141" s="3">
        <v>16</v>
      </c>
      <c r="U141" s="3" t="s">
        <v>94</v>
      </c>
      <c r="V141" s="3">
        <v>5267</v>
      </c>
      <c r="W141" s="3">
        <v>1.1000000000000001</v>
      </c>
      <c r="X141" s="3" t="s">
        <v>33</v>
      </c>
      <c r="Y141" s="7" t="s">
        <v>55</v>
      </c>
    </row>
    <row r="142" spans="1:25" x14ac:dyDescent="0.3">
      <c r="A142" s="5" t="s">
        <v>328</v>
      </c>
      <c r="B142" s="3" t="s">
        <v>323</v>
      </c>
      <c r="C142" s="3" t="s">
        <v>24</v>
      </c>
      <c r="D142" s="3">
        <v>37</v>
      </c>
      <c r="E142" s="3" t="s">
        <v>37</v>
      </c>
      <c r="F142" s="3" t="s">
        <v>52</v>
      </c>
      <c r="G142" s="3" t="s">
        <v>39</v>
      </c>
      <c r="H142" s="3" t="s">
        <v>28</v>
      </c>
      <c r="I142" s="3" t="s">
        <v>86</v>
      </c>
      <c r="J142" s="6">
        <v>45492</v>
      </c>
      <c r="K142" s="3" t="s">
        <v>61</v>
      </c>
      <c r="L142" s="3" t="s">
        <v>93</v>
      </c>
      <c r="M142" s="3">
        <v>36600</v>
      </c>
      <c r="N142" s="3">
        <v>15</v>
      </c>
      <c r="O142" s="3">
        <v>94</v>
      </c>
      <c r="P142" s="3">
        <v>4</v>
      </c>
      <c r="Q142" s="3">
        <v>13</v>
      </c>
      <c r="R142" s="3">
        <v>4</v>
      </c>
      <c r="S142" s="3">
        <v>2</v>
      </c>
      <c r="T142" s="3">
        <v>15</v>
      </c>
      <c r="U142" s="3" t="s">
        <v>123</v>
      </c>
      <c r="V142" s="3">
        <v>3050</v>
      </c>
      <c r="W142" s="3">
        <v>2</v>
      </c>
      <c r="X142" s="3" t="s">
        <v>108</v>
      </c>
      <c r="Y142" s="7" t="s">
        <v>75</v>
      </c>
    </row>
    <row r="143" spans="1:25" x14ac:dyDescent="0.3">
      <c r="A143" s="5" t="s">
        <v>329</v>
      </c>
      <c r="B143" s="3" t="s">
        <v>330</v>
      </c>
      <c r="C143" s="3" t="s">
        <v>58</v>
      </c>
      <c r="D143" s="3">
        <v>35</v>
      </c>
      <c r="E143" s="3" t="s">
        <v>37</v>
      </c>
      <c r="F143" s="3" t="s">
        <v>38</v>
      </c>
      <c r="G143" s="3" t="s">
        <v>80</v>
      </c>
      <c r="H143" s="3" t="s">
        <v>28</v>
      </c>
      <c r="I143" s="3" t="s">
        <v>68</v>
      </c>
      <c r="J143" s="6">
        <v>45573</v>
      </c>
      <c r="K143" s="3" t="s">
        <v>87</v>
      </c>
      <c r="L143" s="3" t="s">
        <v>53</v>
      </c>
      <c r="M143" s="3">
        <v>41700</v>
      </c>
      <c r="N143" s="3">
        <v>15</v>
      </c>
      <c r="O143" s="3">
        <v>84.2</v>
      </c>
      <c r="P143" s="3">
        <v>4</v>
      </c>
      <c r="Q143" s="3">
        <v>13</v>
      </c>
      <c r="R143" s="3">
        <v>1</v>
      </c>
      <c r="S143" s="3">
        <v>6</v>
      </c>
      <c r="T143" s="3">
        <v>4</v>
      </c>
      <c r="U143" s="3" t="s">
        <v>123</v>
      </c>
      <c r="V143" s="3">
        <v>3475</v>
      </c>
      <c r="W143" s="3">
        <v>1.8</v>
      </c>
      <c r="X143" s="3" t="s">
        <v>108</v>
      </c>
      <c r="Y143" s="7" t="s">
        <v>55</v>
      </c>
    </row>
    <row r="144" spans="1:25" x14ac:dyDescent="0.3">
      <c r="A144" s="5" t="s">
        <v>331</v>
      </c>
      <c r="B144" s="3" t="s">
        <v>330</v>
      </c>
      <c r="C144" s="3" t="s">
        <v>58</v>
      </c>
      <c r="D144" s="3">
        <v>47</v>
      </c>
      <c r="E144" s="3" t="s">
        <v>101</v>
      </c>
      <c r="F144" s="3" t="s">
        <v>60</v>
      </c>
      <c r="G144" s="3" t="s">
        <v>39</v>
      </c>
      <c r="H144" s="3" t="s">
        <v>28</v>
      </c>
      <c r="I144" s="3" t="s">
        <v>47</v>
      </c>
      <c r="J144" s="6">
        <v>43725</v>
      </c>
      <c r="K144" s="3" t="s">
        <v>30</v>
      </c>
      <c r="L144" s="3" t="s">
        <v>31</v>
      </c>
      <c r="M144" s="3">
        <v>49500</v>
      </c>
      <c r="N144" s="3">
        <v>25</v>
      </c>
      <c r="O144" s="3">
        <v>95.8</v>
      </c>
      <c r="P144" s="3">
        <v>5</v>
      </c>
      <c r="Q144" s="3">
        <v>14</v>
      </c>
      <c r="R144" s="3">
        <v>2</v>
      </c>
      <c r="S144" s="3">
        <v>10</v>
      </c>
      <c r="T144" s="3">
        <v>19</v>
      </c>
      <c r="U144" s="3" t="s">
        <v>32</v>
      </c>
      <c r="V144" s="3">
        <v>4125</v>
      </c>
      <c r="W144" s="3">
        <v>6.9</v>
      </c>
      <c r="X144" s="3" t="s">
        <v>54</v>
      </c>
      <c r="Y144" s="7" t="s">
        <v>75</v>
      </c>
    </row>
    <row r="145" spans="1:25" x14ac:dyDescent="0.3">
      <c r="A145" s="5" t="s">
        <v>332</v>
      </c>
      <c r="B145" s="3" t="s">
        <v>333</v>
      </c>
      <c r="C145" s="3" t="s">
        <v>24</v>
      </c>
      <c r="D145" s="3">
        <v>30</v>
      </c>
      <c r="E145" s="3" t="s">
        <v>90</v>
      </c>
      <c r="F145" s="3" t="s">
        <v>52</v>
      </c>
      <c r="G145" s="3" t="s">
        <v>39</v>
      </c>
      <c r="H145" s="3" t="s">
        <v>115</v>
      </c>
      <c r="I145" s="3" t="s">
        <v>40</v>
      </c>
      <c r="J145" s="6">
        <v>44964</v>
      </c>
      <c r="K145" s="3" t="s">
        <v>30</v>
      </c>
      <c r="L145" s="3" t="s">
        <v>31</v>
      </c>
      <c r="M145" s="3">
        <v>35300</v>
      </c>
      <c r="N145" s="3">
        <v>11</v>
      </c>
      <c r="O145" s="3">
        <v>85.6</v>
      </c>
      <c r="P145" s="3">
        <v>7</v>
      </c>
      <c r="Q145" s="3">
        <v>8</v>
      </c>
      <c r="R145" s="3">
        <v>1</v>
      </c>
      <c r="S145" s="3">
        <v>30</v>
      </c>
      <c r="T145" s="3">
        <v>22</v>
      </c>
      <c r="U145" s="3" t="s">
        <v>130</v>
      </c>
      <c r="V145" s="3">
        <v>2942</v>
      </c>
      <c r="W145" s="3">
        <v>3.5</v>
      </c>
      <c r="X145" s="3" t="s">
        <v>33</v>
      </c>
      <c r="Y145" s="7" t="s">
        <v>42</v>
      </c>
    </row>
    <row r="146" spans="1:25" x14ac:dyDescent="0.3">
      <c r="A146" s="5" t="s">
        <v>334</v>
      </c>
      <c r="B146" s="3" t="s">
        <v>335</v>
      </c>
      <c r="C146" s="3" t="s">
        <v>24</v>
      </c>
      <c r="D146" s="3">
        <v>28</v>
      </c>
      <c r="E146" s="3" t="s">
        <v>118</v>
      </c>
      <c r="F146" s="3" t="s">
        <v>91</v>
      </c>
      <c r="G146" s="3" t="s">
        <v>46</v>
      </c>
      <c r="H146" s="3" t="s">
        <v>115</v>
      </c>
      <c r="I146" s="3" t="s">
        <v>107</v>
      </c>
      <c r="J146" s="6">
        <v>45454</v>
      </c>
      <c r="K146" s="3" t="s">
        <v>30</v>
      </c>
      <c r="L146" s="3" t="s">
        <v>31</v>
      </c>
      <c r="M146" s="3">
        <v>50700</v>
      </c>
      <c r="N146" s="3">
        <v>7</v>
      </c>
      <c r="O146" s="3">
        <v>95.9</v>
      </c>
      <c r="P146" s="3">
        <v>0</v>
      </c>
      <c r="Q146" s="3">
        <v>0</v>
      </c>
      <c r="R146" s="3">
        <v>0</v>
      </c>
      <c r="S146" s="3">
        <v>10</v>
      </c>
      <c r="T146" s="3">
        <v>25</v>
      </c>
      <c r="U146" s="3" t="s">
        <v>74</v>
      </c>
      <c r="V146" s="3">
        <v>4225</v>
      </c>
      <c r="W146" s="3">
        <v>2.1</v>
      </c>
      <c r="X146" s="3" t="s">
        <v>95</v>
      </c>
      <c r="Y146" s="7" t="s">
        <v>75</v>
      </c>
    </row>
    <row r="147" spans="1:25" x14ac:dyDescent="0.3">
      <c r="A147" s="5" t="s">
        <v>336</v>
      </c>
      <c r="B147" s="3" t="s">
        <v>337</v>
      </c>
      <c r="C147" s="3" t="s">
        <v>58</v>
      </c>
      <c r="D147" s="3">
        <v>26</v>
      </c>
      <c r="E147" s="3" t="s">
        <v>51</v>
      </c>
      <c r="F147" s="3" t="s">
        <v>72</v>
      </c>
      <c r="G147" s="3" t="s">
        <v>27</v>
      </c>
      <c r="H147" s="3" t="s">
        <v>115</v>
      </c>
      <c r="I147" s="3" t="s">
        <v>68</v>
      </c>
      <c r="J147" s="6">
        <v>45296</v>
      </c>
      <c r="K147" s="3" t="s">
        <v>30</v>
      </c>
      <c r="L147" s="3" t="s">
        <v>31</v>
      </c>
      <c r="M147" s="3">
        <v>109800</v>
      </c>
      <c r="N147" s="3">
        <v>6</v>
      </c>
      <c r="O147" s="3">
        <v>93.2</v>
      </c>
      <c r="P147" s="3">
        <v>2</v>
      </c>
      <c r="Q147" s="3">
        <v>3</v>
      </c>
      <c r="R147" s="3">
        <v>4</v>
      </c>
      <c r="S147" s="3">
        <v>25</v>
      </c>
      <c r="T147" s="3">
        <v>25</v>
      </c>
      <c r="U147" s="3" t="s">
        <v>41</v>
      </c>
      <c r="V147" s="3">
        <v>9150</v>
      </c>
      <c r="W147" s="3">
        <v>2.6</v>
      </c>
      <c r="X147" s="3" t="s">
        <v>95</v>
      </c>
      <c r="Y147" s="7" t="s">
        <v>55</v>
      </c>
    </row>
    <row r="148" spans="1:25" x14ac:dyDescent="0.3">
      <c r="A148" s="5" t="s">
        <v>338</v>
      </c>
      <c r="B148" s="3" t="s">
        <v>200</v>
      </c>
      <c r="C148" s="3" t="s">
        <v>58</v>
      </c>
      <c r="D148" s="3">
        <v>23</v>
      </c>
      <c r="E148" s="3" t="s">
        <v>37</v>
      </c>
      <c r="F148" s="3" t="s">
        <v>38</v>
      </c>
      <c r="G148" s="3" t="s">
        <v>39</v>
      </c>
      <c r="H148" s="3" t="s">
        <v>28</v>
      </c>
      <c r="I148" s="3" t="s">
        <v>29</v>
      </c>
      <c r="J148" s="6">
        <v>45997</v>
      </c>
      <c r="K148" s="3" t="s">
        <v>30</v>
      </c>
      <c r="L148" s="3" t="s">
        <v>53</v>
      </c>
      <c r="M148" s="3">
        <v>37600</v>
      </c>
      <c r="N148" s="3">
        <v>4</v>
      </c>
      <c r="O148" s="3">
        <v>93.8</v>
      </c>
      <c r="P148" s="3">
        <v>6</v>
      </c>
      <c r="Q148" s="3">
        <v>15</v>
      </c>
      <c r="R148" s="3">
        <v>3</v>
      </c>
      <c r="S148" s="3">
        <v>11</v>
      </c>
      <c r="T148" s="3">
        <v>18</v>
      </c>
      <c r="U148" s="3" t="s">
        <v>74</v>
      </c>
      <c r="V148" s="3">
        <v>3133</v>
      </c>
      <c r="W148" s="3">
        <v>0.7</v>
      </c>
      <c r="X148" s="3" t="s">
        <v>48</v>
      </c>
      <c r="Y148" s="7" t="s">
        <v>42</v>
      </c>
    </row>
    <row r="149" spans="1:25" x14ac:dyDescent="0.3">
      <c r="A149" s="5" t="s">
        <v>339</v>
      </c>
      <c r="B149" s="3" t="s">
        <v>97</v>
      </c>
      <c r="C149" s="3" t="s">
        <v>24</v>
      </c>
      <c r="D149" s="3">
        <v>35</v>
      </c>
      <c r="E149" s="3" t="s">
        <v>59</v>
      </c>
      <c r="F149" s="3" t="s">
        <v>66</v>
      </c>
      <c r="G149" s="3" t="s">
        <v>80</v>
      </c>
      <c r="H149" s="3" t="s">
        <v>115</v>
      </c>
      <c r="I149" s="3" t="s">
        <v>73</v>
      </c>
      <c r="J149" s="6">
        <v>43832</v>
      </c>
      <c r="K149" s="3" t="s">
        <v>87</v>
      </c>
      <c r="L149" s="3" t="s">
        <v>31</v>
      </c>
      <c r="M149" s="3">
        <v>47200</v>
      </c>
      <c r="N149" s="3">
        <v>12</v>
      </c>
      <c r="O149" s="3">
        <v>88.8</v>
      </c>
      <c r="P149" s="3">
        <v>8</v>
      </c>
      <c r="Q149" s="3">
        <v>6</v>
      </c>
      <c r="R149" s="3">
        <v>1</v>
      </c>
      <c r="S149" s="3">
        <v>4</v>
      </c>
      <c r="T149" s="3">
        <v>29</v>
      </c>
      <c r="U149" s="3" t="s">
        <v>130</v>
      </c>
      <c r="V149" s="3">
        <v>3933</v>
      </c>
      <c r="W149" s="3">
        <v>6.6</v>
      </c>
      <c r="X149" s="3" t="s">
        <v>108</v>
      </c>
      <c r="Y149" s="7" t="s">
        <v>55</v>
      </c>
    </row>
    <row r="150" spans="1:25" x14ac:dyDescent="0.3">
      <c r="A150" s="5" t="s">
        <v>340</v>
      </c>
      <c r="B150" s="3" t="s">
        <v>222</v>
      </c>
      <c r="C150" s="3" t="s">
        <v>58</v>
      </c>
      <c r="D150" s="3">
        <v>33</v>
      </c>
      <c r="E150" s="3" t="s">
        <v>25</v>
      </c>
      <c r="F150" s="3" t="s">
        <v>79</v>
      </c>
      <c r="G150" s="3" t="s">
        <v>39</v>
      </c>
      <c r="H150" s="3" t="s">
        <v>28</v>
      </c>
      <c r="I150" s="3" t="s">
        <v>92</v>
      </c>
      <c r="J150" s="6">
        <v>45602</v>
      </c>
      <c r="K150" s="3" t="s">
        <v>30</v>
      </c>
      <c r="L150" s="3" t="s">
        <v>53</v>
      </c>
      <c r="M150" s="3">
        <v>33900</v>
      </c>
      <c r="N150" s="3">
        <v>10</v>
      </c>
      <c r="O150" s="3">
        <v>85.6</v>
      </c>
      <c r="P150" s="3">
        <v>1</v>
      </c>
      <c r="Q150" s="3">
        <v>15</v>
      </c>
      <c r="R150" s="3">
        <v>4</v>
      </c>
      <c r="S150" s="3">
        <v>9</v>
      </c>
      <c r="T150" s="3">
        <v>15</v>
      </c>
      <c r="U150" s="3" t="s">
        <v>94</v>
      </c>
      <c r="V150" s="3">
        <v>2825</v>
      </c>
      <c r="W150" s="3">
        <v>1.7</v>
      </c>
      <c r="X150" s="3" t="s">
        <v>33</v>
      </c>
      <c r="Y150" s="7" t="s">
        <v>42</v>
      </c>
    </row>
    <row r="151" spans="1:25" x14ac:dyDescent="0.3">
      <c r="A151" s="5" t="s">
        <v>341</v>
      </c>
      <c r="B151" s="3" t="s">
        <v>342</v>
      </c>
      <c r="C151" s="3" t="s">
        <v>58</v>
      </c>
      <c r="D151" s="3">
        <v>30</v>
      </c>
      <c r="E151" s="3" t="s">
        <v>25</v>
      </c>
      <c r="F151" s="3" t="s">
        <v>60</v>
      </c>
      <c r="G151" s="3" t="s">
        <v>39</v>
      </c>
      <c r="H151" s="3" t="s">
        <v>28</v>
      </c>
      <c r="I151" s="3" t="s">
        <v>68</v>
      </c>
      <c r="J151" s="6">
        <v>44038</v>
      </c>
      <c r="K151" s="3" t="s">
        <v>30</v>
      </c>
      <c r="L151" s="3" t="s">
        <v>53</v>
      </c>
      <c r="M151" s="3">
        <v>43200</v>
      </c>
      <c r="N151" s="3">
        <v>10</v>
      </c>
      <c r="O151" s="3">
        <v>90.2</v>
      </c>
      <c r="P151" s="3">
        <v>3</v>
      </c>
      <c r="Q151" s="3">
        <v>0</v>
      </c>
      <c r="R151" s="3">
        <v>4</v>
      </c>
      <c r="S151" s="3">
        <v>24</v>
      </c>
      <c r="T151" s="3">
        <v>15</v>
      </c>
      <c r="U151" s="3" t="s">
        <v>104</v>
      </c>
      <c r="V151" s="3">
        <v>3600</v>
      </c>
      <c r="W151" s="3">
        <v>6</v>
      </c>
      <c r="X151" s="3" t="s">
        <v>33</v>
      </c>
      <c r="Y151" s="7" t="s">
        <v>42</v>
      </c>
    </row>
    <row r="152" spans="1:25" x14ac:dyDescent="0.3">
      <c r="A152" s="5" t="s">
        <v>343</v>
      </c>
      <c r="B152" s="3" t="s">
        <v>281</v>
      </c>
      <c r="C152" s="3" t="s">
        <v>24</v>
      </c>
      <c r="D152" s="3">
        <v>49</v>
      </c>
      <c r="E152" s="3" t="s">
        <v>118</v>
      </c>
      <c r="F152" s="3" t="s">
        <v>72</v>
      </c>
      <c r="G152" s="3" t="s">
        <v>171</v>
      </c>
      <c r="H152" s="3" t="s">
        <v>28</v>
      </c>
      <c r="I152" s="3" t="s">
        <v>40</v>
      </c>
      <c r="J152" s="6">
        <v>45181</v>
      </c>
      <c r="K152" s="3" t="s">
        <v>30</v>
      </c>
      <c r="L152" s="3" t="s">
        <v>53</v>
      </c>
      <c r="M152" s="3">
        <v>171500</v>
      </c>
      <c r="N152" s="3">
        <v>27</v>
      </c>
      <c r="O152" s="3">
        <v>92.5</v>
      </c>
      <c r="P152" s="3">
        <v>3</v>
      </c>
      <c r="Q152" s="3">
        <v>12</v>
      </c>
      <c r="R152" s="3">
        <v>1</v>
      </c>
      <c r="S152" s="3">
        <v>11</v>
      </c>
      <c r="T152" s="3">
        <v>17</v>
      </c>
      <c r="U152" s="3" t="s">
        <v>94</v>
      </c>
      <c r="V152" s="3">
        <v>14292</v>
      </c>
      <c r="W152" s="3">
        <v>2.9</v>
      </c>
      <c r="X152" s="3" t="s">
        <v>54</v>
      </c>
      <c r="Y152" s="7" t="s">
        <v>75</v>
      </c>
    </row>
    <row r="153" spans="1:25" x14ac:dyDescent="0.3">
      <c r="A153" s="5" t="s">
        <v>344</v>
      </c>
      <c r="B153" s="3" t="s">
        <v>345</v>
      </c>
      <c r="C153" s="3" t="s">
        <v>24</v>
      </c>
      <c r="D153" s="3">
        <v>27</v>
      </c>
      <c r="E153" s="3" t="s">
        <v>90</v>
      </c>
      <c r="F153" s="3" t="s">
        <v>72</v>
      </c>
      <c r="G153" s="3" t="s">
        <v>46</v>
      </c>
      <c r="H153" s="3" t="s">
        <v>28</v>
      </c>
      <c r="I153" s="3" t="s">
        <v>92</v>
      </c>
      <c r="J153" s="6">
        <v>44856</v>
      </c>
      <c r="K153" s="3" t="s">
        <v>30</v>
      </c>
      <c r="L153" s="3" t="s">
        <v>53</v>
      </c>
      <c r="M153" s="3">
        <v>90700</v>
      </c>
      <c r="N153" s="3">
        <v>6</v>
      </c>
      <c r="O153" s="3">
        <v>93.9</v>
      </c>
      <c r="P153" s="3">
        <v>6</v>
      </c>
      <c r="Q153" s="3">
        <v>11</v>
      </c>
      <c r="R153" s="3">
        <v>3</v>
      </c>
      <c r="S153" s="3">
        <v>13</v>
      </c>
      <c r="T153" s="3">
        <v>20</v>
      </c>
      <c r="U153" s="3" t="s">
        <v>94</v>
      </c>
      <c r="V153" s="3">
        <v>7558</v>
      </c>
      <c r="W153" s="3">
        <v>3.8</v>
      </c>
      <c r="X153" s="3" t="s">
        <v>95</v>
      </c>
      <c r="Y153" s="7" t="s">
        <v>42</v>
      </c>
    </row>
    <row r="154" spans="1:25" x14ac:dyDescent="0.3">
      <c r="A154" s="5" t="s">
        <v>346</v>
      </c>
      <c r="B154" s="3" t="s">
        <v>264</v>
      </c>
      <c r="C154" s="3" t="s">
        <v>24</v>
      </c>
      <c r="D154" s="3">
        <v>30</v>
      </c>
      <c r="E154" s="3" t="s">
        <v>101</v>
      </c>
      <c r="F154" s="3" t="s">
        <v>60</v>
      </c>
      <c r="G154" s="3" t="s">
        <v>80</v>
      </c>
      <c r="H154" s="3" t="s">
        <v>28</v>
      </c>
      <c r="I154" s="3" t="s">
        <v>29</v>
      </c>
      <c r="J154" s="6">
        <v>44625</v>
      </c>
      <c r="K154" s="3" t="s">
        <v>30</v>
      </c>
      <c r="L154" s="3" t="s">
        <v>31</v>
      </c>
      <c r="M154" s="3">
        <v>54500</v>
      </c>
      <c r="N154" s="3">
        <v>9</v>
      </c>
      <c r="O154" s="3">
        <v>88.4</v>
      </c>
      <c r="P154" s="3">
        <v>4</v>
      </c>
      <c r="Q154" s="3">
        <v>10</v>
      </c>
      <c r="R154" s="3">
        <v>4</v>
      </c>
      <c r="S154" s="3">
        <v>0</v>
      </c>
      <c r="T154" s="3">
        <v>28</v>
      </c>
      <c r="U154" s="3" t="s">
        <v>104</v>
      </c>
      <c r="V154" s="3">
        <v>4542</v>
      </c>
      <c r="W154" s="3">
        <v>4.4000000000000004</v>
      </c>
      <c r="X154" s="3" t="s">
        <v>33</v>
      </c>
      <c r="Y154" s="7" t="s">
        <v>42</v>
      </c>
    </row>
    <row r="155" spans="1:25" x14ac:dyDescent="0.3">
      <c r="A155" s="5" t="s">
        <v>347</v>
      </c>
      <c r="B155" s="3" t="s">
        <v>97</v>
      </c>
      <c r="C155" s="3" t="s">
        <v>58</v>
      </c>
      <c r="D155" s="3">
        <v>46</v>
      </c>
      <c r="E155" s="3" t="s">
        <v>71</v>
      </c>
      <c r="F155" s="3" t="s">
        <v>26</v>
      </c>
      <c r="G155" s="3" t="s">
        <v>46</v>
      </c>
      <c r="H155" s="3" t="s">
        <v>28</v>
      </c>
      <c r="I155" s="3" t="s">
        <v>40</v>
      </c>
      <c r="J155" s="6">
        <v>44821</v>
      </c>
      <c r="K155" s="3" t="s">
        <v>30</v>
      </c>
      <c r="L155" s="3" t="s">
        <v>93</v>
      </c>
      <c r="M155" s="3">
        <v>86800</v>
      </c>
      <c r="N155" s="3">
        <v>22</v>
      </c>
      <c r="O155" s="3">
        <v>87.6</v>
      </c>
      <c r="P155" s="3">
        <v>4</v>
      </c>
      <c r="Q155" s="3">
        <v>14</v>
      </c>
      <c r="R155" s="3">
        <v>0</v>
      </c>
      <c r="S155" s="3">
        <v>26</v>
      </c>
      <c r="T155" s="3">
        <v>12</v>
      </c>
      <c r="U155" s="3" t="s">
        <v>104</v>
      </c>
      <c r="V155" s="3">
        <v>7233</v>
      </c>
      <c r="W155" s="3">
        <v>3.9</v>
      </c>
      <c r="X155" s="3" t="s">
        <v>54</v>
      </c>
      <c r="Y155" s="7" t="s">
        <v>42</v>
      </c>
    </row>
    <row r="156" spans="1:25" x14ac:dyDescent="0.3">
      <c r="A156" s="5" t="s">
        <v>348</v>
      </c>
      <c r="B156" s="3" t="s">
        <v>168</v>
      </c>
      <c r="C156" s="3" t="s">
        <v>58</v>
      </c>
      <c r="D156" s="3">
        <v>48</v>
      </c>
      <c r="E156" s="3" t="s">
        <v>37</v>
      </c>
      <c r="F156" s="3" t="s">
        <v>52</v>
      </c>
      <c r="G156" s="3" t="s">
        <v>27</v>
      </c>
      <c r="H156" s="3" t="s">
        <v>115</v>
      </c>
      <c r="I156" s="3" t="s">
        <v>86</v>
      </c>
      <c r="J156" s="6">
        <v>44317</v>
      </c>
      <c r="K156" s="3" t="s">
        <v>30</v>
      </c>
      <c r="L156" s="3" t="s">
        <v>31</v>
      </c>
      <c r="M156" s="3">
        <v>85000</v>
      </c>
      <c r="N156" s="3">
        <v>28</v>
      </c>
      <c r="O156" s="3">
        <v>89.4</v>
      </c>
      <c r="P156" s="3">
        <v>6</v>
      </c>
      <c r="Q156" s="3">
        <v>3</v>
      </c>
      <c r="R156" s="3">
        <v>0</v>
      </c>
      <c r="S156" s="3">
        <v>13</v>
      </c>
      <c r="T156" s="3">
        <v>6</v>
      </c>
      <c r="U156" s="3" t="s">
        <v>74</v>
      </c>
      <c r="V156" s="3">
        <v>7083</v>
      </c>
      <c r="W156" s="3">
        <v>5.3</v>
      </c>
      <c r="X156" s="3" t="s">
        <v>54</v>
      </c>
      <c r="Y156" s="7" t="s">
        <v>42</v>
      </c>
    </row>
    <row r="157" spans="1:25" x14ac:dyDescent="0.3">
      <c r="A157" s="5" t="s">
        <v>349</v>
      </c>
      <c r="B157" s="3" t="s">
        <v>350</v>
      </c>
      <c r="C157" s="3" t="s">
        <v>58</v>
      </c>
      <c r="D157" s="3">
        <v>39</v>
      </c>
      <c r="E157" s="3" t="s">
        <v>71</v>
      </c>
      <c r="F157" s="3" t="s">
        <v>79</v>
      </c>
      <c r="G157" s="3" t="s">
        <v>27</v>
      </c>
      <c r="H157" s="3" t="s">
        <v>28</v>
      </c>
      <c r="I157" s="3" t="s">
        <v>86</v>
      </c>
      <c r="J157" s="6">
        <v>44304</v>
      </c>
      <c r="K157" s="3" t="s">
        <v>30</v>
      </c>
      <c r="L157" s="3" t="s">
        <v>93</v>
      </c>
      <c r="M157" s="3">
        <v>89300</v>
      </c>
      <c r="N157" s="3">
        <v>18</v>
      </c>
      <c r="O157" s="3">
        <v>95</v>
      </c>
      <c r="P157" s="3">
        <v>1</v>
      </c>
      <c r="Q157" s="3">
        <v>5</v>
      </c>
      <c r="R157" s="3">
        <v>0</v>
      </c>
      <c r="S157" s="3">
        <v>6</v>
      </c>
      <c r="T157" s="3">
        <v>2</v>
      </c>
      <c r="U157" s="3" t="s">
        <v>104</v>
      </c>
      <c r="V157" s="3">
        <v>7442</v>
      </c>
      <c r="W157" s="3">
        <v>5.3</v>
      </c>
      <c r="X157" s="3" t="s">
        <v>108</v>
      </c>
      <c r="Y157" s="7" t="s">
        <v>42</v>
      </c>
    </row>
    <row r="158" spans="1:25" x14ac:dyDescent="0.3">
      <c r="A158" s="5" t="s">
        <v>351</v>
      </c>
      <c r="B158" s="3" t="s">
        <v>110</v>
      </c>
      <c r="C158" s="3" t="s">
        <v>58</v>
      </c>
      <c r="D158" s="3">
        <v>36</v>
      </c>
      <c r="E158" s="3" t="s">
        <v>45</v>
      </c>
      <c r="F158" s="3" t="s">
        <v>91</v>
      </c>
      <c r="G158" s="3" t="s">
        <v>122</v>
      </c>
      <c r="H158" s="3" t="s">
        <v>28</v>
      </c>
      <c r="I158" s="3" t="s">
        <v>68</v>
      </c>
      <c r="J158" s="6">
        <v>44991</v>
      </c>
      <c r="K158" s="3" t="s">
        <v>30</v>
      </c>
      <c r="L158" s="3" t="s">
        <v>31</v>
      </c>
      <c r="M158" s="3">
        <v>18000</v>
      </c>
      <c r="N158" s="3">
        <v>14</v>
      </c>
      <c r="O158" s="3">
        <v>82</v>
      </c>
      <c r="P158" s="3">
        <v>7</v>
      </c>
      <c r="Q158" s="3">
        <v>9</v>
      </c>
      <c r="R158" s="3">
        <v>3</v>
      </c>
      <c r="S158" s="3">
        <v>9</v>
      </c>
      <c r="T158" s="3">
        <v>30</v>
      </c>
      <c r="U158" s="3" t="s">
        <v>130</v>
      </c>
      <c r="V158" s="3">
        <v>1500</v>
      </c>
      <c r="W158" s="3">
        <v>3.4</v>
      </c>
      <c r="X158" s="3" t="s">
        <v>108</v>
      </c>
      <c r="Y158" s="7" t="s">
        <v>42</v>
      </c>
    </row>
    <row r="159" spans="1:25" x14ac:dyDescent="0.3">
      <c r="A159" s="5" t="s">
        <v>352</v>
      </c>
      <c r="B159" s="3" t="s">
        <v>284</v>
      </c>
      <c r="C159" s="3" t="s">
        <v>24</v>
      </c>
      <c r="D159" s="3">
        <v>47</v>
      </c>
      <c r="E159" s="3" t="s">
        <v>51</v>
      </c>
      <c r="F159" s="3" t="s">
        <v>72</v>
      </c>
      <c r="G159" s="3" t="s">
        <v>39</v>
      </c>
      <c r="H159" s="3" t="s">
        <v>115</v>
      </c>
      <c r="I159" s="3" t="s">
        <v>47</v>
      </c>
      <c r="J159" s="6">
        <v>46132</v>
      </c>
      <c r="K159" s="3" t="s">
        <v>30</v>
      </c>
      <c r="L159" s="3" t="s">
        <v>31</v>
      </c>
      <c r="M159" s="3">
        <v>52100</v>
      </c>
      <c r="N159" s="3">
        <v>25</v>
      </c>
      <c r="O159" s="3">
        <v>89.6</v>
      </c>
      <c r="P159" s="3">
        <v>5</v>
      </c>
      <c r="Q159" s="3">
        <v>7</v>
      </c>
      <c r="R159" s="3">
        <v>2</v>
      </c>
      <c r="S159" s="3">
        <v>11</v>
      </c>
      <c r="T159" s="3">
        <v>23</v>
      </c>
      <c r="U159" s="3" t="s">
        <v>104</v>
      </c>
      <c r="V159" s="3">
        <v>4342</v>
      </c>
      <c r="W159" s="3">
        <v>0.3</v>
      </c>
      <c r="X159" s="3" t="s">
        <v>54</v>
      </c>
      <c r="Y159" s="7" t="s">
        <v>75</v>
      </c>
    </row>
    <row r="160" spans="1:25" x14ac:dyDescent="0.3">
      <c r="A160" s="5" t="s">
        <v>353</v>
      </c>
      <c r="B160" s="3" t="s">
        <v>249</v>
      </c>
      <c r="C160" s="3" t="s">
        <v>24</v>
      </c>
      <c r="D160" s="3">
        <v>49</v>
      </c>
      <c r="E160" s="3" t="s">
        <v>37</v>
      </c>
      <c r="F160" s="3" t="s">
        <v>72</v>
      </c>
      <c r="G160" s="3" t="s">
        <v>46</v>
      </c>
      <c r="H160" s="3" t="s">
        <v>28</v>
      </c>
      <c r="I160" s="3" t="s">
        <v>40</v>
      </c>
      <c r="J160" s="6">
        <v>44642</v>
      </c>
      <c r="K160" s="3" t="s">
        <v>61</v>
      </c>
      <c r="L160" s="3" t="s">
        <v>93</v>
      </c>
      <c r="M160" s="3">
        <v>86900</v>
      </c>
      <c r="N160" s="3">
        <v>26</v>
      </c>
      <c r="O160" s="3">
        <v>87.5</v>
      </c>
      <c r="P160" s="3">
        <v>4</v>
      </c>
      <c r="Q160" s="3">
        <v>6</v>
      </c>
      <c r="R160" s="3">
        <v>0</v>
      </c>
      <c r="S160" s="3">
        <v>5</v>
      </c>
      <c r="T160" s="3">
        <v>21</v>
      </c>
      <c r="U160" s="3" t="s">
        <v>94</v>
      </c>
      <c r="V160" s="3">
        <v>7242</v>
      </c>
      <c r="W160" s="3">
        <v>4.4000000000000004</v>
      </c>
      <c r="X160" s="3" t="s">
        <v>54</v>
      </c>
      <c r="Y160" s="7" t="s">
        <v>42</v>
      </c>
    </row>
    <row r="161" spans="1:25" x14ac:dyDescent="0.3">
      <c r="A161" s="5" t="s">
        <v>354</v>
      </c>
      <c r="B161" s="3" t="s">
        <v>229</v>
      </c>
      <c r="C161" s="3" t="s">
        <v>58</v>
      </c>
      <c r="D161" s="3">
        <v>45</v>
      </c>
      <c r="E161" s="3" t="s">
        <v>25</v>
      </c>
      <c r="F161" s="3" t="s">
        <v>79</v>
      </c>
      <c r="G161" s="3" t="s">
        <v>80</v>
      </c>
      <c r="H161" s="3" t="s">
        <v>28</v>
      </c>
      <c r="I161" s="3" t="s">
        <v>107</v>
      </c>
      <c r="J161" s="6">
        <v>43491</v>
      </c>
      <c r="K161" s="3" t="s">
        <v>30</v>
      </c>
      <c r="L161" s="3" t="s">
        <v>53</v>
      </c>
      <c r="M161" s="3">
        <v>53000</v>
      </c>
      <c r="N161" s="3">
        <v>24</v>
      </c>
      <c r="O161" s="3">
        <v>93.5</v>
      </c>
      <c r="P161" s="3">
        <v>0</v>
      </c>
      <c r="Q161" s="3">
        <v>15</v>
      </c>
      <c r="R161" s="3">
        <v>1</v>
      </c>
      <c r="S161" s="3">
        <v>15</v>
      </c>
      <c r="T161" s="3">
        <v>26</v>
      </c>
      <c r="U161" s="3" t="s">
        <v>130</v>
      </c>
      <c r="V161" s="3">
        <v>4417</v>
      </c>
      <c r="W161" s="3">
        <v>7.5</v>
      </c>
      <c r="X161" s="3" t="s">
        <v>54</v>
      </c>
      <c r="Y161" s="7" t="s">
        <v>55</v>
      </c>
    </row>
    <row r="162" spans="1:25" x14ac:dyDescent="0.3">
      <c r="A162" s="5" t="s">
        <v>355</v>
      </c>
      <c r="B162" s="3" t="s">
        <v>333</v>
      </c>
      <c r="C162" s="3" t="s">
        <v>24</v>
      </c>
      <c r="D162" s="3">
        <v>49</v>
      </c>
      <c r="E162" s="3" t="s">
        <v>160</v>
      </c>
      <c r="F162" s="3" t="s">
        <v>60</v>
      </c>
      <c r="G162" s="3" t="s">
        <v>171</v>
      </c>
      <c r="H162" s="3" t="s">
        <v>28</v>
      </c>
      <c r="I162" s="3" t="s">
        <v>92</v>
      </c>
      <c r="J162" s="6">
        <v>45505</v>
      </c>
      <c r="K162" s="3" t="s">
        <v>87</v>
      </c>
      <c r="L162" s="3" t="s">
        <v>53</v>
      </c>
      <c r="M162" s="3">
        <v>166200</v>
      </c>
      <c r="N162" s="3">
        <v>28</v>
      </c>
      <c r="O162" s="3">
        <v>96.4</v>
      </c>
      <c r="P162" s="3">
        <v>1</v>
      </c>
      <c r="Q162" s="3">
        <v>11</v>
      </c>
      <c r="R162" s="3">
        <v>2</v>
      </c>
      <c r="S162" s="3">
        <v>9</v>
      </c>
      <c r="T162" s="3">
        <v>19</v>
      </c>
      <c r="U162" s="3" t="s">
        <v>104</v>
      </c>
      <c r="V162" s="3">
        <v>13850</v>
      </c>
      <c r="W162" s="3">
        <v>2</v>
      </c>
      <c r="X162" s="3" t="s">
        <v>54</v>
      </c>
      <c r="Y162" s="7" t="s">
        <v>75</v>
      </c>
    </row>
    <row r="163" spans="1:25" x14ac:dyDescent="0.3">
      <c r="A163" s="5" t="s">
        <v>356</v>
      </c>
      <c r="B163" s="3" t="s">
        <v>281</v>
      </c>
      <c r="C163" s="3" t="s">
        <v>24</v>
      </c>
      <c r="D163" s="3">
        <v>38</v>
      </c>
      <c r="E163" s="3" t="s">
        <v>160</v>
      </c>
      <c r="F163" s="3" t="s">
        <v>38</v>
      </c>
      <c r="G163" s="3" t="s">
        <v>46</v>
      </c>
      <c r="H163" s="3" t="s">
        <v>28</v>
      </c>
      <c r="I163" s="3" t="s">
        <v>107</v>
      </c>
      <c r="J163" s="6">
        <v>45721</v>
      </c>
      <c r="K163" s="3" t="s">
        <v>30</v>
      </c>
      <c r="L163" s="3" t="s">
        <v>31</v>
      </c>
      <c r="M163" s="3">
        <v>60000</v>
      </c>
      <c r="N163" s="3">
        <v>16</v>
      </c>
      <c r="O163" s="3">
        <v>82.9</v>
      </c>
      <c r="P163" s="3">
        <v>5</v>
      </c>
      <c r="Q163" s="3">
        <v>8</v>
      </c>
      <c r="R163" s="3">
        <v>1</v>
      </c>
      <c r="S163" s="3">
        <v>19</v>
      </c>
      <c r="T163" s="3">
        <v>27</v>
      </c>
      <c r="U163" s="3" t="s">
        <v>74</v>
      </c>
      <c r="V163" s="3">
        <v>5000</v>
      </c>
      <c r="W163" s="3">
        <v>1.4</v>
      </c>
      <c r="X163" s="3" t="s">
        <v>108</v>
      </c>
      <c r="Y163" s="7" t="s">
        <v>75</v>
      </c>
    </row>
    <row r="164" spans="1:25" x14ac:dyDescent="0.3">
      <c r="A164" s="5" t="s">
        <v>357</v>
      </c>
      <c r="B164" s="3" t="s">
        <v>241</v>
      </c>
      <c r="C164" s="3" t="s">
        <v>24</v>
      </c>
      <c r="D164" s="3">
        <v>29</v>
      </c>
      <c r="E164" s="3" t="s">
        <v>65</v>
      </c>
      <c r="F164" s="3" t="s">
        <v>66</v>
      </c>
      <c r="G164" s="3" t="s">
        <v>171</v>
      </c>
      <c r="H164" s="3" t="s">
        <v>28</v>
      </c>
      <c r="I164" s="3" t="s">
        <v>68</v>
      </c>
      <c r="J164" s="6">
        <v>45612</v>
      </c>
      <c r="K164" s="3" t="s">
        <v>30</v>
      </c>
      <c r="L164" s="3" t="s">
        <v>53</v>
      </c>
      <c r="M164" s="3">
        <v>118800</v>
      </c>
      <c r="N164" s="3">
        <v>6</v>
      </c>
      <c r="O164" s="3">
        <v>92.6</v>
      </c>
      <c r="P164" s="3">
        <v>5</v>
      </c>
      <c r="Q164" s="3">
        <v>14</v>
      </c>
      <c r="R164" s="3">
        <v>3</v>
      </c>
      <c r="S164" s="3">
        <v>26</v>
      </c>
      <c r="T164" s="3">
        <v>15</v>
      </c>
      <c r="U164" s="3" t="s">
        <v>74</v>
      </c>
      <c r="V164" s="3">
        <v>9900</v>
      </c>
      <c r="W164" s="3">
        <v>1.7</v>
      </c>
      <c r="X164" s="3" t="s">
        <v>95</v>
      </c>
      <c r="Y164" s="7" t="s">
        <v>75</v>
      </c>
    </row>
    <row r="165" spans="1:25" x14ac:dyDescent="0.3">
      <c r="A165" s="5" t="s">
        <v>358</v>
      </c>
      <c r="B165" s="3" t="s">
        <v>359</v>
      </c>
      <c r="C165" s="3" t="s">
        <v>24</v>
      </c>
      <c r="D165" s="3">
        <v>31</v>
      </c>
      <c r="E165" s="3" t="s">
        <v>51</v>
      </c>
      <c r="F165" s="3" t="s">
        <v>52</v>
      </c>
      <c r="G165" s="3" t="s">
        <v>39</v>
      </c>
      <c r="H165" s="3" t="s">
        <v>28</v>
      </c>
      <c r="I165" s="3" t="s">
        <v>86</v>
      </c>
      <c r="J165" s="6">
        <v>46078</v>
      </c>
      <c r="K165" s="3" t="s">
        <v>61</v>
      </c>
      <c r="L165" s="3" t="s">
        <v>53</v>
      </c>
      <c r="M165" s="3">
        <v>32400</v>
      </c>
      <c r="N165" s="3">
        <v>10</v>
      </c>
      <c r="O165" s="3">
        <v>95.4</v>
      </c>
      <c r="P165" s="3">
        <v>8</v>
      </c>
      <c r="Q165" s="3">
        <v>6</v>
      </c>
      <c r="R165" s="3">
        <v>0</v>
      </c>
      <c r="S165" s="3">
        <v>11</v>
      </c>
      <c r="T165" s="3">
        <v>6</v>
      </c>
      <c r="U165" s="3" t="s">
        <v>41</v>
      </c>
      <c r="V165" s="3">
        <v>2700</v>
      </c>
      <c r="W165" s="3">
        <v>0.4</v>
      </c>
      <c r="X165" s="3" t="s">
        <v>33</v>
      </c>
      <c r="Y165" s="7" t="s">
        <v>42</v>
      </c>
    </row>
    <row r="166" spans="1:25" x14ac:dyDescent="0.3">
      <c r="A166" s="5" t="s">
        <v>360</v>
      </c>
      <c r="B166" s="3" t="s">
        <v>361</v>
      </c>
      <c r="C166" s="3" t="s">
        <v>58</v>
      </c>
      <c r="D166" s="3">
        <v>20</v>
      </c>
      <c r="E166" s="3" t="s">
        <v>90</v>
      </c>
      <c r="F166" s="3" t="s">
        <v>60</v>
      </c>
      <c r="G166" s="3" t="s">
        <v>27</v>
      </c>
      <c r="H166" s="3" t="s">
        <v>115</v>
      </c>
      <c r="I166" s="3" t="s">
        <v>73</v>
      </c>
      <c r="J166" s="6">
        <v>43199</v>
      </c>
      <c r="K166" s="3" t="s">
        <v>30</v>
      </c>
      <c r="L166" s="3" t="s">
        <v>93</v>
      </c>
      <c r="M166" s="3">
        <v>122400</v>
      </c>
      <c r="N166" s="3">
        <v>0</v>
      </c>
      <c r="O166" s="3">
        <v>86.1</v>
      </c>
      <c r="P166" s="3">
        <v>5</v>
      </c>
      <c r="Q166" s="3">
        <v>2</v>
      </c>
      <c r="R166" s="3">
        <v>4</v>
      </c>
      <c r="S166" s="3">
        <v>26</v>
      </c>
      <c r="T166" s="3">
        <v>6</v>
      </c>
      <c r="U166" s="3" t="s">
        <v>94</v>
      </c>
      <c r="V166" s="3">
        <v>10200</v>
      </c>
      <c r="W166" s="3">
        <v>8.3000000000000007</v>
      </c>
      <c r="X166" s="3" t="s">
        <v>48</v>
      </c>
      <c r="Y166" s="7" t="s">
        <v>42</v>
      </c>
    </row>
    <row r="167" spans="1:25" x14ac:dyDescent="0.3">
      <c r="A167" s="5" t="s">
        <v>362</v>
      </c>
      <c r="B167" s="3" t="s">
        <v>363</v>
      </c>
      <c r="C167" s="3" t="s">
        <v>24</v>
      </c>
      <c r="D167" s="3">
        <v>21</v>
      </c>
      <c r="E167" s="3" t="s">
        <v>37</v>
      </c>
      <c r="F167" s="3" t="s">
        <v>91</v>
      </c>
      <c r="G167" s="3" t="s">
        <v>80</v>
      </c>
      <c r="H167" s="3" t="s">
        <v>28</v>
      </c>
      <c r="I167" s="3" t="s">
        <v>29</v>
      </c>
      <c r="J167" s="6">
        <v>45296</v>
      </c>
      <c r="K167" s="3" t="s">
        <v>30</v>
      </c>
      <c r="L167" s="3" t="s">
        <v>93</v>
      </c>
      <c r="M167" s="3">
        <v>35000</v>
      </c>
      <c r="N167" s="3">
        <v>0</v>
      </c>
      <c r="O167" s="3">
        <v>95.8</v>
      </c>
      <c r="P167" s="3">
        <v>0</v>
      </c>
      <c r="Q167" s="3">
        <v>15</v>
      </c>
      <c r="R167" s="3">
        <v>0</v>
      </c>
      <c r="S167" s="3">
        <v>9</v>
      </c>
      <c r="T167" s="3">
        <v>23</v>
      </c>
      <c r="U167" s="3" t="s">
        <v>41</v>
      </c>
      <c r="V167" s="3">
        <v>2917</v>
      </c>
      <c r="W167" s="3">
        <v>2.6</v>
      </c>
      <c r="X167" s="3" t="s">
        <v>48</v>
      </c>
      <c r="Y167" s="7" t="s">
        <v>42</v>
      </c>
    </row>
    <row r="168" spans="1:25" x14ac:dyDescent="0.3">
      <c r="A168" s="5" t="s">
        <v>364</v>
      </c>
      <c r="B168" s="3" t="s">
        <v>243</v>
      </c>
      <c r="C168" s="3" t="s">
        <v>58</v>
      </c>
      <c r="D168" s="3">
        <v>37</v>
      </c>
      <c r="E168" s="3" t="s">
        <v>78</v>
      </c>
      <c r="F168" s="3" t="s">
        <v>60</v>
      </c>
      <c r="G168" s="3" t="s">
        <v>171</v>
      </c>
      <c r="H168" s="3" t="s">
        <v>28</v>
      </c>
      <c r="I168" s="3" t="s">
        <v>47</v>
      </c>
      <c r="J168" s="6">
        <v>43670</v>
      </c>
      <c r="K168" s="3" t="s">
        <v>30</v>
      </c>
      <c r="L168" s="3" t="s">
        <v>53</v>
      </c>
      <c r="M168" s="3">
        <v>157300</v>
      </c>
      <c r="N168" s="3">
        <v>14</v>
      </c>
      <c r="O168" s="3">
        <v>86</v>
      </c>
      <c r="P168" s="3">
        <v>6</v>
      </c>
      <c r="Q168" s="3">
        <v>9</v>
      </c>
      <c r="R168" s="3">
        <v>3</v>
      </c>
      <c r="S168" s="3">
        <v>9</v>
      </c>
      <c r="T168" s="3">
        <v>6</v>
      </c>
      <c r="U168" s="3" t="s">
        <v>123</v>
      </c>
      <c r="V168" s="3">
        <v>13108</v>
      </c>
      <c r="W168" s="3">
        <v>7</v>
      </c>
      <c r="X168" s="3" t="s">
        <v>108</v>
      </c>
      <c r="Y168" s="7" t="s">
        <v>55</v>
      </c>
    </row>
    <row r="169" spans="1:25" x14ac:dyDescent="0.3">
      <c r="A169" s="5" t="s">
        <v>365</v>
      </c>
      <c r="B169" s="3" t="s">
        <v>366</v>
      </c>
      <c r="C169" s="3" t="s">
        <v>58</v>
      </c>
      <c r="D169" s="3">
        <v>26</v>
      </c>
      <c r="E169" s="3" t="s">
        <v>59</v>
      </c>
      <c r="F169" s="3" t="s">
        <v>72</v>
      </c>
      <c r="G169" s="3" t="s">
        <v>39</v>
      </c>
      <c r="H169" s="3" t="s">
        <v>28</v>
      </c>
      <c r="I169" s="3" t="s">
        <v>29</v>
      </c>
      <c r="J169" s="6">
        <v>43827</v>
      </c>
      <c r="K169" s="3" t="s">
        <v>30</v>
      </c>
      <c r="L169" s="3" t="s">
        <v>53</v>
      </c>
      <c r="M169" s="3">
        <v>42500</v>
      </c>
      <c r="N169" s="3">
        <v>4</v>
      </c>
      <c r="O169" s="3">
        <v>94</v>
      </c>
      <c r="P169" s="3">
        <v>2</v>
      </c>
      <c r="Q169" s="3">
        <v>3</v>
      </c>
      <c r="R169" s="3">
        <v>0</v>
      </c>
      <c r="S169" s="3">
        <v>21</v>
      </c>
      <c r="T169" s="3">
        <v>11</v>
      </c>
      <c r="U169" s="3" t="s">
        <v>94</v>
      </c>
      <c r="V169" s="3">
        <v>3542</v>
      </c>
      <c r="W169" s="3">
        <v>6.6</v>
      </c>
      <c r="X169" s="3" t="s">
        <v>95</v>
      </c>
      <c r="Y169" s="7" t="s">
        <v>42</v>
      </c>
    </row>
    <row r="170" spans="1:25" x14ac:dyDescent="0.3">
      <c r="A170" s="5" t="s">
        <v>367</v>
      </c>
      <c r="B170" s="3" t="s">
        <v>368</v>
      </c>
      <c r="C170" s="3" t="s">
        <v>24</v>
      </c>
      <c r="D170" s="3">
        <v>35</v>
      </c>
      <c r="E170" s="3" t="s">
        <v>71</v>
      </c>
      <c r="F170" s="3" t="s">
        <v>72</v>
      </c>
      <c r="G170" s="3" t="s">
        <v>80</v>
      </c>
      <c r="H170" s="3" t="s">
        <v>28</v>
      </c>
      <c r="I170" s="3" t="s">
        <v>40</v>
      </c>
      <c r="J170" s="6">
        <v>44102</v>
      </c>
      <c r="K170" s="3" t="s">
        <v>30</v>
      </c>
      <c r="L170" s="3" t="s">
        <v>53</v>
      </c>
      <c r="M170" s="3">
        <v>55700</v>
      </c>
      <c r="N170" s="3">
        <v>12</v>
      </c>
      <c r="O170" s="3">
        <v>96.9</v>
      </c>
      <c r="P170" s="3">
        <v>7</v>
      </c>
      <c r="Q170" s="3">
        <v>2</v>
      </c>
      <c r="R170" s="3">
        <v>0</v>
      </c>
      <c r="S170" s="3">
        <v>25</v>
      </c>
      <c r="T170" s="3">
        <v>11</v>
      </c>
      <c r="U170" s="3" t="s">
        <v>104</v>
      </c>
      <c r="V170" s="3">
        <v>4642</v>
      </c>
      <c r="W170" s="3">
        <v>5.8</v>
      </c>
      <c r="X170" s="3" t="s">
        <v>108</v>
      </c>
      <c r="Y170" s="7" t="s">
        <v>55</v>
      </c>
    </row>
    <row r="171" spans="1:25" x14ac:dyDescent="0.3">
      <c r="A171" s="5" t="s">
        <v>369</v>
      </c>
      <c r="B171" s="3" t="s">
        <v>370</v>
      </c>
      <c r="C171" s="3" t="s">
        <v>58</v>
      </c>
      <c r="D171" s="3">
        <v>32</v>
      </c>
      <c r="E171" s="3" t="s">
        <v>71</v>
      </c>
      <c r="F171" s="3" t="s">
        <v>52</v>
      </c>
      <c r="G171" s="3" t="s">
        <v>46</v>
      </c>
      <c r="H171" s="3" t="s">
        <v>28</v>
      </c>
      <c r="I171" s="3" t="s">
        <v>68</v>
      </c>
      <c r="J171" s="6">
        <v>44671</v>
      </c>
      <c r="K171" s="3" t="s">
        <v>30</v>
      </c>
      <c r="L171" s="3" t="s">
        <v>53</v>
      </c>
      <c r="M171" s="3">
        <v>79200</v>
      </c>
      <c r="N171" s="3">
        <v>13</v>
      </c>
      <c r="O171" s="3">
        <v>87.2</v>
      </c>
      <c r="P171" s="3">
        <v>5</v>
      </c>
      <c r="Q171" s="3">
        <v>8</v>
      </c>
      <c r="R171" s="3">
        <v>0</v>
      </c>
      <c r="S171" s="3">
        <v>10</v>
      </c>
      <c r="T171" s="3">
        <v>10</v>
      </c>
      <c r="U171" s="3" t="s">
        <v>94</v>
      </c>
      <c r="V171" s="3">
        <v>6600</v>
      </c>
      <c r="W171" s="3">
        <v>4.3</v>
      </c>
      <c r="X171" s="3" t="s">
        <v>33</v>
      </c>
      <c r="Y171" s="7" t="s">
        <v>42</v>
      </c>
    </row>
    <row r="172" spans="1:25" x14ac:dyDescent="0.3">
      <c r="A172" s="5" t="s">
        <v>371</v>
      </c>
      <c r="B172" s="3" t="s">
        <v>156</v>
      </c>
      <c r="C172" s="3" t="s">
        <v>58</v>
      </c>
      <c r="D172" s="3">
        <v>23</v>
      </c>
      <c r="E172" s="3" t="s">
        <v>59</v>
      </c>
      <c r="F172" s="3" t="s">
        <v>91</v>
      </c>
      <c r="G172" s="3" t="s">
        <v>80</v>
      </c>
      <c r="H172" s="3" t="s">
        <v>115</v>
      </c>
      <c r="I172" s="3" t="s">
        <v>47</v>
      </c>
      <c r="J172" s="6">
        <v>43403</v>
      </c>
      <c r="K172" s="3" t="s">
        <v>30</v>
      </c>
      <c r="L172" s="3" t="s">
        <v>31</v>
      </c>
      <c r="M172" s="3">
        <v>30800</v>
      </c>
      <c r="N172" s="3">
        <v>4</v>
      </c>
      <c r="O172" s="3">
        <v>89.7</v>
      </c>
      <c r="P172" s="3">
        <v>2</v>
      </c>
      <c r="Q172" s="3">
        <v>14</v>
      </c>
      <c r="R172" s="3">
        <v>3</v>
      </c>
      <c r="S172" s="3">
        <v>8</v>
      </c>
      <c r="T172" s="3">
        <v>15</v>
      </c>
      <c r="U172" s="3" t="s">
        <v>130</v>
      </c>
      <c r="V172" s="3">
        <v>2567</v>
      </c>
      <c r="W172" s="3">
        <v>7.8</v>
      </c>
      <c r="X172" s="3" t="s">
        <v>48</v>
      </c>
      <c r="Y172" s="7" t="s">
        <v>42</v>
      </c>
    </row>
    <row r="173" spans="1:25" x14ac:dyDescent="0.3">
      <c r="A173" s="5" t="s">
        <v>372</v>
      </c>
      <c r="B173" s="3" t="s">
        <v>373</v>
      </c>
      <c r="C173" s="3" t="s">
        <v>58</v>
      </c>
      <c r="D173" s="3">
        <v>29</v>
      </c>
      <c r="E173" s="3" t="s">
        <v>137</v>
      </c>
      <c r="F173" s="3" t="s">
        <v>26</v>
      </c>
      <c r="G173" s="3" t="s">
        <v>80</v>
      </c>
      <c r="H173" s="3" t="s">
        <v>28</v>
      </c>
      <c r="I173" s="3" t="s">
        <v>68</v>
      </c>
      <c r="J173" s="6">
        <v>45152</v>
      </c>
      <c r="K173" s="3" t="s">
        <v>30</v>
      </c>
      <c r="L173" s="3" t="s">
        <v>93</v>
      </c>
      <c r="M173" s="3">
        <v>58300</v>
      </c>
      <c r="N173" s="3">
        <v>6</v>
      </c>
      <c r="O173" s="3">
        <v>96.6</v>
      </c>
      <c r="P173" s="3">
        <v>2</v>
      </c>
      <c r="Q173" s="3">
        <v>10</v>
      </c>
      <c r="R173" s="3">
        <v>0</v>
      </c>
      <c r="S173" s="3">
        <v>8</v>
      </c>
      <c r="T173" s="3">
        <v>2</v>
      </c>
      <c r="U173" s="3" t="s">
        <v>32</v>
      </c>
      <c r="V173" s="3">
        <v>4858</v>
      </c>
      <c r="W173" s="3">
        <v>3</v>
      </c>
      <c r="X173" s="3" t="s">
        <v>95</v>
      </c>
      <c r="Y173" s="7" t="s">
        <v>55</v>
      </c>
    </row>
    <row r="174" spans="1:25" x14ac:dyDescent="0.3">
      <c r="A174" s="5" t="s">
        <v>374</v>
      </c>
      <c r="B174" s="3" t="s">
        <v>375</v>
      </c>
      <c r="C174" s="3" t="s">
        <v>58</v>
      </c>
      <c r="D174" s="3">
        <v>47</v>
      </c>
      <c r="E174" s="3" t="s">
        <v>25</v>
      </c>
      <c r="F174" s="3" t="s">
        <v>26</v>
      </c>
      <c r="G174" s="3" t="s">
        <v>171</v>
      </c>
      <c r="H174" s="3" t="s">
        <v>28</v>
      </c>
      <c r="I174" s="3" t="s">
        <v>68</v>
      </c>
      <c r="J174" s="6">
        <v>45926</v>
      </c>
      <c r="K174" s="3" t="s">
        <v>30</v>
      </c>
      <c r="L174" s="3" t="s">
        <v>53</v>
      </c>
      <c r="M174" s="3">
        <v>110700</v>
      </c>
      <c r="N174" s="3">
        <v>23</v>
      </c>
      <c r="O174" s="3">
        <v>79.2</v>
      </c>
      <c r="P174" s="3">
        <v>7</v>
      </c>
      <c r="Q174" s="3">
        <v>10</v>
      </c>
      <c r="R174" s="3">
        <v>4</v>
      </c>
      <c r="S174" s="3">
        <v>11</v>
      </c>
      <c r="T174" s="3">
        <v>30</v>
      </c>
      <c r="U174" s="3" t="s">
        <v>94</v>
      </c>
      <c r="V174" s="3">
        <v>9225</v>
      </c>
      <c r="W174" s="3">
        <v>0.8</v>
      </c>
      <c r="X174" s="3" t="s">
        <v>54</v>
      </c>
      <c r="Y174" s="7" t="s">
        <v>42</v>
      </c>
    </row>
    <row r="175" spans="1:25" x14ac:dyDescent="0.3">
      <c r="A175" s="5" t="s">
        <v>376</v>
      </c>
      <c r="B175" s="3" t="s">
        <v>377</v>
      </c>
      <c r="C175" s="3" t="s">
        <v>24</v>
      </c>
      <c r="D175" s="3">
        <v>28</v>
      </c>
      <c r="E175" s="3" t="s">
        <v>59</v>
      </c>
      <c r="F175" s="3" t="s">
        <v>91</v>
      </c>
      <c r="G175" s="3" t="s">
        <v>80</v>
      </c>
      <c r="H175" s="3" t="s">
        <v>115</v>
      </c>
      <c r="I175" s="3" t="s">
        <v>68</v>
      </c>
      <c r="J175" s="6">
        <v>45255</v>
      </c>
      <c r="K175" s="3" t="s">
        <v>30</v>
      </c>
      <c r="L175" s="3" t="s">
        <v>31</v>
      </c>
      <c r="M175" s="3">
        <v>35300</v>
      </c>
      <c r="N175" s="3">
        <v>5</v>
      </c>
      <c r="O175" s="3">
        <v>93.4</v>
      </c>
      <c r="P175" s="3">
        <v>5</v>
      </c>
      <c r="Q175" s="3">
        <v>7</v>
      </c>
      <c r="R175" s="3">
        <v>4</v>
      </c>
      <c r="S175" s="3">
        <v>1</v>
      </c>
      <c r="T175" s="3">
        <v>25</v>
      </c>
      <c r="U175" s="3" t="s">
        <v>41</v>
      </c>
      <c r="V175" s="3">
        <v>2942</v>
      </c>
      <c r="W175" s="3">
        <v>2.7</v>
      </c>
      <c r="X175" s="3" t="s">
        <v>95</v>
      </c>
      <c r="Y175" s="7" t="s">
        <v>42</v>
      </c>
    </row>
    <row r="176" spans="1:25" x14ac:dyDescent="0.3">
      <c r="A176" s="5" t="s">
        <v>378</v>
      </c>
      <c r="B176" s="3" t="s">
        <v>178</v>
      </c>
      <c r="C176" s="3" t="s">
        <v>24</v>
      </c>
      <c r="D176" s="3">
        <v>37</v>
      </c>
      <c r="E176" s="3" t="s">
        <v>160</v>
      </c>
      <c r="F176" s="3" t="s">
        <v>72</v>
      </c>
      <c r="G176" s="3" t="s">
        <v>46</v>
      </c>
      <c r="H176" s="3" t="s">
        <v>28</v>
      </c>
      <c r="I176" s="3" t="s">
        <v>29</v>
      </c>
      <c r="J176" s="6">
        <v>45223</v>
      </c>
      <c r="K176" s="3" t="s">
        <v>30</v>
      </c>
      <c r="L176" s="3" t="s">
        <v>53</v>
      </c>
      <c r="M176" s="3">
        <v>105700</v>
      </c>
      <c r="N176" s="3">
        <v>16</v>
      </c>
      <c r="O176" s="3">
        <v>100</v>
      </c>
      <c r="P176" s="3">
        <v>1</v>
      </c>
      <c r="Q176" s="3">
        <v>9</v>
      </c>
      <c r="R176" s="3">
        <v>2</v>
      </c>
      <c r="S176" s="3">
        <v>13</v>
      </c>
      <c r="T176" s="3">
        <v>7</v>
      </c>
      <c r="U176" s="3" t="s">
        <v>74</v>
      </c>
      <c r="V176" s="3">
        <v>8808</v>
      </c>
      <c r="W176" s="3">
        <v>2.8</v>
      </c>
      <c r="X176" s="3" t="s">
        <v>108</v>
      </c>
      <c r="Y176" s="7" t="s">
        <v>42</v>
      </c>
    </row>
    <row r="177" spans="1:25" x14ac:dyDescent="0.3">
      <c r="A177" s="5" t="s">
        <v>379</v>
      </c>
      <c r="B177" s="3" t="s">
        <v>234</v>
      </c>
      <c r="C177" s="3" t="s">
        <v>58</v>
      </c>
      <c r="D177" s="3">
        <v>28</v>
      </c>
      <c r="E177" s="3" t="s">
        <v>25</v>
      </c>
      <c r="F177" s="3" t="s">
        <v>66</v>
      </c>
      <c r="G177" s="3" t="s">
        <v>39</v>
      </c>
      <c r="H177" s="3" t="s">
        <v>28</v>
      </c>
      <c r="I177" s="3" t="s">
        <v>40</v>
      </c>
      <c r="J177" s="6">
        <v>44164</v>
      </c>
      <c r="K177" s="3" t="s">
        <v>30</v>
      </c>
      <c r="L177" s="3" t="s">
        <v>31</v>
      </c>
      <c r="M177" s="3">
        <v>28900</v>
      </c>
      <c r="N177" s="3">
        <v>5</v>
      </c>
      <c r="O177" s="3">
        <v>76.099999999999994</v>
      </c>
      <c r="P177" s="3">
        <v>2</v>
      </c>
      <c r="Q177" s="3">
        <v>12</v>
      </c>
      <c r="R177" s="3">
        <v>2</v>
      </c>
      <c r="S177" s="3">
        <v>8</v>
      </c>
      <c r="T177" s="3">
        <v>28</v>
      </c>
      <c r="U177" s="3" t="s">
        <v>130</v>
      </c>
      <c r="V177" s="3">
        <v>2408</v>
      </c>
      <c r="W177" s="3">
        <v>5.7</v>
      </c>
      <c r="X177" s="3" t="s">
        <v>95</v>
      </c>
      <c r="Y177" s="7" t="s">
        <v>42</v>
      </c>
    </row>
    <row r="178" spans="1:25" x14ac:dyDescent="0.3">
      <c r="A178" s="5" t="s">
        <v>380</v>
      </c>
      <c r="B178" s="3" t="s">
        <v>381</v>
      </c>
      <c r="C178" s="3" t="s">
        <v>24</v>
      </c>
      <c r="D178" s="3">
        <v>41</v>
      </c>
      <c r="E178" s="3" t="s">
        <v>51</v>
      </c>
      <c r="F178" s="3" t="s">
        <v>79</v>
      </c>
      <c r="G178" s="3" t="s">
        <v>27</v>
      </c>
      <c r="H178" s="3" t="s">
        <v>28</v>
      </c>
      <c r="I178" s="3" t="s">
        <v>40</v>
      </c>
      <c r="J178" s="6">
        <v>43739</v>
      </c>
      <c r="K178" s="3" t="s">
        <v>30</v>
      </c>
      <c r="L178" s="3" t="s">
        <v>53</v>
      </c>
      <c r="M178" s="3">
        <v>105100</v>
      </c>
      <c r="N178" s="3">
        <v>20</v>
      </c>
      <c r="O178" s="3">
        <v>96.4</v>
      </c>
      <c r="P178" s="3">
        <v>5</v>
      </c>
      <c r="Q178" s="3">
        <v>8</v>
      </c>
      <c r="R178" s="3">
        <v>2</v>
      </c>
      <c r="S178" s="3">
        <v>28</v>
      </c>
      <c r="T178" s="3">
        <v>26</v>
      </c>
      <c r="U178" s="3" t="s">
        <v>41</v>
      </c>
      <c r="V178" s="3">
        <v>8758</v>
      </c>
      <c r="W178" s="3">
        <v>6.8</v>
      </c>
      <c r="X178" s="3" t="s">
        <v>62</v>
      </c>
      <c r="Y178" s="7" t="s">
        <v>75</v>
      </c>
    </row>
    <row r="179" spans="1:25" x14ac:dyDescent="0.3">
      <c r="A179" s="5" t="s">
        <v>382</v>
      </c>
      <c r="B179" s="3" t="s">
        <v>194</v>
      </c>
      <c r="C179" s="3" t="s">
        <v>24</v>
      </c>
      <c r="D179" s="3">
        <v>29</v>
      </c>
      <c r="E179" s="3" t="s">
        <v>37</v>
      </c>
      <c r="F179" s="3" t="s">
        <v>79</v>
      </c>
      <c r="G179" s="3" t="s">
        <v>46</v>
      </c>
      <c r="H179" s="3" t="s">
        <v>28</v>
      </c>
      <c r="I179" s="3" t="s">
        <v>92</v>
      </c>
      <c r="J179" s="6">
        <v>45843</v>
      </c>
      <c r="K179" s="3" t="s">
        <v>30</v>
      </c>
      <c r="L179" s="3" t="s">
        <v>31</v>
      </c>
      <c r="M179" s="3">
        <v>73500</v>
      </c>
      <c r="N179" s="3">
        <v>7</v>
      </c>
      <c r="O179" s="3">
        <v>95.1</v>
      </c>
      <c r="P179" s="3">
        <v>6</v>
      </c>
      <c r="Q179" s="3">
        <v>9</v>
      </c>
      <c r="R179" s="3">
        <v>2</v>
      </c>
      <c r="S179" s="3">
        <v>17</v>
      </c>
      <c r="T179" s="3">
        <v>27</v>
      </c>
      <c r="U179" s="3" t="s">
        <v>32</v>
      </c>
      <c r="V179" s="3">
        <v>6125</v>
      </c>
      <c r="W179" s="3">
        <v>1.1000000000000001</v>
      </c>
      <c r="X179" s="3" t="s">
        <v>95</v>
      </c>
      <c r="Y179" s="7" t="s">
        <v>42</v>
      </c>
    </row>
    <row r="180" spans="1:25" x14ac:dyDescent="0.3">
      <c r="A180" s="5" t="s">
        <v>383</v>
      </c>
      <c r="B180" s="3" t="s">
        <v>384</v>
      </c>
      <c r="C180" s="3" t="s">
        <v>58</v>
      </c>
      <c r="D180" s="3">
        <v>27</v>
      </c>
      <c r="E180" s="3" t="s">
        <v>98</v>
      </c>
      <c r="F180" s="3" t="s">
        <v>52</v>
      </c>
      <c r="G180" s="3" t="s">
        <v>80</v>
      </c>
      <c r="H180" s="3" t="s">
        <v>67</v>
      </c>
      <c r="I180" s="3" t="s">
        <v>73</v>
      </c>
      <c r="J180" s="6">
        <v>44243</v>
      </c>
      <c r="K180" s="3" t="s">
        <v>30</v>
      </c>
      <c r="L180" s="3" t="s">
        <v>53</v>
      </c>
      <c r="M180" s="3">
        <v>45600</v>
      </c>
      <c r="N180" s="3">
        <v>4</v>
      </c>
      <c r="O180" s="3">
        <v>90.7</v>
      </c>
      <c r="P180" s="3">
        <v>3</v>
      </c>
      <c r="Q180" s="3">
        <v>9</v>
      </c>
      <c r="R180" s="3">
        <v>4</v>
      </c>
      <c r="S180" s="3">
        <v>21</v>
      </c>
      <c r="T180" s="3">
        <v>8</v>
      </c>
      <c r="U180" s="3" t="s">
        <v>74</v>
      </c>
      <c r="V180" s="3">
        <v>3800</v>
      </c>
      <c r="W180" s="3">
        <v>5.5</v>
      </c>
      <c r="X180" s="3" t="s">
        <v>95</v>
      </c>
      <c r="Y180" s="7" t="s">
        <v>42</v>
      </c>
    </row>
    <row r="181" spans="1:25" x14ac:dyDescent="0.3">
      <c r="A181" s="5" t="s">
        <v>385</v>
      </c>
      <c r="B181" s="3" t="s">
        <v>386</v>
      </c>
      <c r="C181" s="3" t="s">
        <v>58</v>
      </c>
      <c r="D181" s="3">
        <v>42</v>
      </c>
      <c r="E181" s="3" t="s">
        <v>101</v>
      </c>
      <c r="F181" s="3" t="s">
        <v>66</v>
      </c>
      <c r="G181" s="3" t="s">
        <v>122</v>
      </c>
      <c r="H181" s="3" t="s">
        <v>28</v>
      </c>
      <c r="I181" s="3" t="s">
        <v>92</v>
      </c>
      <c r="J181" s="6">
        <v>45221</v>
      </c>
      <c r="K181" s="3" t="s">
        <v>61</v>
      </c>
      <c r="L181" s="3" t="s">
        <v>93</v>
      </c>
      <c r="M181" s="3">
        <v>21600</v>
      </c>
      <c r="N181" s="3">
        <v>20</v>
      </c>
      <c r="O181" s="3">
        <v>93</v>
      </c>
      <c r="P181" s="3">
        <v>7</v>
      </c>
      <c r="Q181" s="3">
        <v>1</v>
      </c>
      <c r="R181" s="3">
        <v>2</v>
      </c>
      <c r="S181" s="3">
        <v>28</v>
      </c>
      <c r="T181" s="3">
        <v>13</v>
      </c>
      <c r="U181" s="3" t="s">
        <v>32</v>
      </c>
      <c r="V181" s="3">
        <v>1800</v>
      </c>
      <c r="W181" s="3">
        <v>2.8</v>
      </c>
      <c r="X181" s="3" t="s">
        <v>62</v>
      </c>
      <c r="Y181" s="7" t="s">
        <v>75</v>
      </c>
    </row>
    <row r="182" spans="1:25" x14ac:dyDescent="0.3">
      <c r="A182" s="5" t="s">
        <v>387</v>
      </c>
      <c r="B182" s="3" t="s">
        <v>388</v>
      </c>
      <c r="C182" s="3" t="s">
        <v>24</v>
      </c>
      <c r="D182" s="3">
        <v>30</v>
      </c>
      <c r="E182" s="3" t="s">
        <v>137</v>
      </c>
      <c r="F182" s="3" t="s">
        <v>52</v>
      </c>
      <c r="G182" s="3" t="s">
        <v>46</v>
      </c>
      <c r="H182" s="3" t="s">
        <v>28</v>
      </c>
      <c r="I182" s="3" t="s">
        <v>92</v>
      </c>
      <c r="J182" s="6">
        <v>43652</v>
      </c>
      <c r="K182" s="3" t="s">
        <v>30</v>
      </c>
      <c r="L182" s="3" t="s">
        <v>31</v>
      </c>
      <c r="M182" s="3">
        <v>65600</v>
      </c>
      <c r="N182" s="3">
        <v>10</v>
      </c>
      <c r="O182" s="3">
        <v>92.2</v>
      </c>
      <c r="P182" s="3">
        <v>2</v>
      </c>
      <c r="Q182" s="3">
        <v>4</v>
      </c>
      <c r="R182" s="3">
        <v>1</v>
      </c>
      <c r="S182" s="3">
        <v>22</v>
      </c>
      <c r="T182" s="3">
        <v>16</v>
      </c>
      <c r="U182" s="3" t="s">
        <v>41</v>
      </c>
      <c r="V182" s="3">
        <v>5467</v>
      </c>
      <c r="W182" s="3">
        <v>7.1</v>
      </c>
      <c r="X182" s="3" t="s">
        <v>33</v>
      </c>
      <c r="Y182" s="7" t="s">
        <v>42</v>
      </c>
    </row>
    <row r="183" spans="1:25" x14ac:dyDescent="0.3">
      <c r="A183" s="5" t="s">
        <v>389</v>
      </c>
      <c r="B183" s="3" t="s">
        <v>170</v>
      </c>
      <c r="C183" s="3" t="s">
        <v>58</v>
      </c>
      <c r="D183" s="3">
        <v>32</v>
      </c>
      <c r="E183" s="3" t="s">
        <v>160</v>
      </c>
      <c r="F183" s="3" t="s">
        <v>52</v>
      </c>
      <c r="G183" s="3" t="s">
        <v>122</v>
      </c>
      <c r="H183" s="3" t="s">
        <v>28</v>
      </c>
      <c r="I183" s="3" t="s">
        <v>29</v>
      </c>
      <c r="J183" s="6">
        <v>44077</v>
      </c>
      <c r="K183" s="3" t="s">
        <v>30</v>
      </c>
      <c r="L183" s="3" t="s">
        <v>93</v>
      </c>
      <c r="M183" s="3">
        <v>20400</v>
      </c>
      <c r="N183" s="3">
        <v>13</v>
      </c>
      <c r="O183" s="3">
        <v>88.3</v>
      </c>
      <c r="P183" s="3">
        <v>5</v>
      </c>
      <c r="Q183" s="3">
        <v>4</v>
      </c>
      <c r="R183" s="3">
        <v>3</v>
      </c>
      <c r="S183" s="3">
        <v>29</v>
      </c>
      <c r="T183" s="3">
        <v>17</v>
      </c>
      <c r="U183" s="3" t="s">
        <v>94</v>
      </c>
      <c r="V183" s="3">
        <v>1700</v>
      </c>
      <c r="W183" s="3">
        <v>5.9</v>
      </c>
      <c r="X183" s="3" t="s">
        <v>33</v>
      </c>
      <c r="Y183" s="7" t="s">
        <v>42</v>
      </c>
    </row>
    <row r="184" spans="1:25" x14ac:dyDescent="0.3">
      <c r="A184" s="5" t="s">
        <v>390</v>
      </c>
      <c r="B184" s="3" t="s">
        <v>391</v>
      </c>
      <c r="C184" s="3" t="s">
        <v>24</v>
      </c>
      <c r="D184" s="3">
        <v>43</v>
      </c>
      <c r="E184" s="3" t="s">
        <v>51</v>
      </c>
      <c r="F184" s="3" t="s">
        <v>79</v>
      </c>
      <c r="G184" s="3" t="s">
        <v>122</v>
      </c>
      <c r="H184" s="3" t="s">
        <v>115</v>
      </c>
      <c r="I184" s="3" t="s">
        <v>107</v>
      </c>
      <c r="J184" s="6">
        <v>43196</v>
      </c>
      <c r="K184" s="3" t="s">
        <v>30</v>
      </c>
      <c r="L184" s="3" t="s">
        <v>93</v>
      </c>
      <c r="M184" s="3">
        <v>24600</v>
      </c>
      <c r="N184" s="3">
        <v>20</v>
      </c>
      <c r="O184" s="3">
        <v>97.2</v>
      </c>
      <c r="P184" s="3">
        <v>6</v>
      </c>
      <c r="Q184" s="3">
        <v>6</v>
      </c>
      <c r="R184" s="3">
        <v>3</v>
      </c>
      <c r="S184" s="3">
        <v>24</v>
      </c>
      <c r="T184" s="3">
        <v>4</v>
      </c>
      <c r="U184" s="3" t="s">
        <v>104</v>
      </c>
      <c r="V184" s="3">
        <v>2050</v>
      </c>
      <c r="W184" s="3">
        <v>8.3000000000000007</v>
      </c>
      <c r="X184" s="3" t="s">
        <v>62</v>
      </c>
      <c r="Y184" s="7" t="s">
        <v>42</v>
      </c>
    </row>
    <row r="185" spans="1:25" x14ac:dyDescent="0.3">
      <c r="A185" s="5" t="s">
        <v>392</v>
      </c>
      <c r="B185" s="3" t="s">
        <v>290</v>
      </c>
      <c r="C185" s="3" t="s">
        <v>58</v>
      </c>
      <c r="D185" s="3">
        <v>32</v>
      </c>
      <c r="E185" s="3" t="s">
        <v>90</v>
      </c>
      <c r="F185" s="3" t="s">
        <v>52</v>
      </c>
      <c r="G185" s="3" t="s">
        <v>46</v>
      </c>
      <c r="H185" s="3" t="s">
        <v>115</v>
      </c>
      <c r="I185" s="3" t="s">
        <v>47</v>
      </c>
      <c r="J185" s="6">
        <v>46032</v>
      </c>
      <c r="K185" s="3" t="s">
        <v>30</v>
      </c>
      <c r="L185" s="3" t="s">
        <v>53</v>
      </c>
      <c r="M185" s="3">
        <v>64900</v>
      </c>
      <c r="N185" s="3">
        <v>10</v>
      </c>
      <c r="O185" s="3">
        <v>91</v>
      </c>
      <c r="P185" s="3">
        <v>7</v>
      </c>
      <c r="Q185" s="3">
        <v>3</v>
      </c>
      <c r="R185" s="3">
        <v>4</v>
      </c>
      <c r="S185" s="3">
        <v>26</v>
      </c>
      <c r="T185" s="3">
        <v>17</v>
      </c>
      <c r="U185" s="3" t="s">
        <v>94</v>
      </c>
      <c r="V185" s="3">
        <v>5408</v>
      </c>
      <c r="W185" s="3">
        <v>0.6</v>
      </c>
      <c r="X185" s="3" t="s">
        <v>33</v>
      </c>
      <c r="Y185" s="7" t="s">
        <v>42</v>
      </c>
    </row>
    <row r="186" spans="1:25" x14ac:dyDescent="0.3">
      <c r="A186" s="5" t="s">
        <v>393</v>
      </c>
      <c r="B186" s="3" t="s">
        <v>394</v>
      </c>
      <c r="C186" s="3" t="s">
        <v>24</v>
      </c>
      <c r="D186" s="3">
        <v>35</v>
      </c>
      <c r="E186" s="3" t="s">
        <v>37</v>
      </c>
      <c r="F186" s="3" t="s">
        <v>26</v>
      </c>
      <c r="G186" s="3" t="s">
        <v>39</v>
      </c>
      <c r="H186" s="3" t="s">
        <v>28</v>
      </c>
      <c r="I186" s="3" t="s">
        <v>73</v>
      </c>
      <c r="J186" s="6">
        <v>44292</v>
      </c>
      <c r="K186" s="3" t="s">
        <v>30</v>
      </c>
      <c r="L186" s="3" t="s">
        <v>31</v>
      </c>
      <c r="M186" s="3">
        <v>33400</v>
      </c>
      <c r="N186" s="3">
        <v>15</v>
      </c>
      <c r="O186" s="3">
        <v>93</v>
      </c>
      <c r="P186" s="3">
        <v>3</v>
      </c>
      <c r="Q186" s="3">
        <v>3</v>
      </c>
      <c r="R186" s="3">
        <v>3</v>
      </c>
      <c r="S186" s="3">
        <v>12</v>
      </c>
      <c r="T186" s="3">
        <v>9</v>
      </c>
      <c r="U186" s="3" t="s">
        <v>130</v>
      </c>
      <c r="V186" s="3">
        <v>2783</v>
      </c>
      <c r="W186" s="3">
        <v>5.3</v>
      </c>
      <c r="X186" s="3" t="s">
        <v>108</v>
      </c>
      <c r="Y186" s="7" t="s">
        <v>75</v>
      </c>
    </row>
    <row r="187" spans="1:25" x14ac:dyDescent="0.3">
      <c r="A187" s="5" t="s">
        <v>395</v>
      </c>
      <c r="B187" s="3" t="s">
        <v>57</v>
      </c>
      <c r="C187" s="3" t="s">
        <v>24</v>
      </c>
      <c r="D187" s="3">
        <v>32</v>
      </c>
      <c r="E187" s="3" t="s">
        <v>65</v>
      </c>
      <c r="F187" s="3" t="s">
        <v>72</v>
      </c>
      <c r="G187" s="3" t="s">
        <v>39</v>
      </c>
      <c r="H187" s="3" t="s">
        <v>28</v>
      </c>
      <c r="I187" s="3" t="s">
        <v>47</v>
      </c>
      <c r="J187" s="6">
        <v>45425</v>
      </c>
      <c r="K187" s="3" t="s">
        <v>30</v>
      </c>
      <c r="L187" s="3" t="s">
        <v>53</v>
      </c>
      <c r="M187" s="3">
        <v>50800</v>
      </c>
      <c r="N187" s="3">
        <v>11</v>
      </c>
      <c r="O187" s="3">
        <v>86.2</v>
      </c>
      <c r="P187" s="3">
        <v>4</v>
      </c>
      <c r="Q187" s="3">
        <v>7</v>
      </c>
      <c r="R187" s="3">
        <v>3</v>
      </c>
      <c r="S187" s="3">
        <v>21</v>
      </c>
      <c r="T187" s="3">
        <v>15</v>
      </c>
      <c r="U187" s="3" t="s">
        <v>74</v>
      </c>
      <c r="V187" s="3">
        <v>4233</v>
      </c>
      <c r="W187" s="3">
        <v>2.2000000000000002</v>
      </c>
      <c r="X187" s="3" t="s">
        <v>33</v>
      </c>
      <c r="Y187" s="7" t="s">
        <v>75</v>
      </c>
    </row>
    <row r="188" spans="1:25" x14ac:dyDescent="0.3">
      <c r="A188" s="5" t="s">
        <v>396</v>
      </c>
      <c r="B188" s="3" t="s">
        <v>134</v>
      </c>
      <c r="C188" s="3" t="s">
        <v>58</v>
      </c>
      <c r="D188" s="3">
        <v>44</v>
      </c>
      <c r="E188" s="3" t="s">
        <v>65</v>
      </c>
      <c r="F188" s="3" t="s">
        <v>72</v>
      </c>
      <c r="G188" s="3" t="s">
        <v>46</v>
      </c>
      <c r="H188" s="3" t="s">
        <v>28</v>
      </c>
      <c r="I188" s="3" t="s">
        <v>29</v>
      </c>
      <c r="J188" s="6">
        <v>45407</v>
      </c>
      <c r="K188" s="3" t="s">
        <v>30</v>
      </c>
      <c r="L188" s="3" t="s">
        <v>31</v>
      </c>
      <c r="M188" s="3">
        <v>105200</v>
      </c>
      <c r="N188" s="3">
        <v>23</v>
      </c>
      <c r="O188" s="3">
        <v>79.3</v>
      </c>
      <c r="P188" s="3">
        <v>5</v>
      </c>
      <c r="Q188" s="3">
        <v>0</v>
      </c>
      <c r="R188" s="3">
        <v>0</v>
      </c>
      <c r="S188" s="3">
        <v>15</v>
      </c>
      <c r="T188" s="3">
        <v>27</v>
      </c>
      <c r="U188" s="3" t="s">
        <v>41</v>
      </c>
      <c r="V188" s="3">
        <v>8767</v>
      </c>
      <c r="W188" s="3">
        <v>2.2999999999999998</v>
      </c>
      <c r="X188" s="3" t="s">
        <v>62</v>
      </c>
      <c r="Y188" s="7" t="s">
        <v>42</v>
      </c>
    </row>
    <row r="189" spans="1:25" x14ac:dyDescent="0.3">
      <c r="A189" s="5" t="s">
        <v>397</v>
      </c>
      <c r="B189" s="3" t="s">
        <v>398</v>
      </c>
      <c r="C189" s="3" t="s">
        <v>24</v>
      </c>
      <c r="D189" s="3">
        <v>31</v>
      </c>
      <c r="E189" s="3" t="s">
        <v>71</v>
      </c>
      <c r="F189" s="3" t="s">
        <v>26</v>
      </c>
      <c r="G189" s="3" t="s">
        <v>39</v>
      </c>
      <c r="H189" s="3" t="s">
        <v>28</v>
      </c>
      <c r="I189" s="3" t="s">
        <v>68</v>
      </c>
      <c r="J189" s="6">
        <v>43146</v>
      </c>
      <c r="K189" s="3" t="s">
        <v>30</v>
      </c>
      <c r="L189" s="3" t="s">
        <v>31</v>
      </c>
      <c r="M189" s="3">
        <v>36900</v>
      </c>
      <c r="N189" s="3">
        <v>12</v>
      </c>
      <c r="O189" s="3">
        <v>85.1</v>
      </c>
      <c r="P189" s="3">
        <v>0</v>
      </c>
      <c r="Q189" s="3">
        <v>5</v>
      </c>
      <c r="R189" s="3">
        <v>2</v>
      </c>
      <c r="S189" s="3">
        <v>12</v>
      </c>
      <c r="T189" s="3">
        <v>4</v>
      </c>
      <c r="U189" s="3" t="s">
        <v>94</v>
      </c>
      <c r="V189" s="3">
        <v>3075</v>
      </c>
      <c r="W189" s="3">
        <v>8.5</v>
      </c>
      <c r="X189" s="3" t="s">
        <v>33</v>
      </c>
      <c r="Y189" s="7" t="s">
        <v>42</v>
      </c>
    </row>
    <row r="190" spans="1:25" x14ac:dyDescent="0.3">
      <c r="A190" s="5" t="s">
        <v>399</v>
      </c>
      <c r="B190" s="3" t="s">
        <v>400</v>
      </c>
      <c r="C190" s="3" t="s">
        <v>24</v>
      </c>
      <c r="D190" s="3">
        <v>34</v>
      </c>
      <c r="E190" s="3" t="s">
        <v>78</v>
      </c>
      <c r="F190" s="3" t="s">
        <v>79</v>
      </c>
      <c r="G190" s="3" t="s">
        <v>80</v>
      </c>
      <c r="H190" s="3" t="s">
        <v>115</v>
      </c>
      <c r="I190" s="3" t="s">
        <v>68</v>
      </c>
      <c r="J190" s="6">
        <v>43446</v>
      </c>
      <c r="K190" s="3" t="s">
        <v>30</v>
      </c>
      <c r="L190" s="3" t="s">
        <v>31</v>
      </c>
      <c r="M190" s="3">
        <v>51200</v>
      </c>
      <c r="N190" s="3">
        <v>15</v>
      </c>
      <c r="O190" s="3">
        <v>100</v>
      </c>
      <c r="P190" s="3">
        <v>8</v>
      </c>
      <c r="Q190" s="3">
        <v>8</v>
      </c>
      <c r="R190" s="3">
        <v>2</v>
      </c>
      <c r="S190" s="3">
        <v>7</v>
      </c>
      <c r="T190" s="3">
        <v>13</v>
      </c>
      <c r="U190" s="3" t="s">
        <v>104</v>
      </c>
      <c r="V190" s="3">
        <v>4267</v>
      </c>
      <c r="W190" s="3">
        <v>7.6</v>
      </c>
      <c r="X190" s="3" t="s">
        <v>33</v>
      </c>
      <c r="Y190" s="7" t="s">
        <v>42</v>
      </c>
    </row>
    <row r="191" spans="1:25" x14ac:dyDescent="0.3">
      <c r="A191" s="5" t="s">
        <v>401</v>
      </c>
      <c r="B191" s="3" t="s">
        <v>402</v>
      </c>
      <c r="C191" s="3" t="s">
        <v>24</v>
      </c>
      <c r="D191" s="3">
        <v>48</v>
      </c>
      <c r="E191" s="3" t="s">
        <v>83</v>
      </c>
      <c r="F191" s="3" t="s">
        <v>91</v>
      </c>
      <c r="G191" s="3" t="s">
        <v>39</v>
      </c>
      <c r="H191" s="3" t="s">
        <v>115</v>
      </c>
      <c r="I191" s="3" t="s">
        <v>40</v>
      </c>
      <c r="J191" s="6">
        <v>43947</v>
      </c>
      <c r="K191" s="3" t="s">
        <v>30</v>
      </c>
      <c r="L191" s="3" t="s">
        <v>93</v>
      </c>
      <c r="M191" s="3">
        <v>27200</v>
      </c>
      <c r="N191" s="3">
        <v>27</v>
      </c>
      <c r="O191" s="3">
        <v>94.2</v>
      </c>
      <c r="P191" s="3">
        <v>2</v>
      </c>
      <c r="Q191" s="3">
        <v>12</v>
      </c>
      <c r="R191" s="3">
        <v>0</v>
      </c>
      <c r="S191" s="3">
        <v>25</v>
      </c>
      <c r="T191" s="3">
        <v>15</v>
      </c>
      <c r="U191" s="3" t="s">
        <v>104</v>
      </c>
      <c r="V191" s="3">
        <v>2267</v>
      </c>
      <c r="W191" s="3">
        <v>6.3</v>
      </c>
      <c r="X191" s="3" t="s">
        <v>54</v>
      </c>
      <c r="Y191" s="7" t="s">
        <v>55</v>
      </c>
    </row>
    <row r="192" spans="1:25" x14ac:dyDescent="0.3">
      <c r="A192" s="5" t="s">
        <v>403</v>
      </c>
      <c r="B192" s="3" t="s">
        <v>368</v>
      </c>
      <c r="C192" s="3" t="s">
        <v>58</v>
      </c>
      <c r="D192" s="3">
        <v>35</v>
      </c>
      <c r="E192" s="3" t="s">
        <v>59</v>
      </c>
      <c r="F192" s="3" t="s">
        <v>52</v>
      </c>
      <c r="G192" s="3" t="s">
        <v>46</v>
      </c>
      <c r="H192" s="3" t="s">
        <v>115</v>
      </c>
      <c r="I192" s="3" t="s">
        <v>29</v>
      </c>
      <c r="J192" s="6">
        <v>46043</v>
      </c>
      <c r="K192" s="3" t="s">
        <v>30</v>
      </c>
      <c r="L192" s="3" t="s">
        <v>31</v>
      </c>
      <c r="M192" s="3">
        <v>69400</v>
      </c>
      <c r="N192" s="3">
        <v>14</v>
      </c>
      <c r="O192" s="3">
        <v>88.8</v>
      </c>
      <c r="P192" s="3">
        <v>1</v>
      </c>
      <c r="Q192" s="3">
        <v>12</v>
      </c>
      <c r="R192" s="3">
        <v>4</v>
      </c>
      <c r="S192" s="3">
        <v>30</v>
      </c>
      <c r="T192" s="3">
        <v>30</v>
      </c>
      <c r="U192" s="3" t="s">
        <v>123</v>
      </c>
      <c r="V192" s="3">
        <v>5783</v>
      </c>
      <c r="W192" s="3">
        <v>0.5</v>
      </c>
      <c r="X192" s="3" t="s">
        <v>108</v>
      </c>
      <c r="Y192" s="7" t="s">
        <v>42</v>
      </c>
    </row>
    <row r="193" spans="1:25" x14ac:dyDescent="0.3">
      <c r="A193" s="5" t="s">
        <v>404</v>
      </c>
      <c r="B193" s="3" t="s">
        <v>405</v>
      </c>
      <c r="C193" s="3" t="s">
        <v>24</v>
      </c>
      <c r="D193" s="3">
        <v>27</v>
      </c>
      <c r="E193" s="3" t="s">
        <v>78</v>
      </c>
      <c r="F193" s="3" t="s">
        <v>91</v>
      </c>
      <c r="G193" s="3" t="s">
        <v>46</v>
      </c>
      <c r="H193" s="3" t="s">
        <v>28</v>
      </c>
      <c r="I193" s="3" t="s">
        <v>107</v>
      </c>
      <c r="J193" s="6">
        <v>44177</v>
      </c>
      <c r="K193" s="3" t="s">
        <v>30</v>
      </c>
      <c r="L193" s="3" t="s">
        <v>31</v>
      </c>
      <c r="M193" s="3">
        <v>51600</v>
      </c>
      <c r="N193" s="3">
        <v>6</v>
      </c>
      <c r="O193" s="3">
        <v>93.9</v>
      </c>
      <c r="P193" s="3">
        <v>6</v>
      </c>
      <c r="Q193" s="3">
        <v>12</v>
      </c>
      <c r="R193" s="3">
        <v>1</v>
      </c>
      <c r="S193" s="3">
        <v>11</v>
      </c>
      <c r="T193" s="3">
        <v>20</v>
      </c>
      <c r="U193" s="3" t="s">
        <v>32</v>
      </c>
      <c r="V193" s="3">
        <v>4300</v>
      </c>
      <c r="W193" s="3">
        <v>5.6</v>
      </c>
      <c r="X193" s="3" t="s">
        <v>95</v>
      </c>
      <c r="Y193" s="7" t="s">
        <v>75</v>
      </c>
    </row>
    <row r="194" spans="1:25" x14ac:dyDescent="0.3">
      <c r="A194" s="5" t="s">
        <v>406</v>
      </c>
      <c r="B194" s="3" t="s">
        <v>295</v>
      </c>
      <c r="C194" s="3" t="s">
        <v>58</v>
      </c>
      <c r="D194" s="3">
        <v>25</v>
      </c>
      <c r="E194" s="3" t="s">
        <v>98</v>
      </c>
      <c r="F194" s="3" t="s">
        <v>66</v>
      </c>
      <c r="G194" s="3" t="s">
        <v>46</v>
      </c>
      <c r="H194" s="3" t="s">
        <v>115</v>
      </c>
      <c r="I194" s="3" t="s">
        <v>107</v>
      </c>
      <c r="J194" s="6">
        <v>44272</v>
      </c>
      <c r="K194" s="3" t="s">
        <v>30</v>
      </c>
      <c r="L194" s="3" t="s">
        <v>53</v>
      </c>
      <c r="M194" s="3">
        <v>76900</v>
      </c>
      <c r="N194" s="3">
        <v>1</v>
      </c>
      <c r="O194" s="3">
        <v>93.1</v>
      </c>
      <c r="P194" s="3">
        <v>3</v>
      </c>
      <c r="Q194" s="3">
        <v>15</v>
      </c>
      <c r="R194" s="3">
        <v>4</v>
      </c>
      <c r="S194" s="3">
        <v>18</v>
      </c>
      <c r="T194" s="3">
        <v>5</v>
      </c>
      <c r="U194" s="3" t="s">
        <v>32</v>
      </c>
      <c r="V194" s="3">
        <v>6408</v>
      </c>
      <c r="W194" s="3">
        <v>5.4</v>
      </c>
      <c r="X194" s="3" t="s">
        <v>95</v>
      </c>
      <c r="Y194" s="7" t="s">
        <v>55</v>
      </c>
    </row>
    <row r="195" spans="1:25" x14ac:dyDescent="0.3">
      <c r="A195" s="5" t="s">
        <v>407</v>
      </c>
      <c r="B195" s="3" t="s">
        <v>256</v>
      </c>
      <c r="C195" s="3" t="s">
        <v>58</v>
      </c>
      <c r="D195" s="3">
        <v>43</v>
      </c>
      <c r="E195" s="3" t="s">
        <v>45</v>
      </c>
      <c r="F195" s="3" t="s">
        <v>38</v>
      </c>
      <c r="G195" s="3" t="s">
        <v>80</v>
      </c>
      <c r="H195" s="3" t="s">
        <v>115</v>
      </c>
      <c r="I195" s="3" t="s">
        <v>47</v>
      </c>
      <c r="J195" s="6">
        <v>44657</v>
      </c>
      <c r="K195" s="3" t="s">
        <v>30</v>
      </c>
      <c r="L195" s="3" t="s">
        <v>53</v>
      </c>
      <c r="M195" s="3">
        <v>43100</v>
      </c>
      <c r="N195" s="3">
        <v>24</v>
      </c>
      <c r="O195" s="3">
        <v>82</v>
      </c>
      <c r="P195" s="3">
        <v>3</v>
      </c>
      <c r="Q195" s="3">
        <v>14</v>
      </c>
      <c r="R195" s="3">
        <v>1</v>
      </c>
      <c r="S195" s="3">
        <v>9</v>
      </c>
      <c r="T195" s="3">
        <v>13</v>
      </c>
      <c r="U195" s="3" t="s">
        <v>104</v>
      </c>
      <c r="V195" s="3">
        <v>3592</v>
      </c>
      <c r="W195" s="3">
        <v>4.3</v>
      </c>
      <c r="X195" s="3" t="s">
        <v>62</v>
      </c>
      <c r="Y195" s="7" t="s">
        <v>42</v>
      </c>
    </row>
    <row r="196" spans="1:25" x14ac:dyDescent="0.3">
      <c r="A196" s="5" t="s">
        <v>408</v>
      </c>
      <c r="B196" s="3" t="s">
        <v>44</v>
      </c>
      <c r="C196" s="3" t="s">
        <v>58</v>
      </c>
      <c r="D196" s="3">
        <v>27</v>
      </c>
      <c r="E196" s="3" t="s">
        <v>137</v>
      </c>
      <c r="F196" s="3" t="s">
        <v>38</v>
      </c>
      <c r="G196" s="3" t="s">
        <v>39</v>
      </c>
      <c r="H196" s="3" t="s">
        <v>28</v>
      </c>
      <c r="I196" s="3" t="s">
        <v>92</v>
      </c>
      <c r="J196" s="6">
        <v>43333</v>
      </c>
      <c r="K196" s="3" t="s">
        <v>30</v>
      </c>
      <c r="L196" s="3" t="s">
        <v>31</v>
      </c>
      <c r="M196" s="3">
        <v>35100</v>
      </c>
      <c r="N196" s="3">
        <v>5</v>
      </c>
      <c r="O196" s="3">
        <v>95.2</v>
      </c>
      <c r="P196" s="3">
        <v>8</v>
      </c>
      <c r="Q196" s="3">
        <v>1</v>
      </c>
      <c r="R196" s="3">
        <v>1</v>
      </c>
      <c r="S196" s="3">
        <v>21</v>
      </c>
      <c r="T196" s="3">
        <v>4</v>
      </c>
      <c r="U196" s="3" t="s">
        <v>94</v>
      </c>
      <c r="V196" s="3">
        <v>2925</v>
      </c>
      <c r="W196" s="3">
        <v>7.9</v>
      </c>
      <c r="X196" s="3" t="s">
        <v>95</v>
      </c>
      <c r="Y196" s="7" t="s">
        <v>75</v>
      </c>
    </row>
    <row r="197" spans="1:25" x14ac:dyDescent="0.3">
      <c r="A197" s="5" t="s">
        <v>409</v>
      </c>
      <c r="B197" s="3" t="s">
        <v>229</v>
      </c>
      <c r="C197" s="3" t="s">
        <v>24</v>
      </c>
      <c r="D197" s="3">
        <v>21</v>
      </c>
      <c r="E197" s="3" t="s">
        <v>59</v>
      </c>
      <c r="F197" s="3" t="s">
        <v>72</v>
      </c>
      <c r="G197" s="3" t="s">
        <v>39</v>
      </c>
      <c r="H197" s="3" t="s">
        <v>28</v>
      </c>
      <c r="I197" s="3" t="s">
        <v>47</v>
      </c>
      <c r="J197" s="6">
        <v>43151</v>
      </c>
      <c r="K197" s="3" t="s">
        <v>30</v>
      </c>
      <c r="L197" s="3" t="s">
        <v>93</v>
      </c>
      <c r="M197" s="3">
        <v>52000</v>
      </c>
      <c r="N197" s="3">
        <v>1</v>
      </c>
      <c r="O197" s="3">
        <v>81.5</v>
      </c>
      <c r="P197" s="3">
        <v>6</v>
      </c>
      <c r="Q197" s="3">
        <v>4</v>
      </c>
      <c r="R197" s="3">
        <v>0</v>
      </c>
      <c r="S197" s="3">
        <v>1</v>
      </c>
      <c r="T197" s="3">
        <v>23</v>
      </c>
      <c r="U197" s="3" t="s">
        <v>104</v>
      </c>
      <c r="V197" s="3">
        <v>4333</v>
      </c>
      <c r="W197" s="3">
        <v>8.4</v>
      </c>
      <c r="X197" s="3" t="s">
        <v>48</v>
      </c>
      <c r="Y197" s="7" t="s">
        <v>55</v>
      </c>
    </row>
    <row r="198" spans="1:25" x14ac:dyDescent="0.3">
      <c r="A198" s="5" t="s">
        <v>410</v>
      </c>
      <c r="B198" s="3" t="s">
        <v>216</v>
      </c>
      <c r="C198" s="3" t="s">
        <v>58</v>
      </c>
      <c r="D198" s="3">
        <v>37</v>
      </c>
      <c r="E198" s="3" t="s">
        <v>78</v>
      </c>
      <c r="F198" s="3" t="s">
        <v>72</v>
      </c>
      <c r="G198" s="3" t="s">
        <v>80</v>
      </c>
      <c r="H198" s="3" t="s">
        <v>28</v>
      </c>
      <c r="I198" s="3" t="s">
        <v>92</v>
      </c>
      <c r="J198" s="6">
        <v>43765</v>
      </c>
      <c r="K198" s="3" t="s">
        <v>30</v>
      </c>
      <c r="L198" s="3" t="s">
        <v>53</v>
      </c>
      <c r="M198" s="3">
        <v>70000</v>
      </c>
      <c r="N198" s="3">
        <v>17</v>
      </c>
      <c r="O198" s="3">
        <v>87.9</v>
      </c>
      <c r="P198" s="3">
        <v>8</v>
      </c>
      <c r="Q198" s="3">
        <v>9</v>
      </c>
      <c r="R198" s="3">
        <v>4</v>
      </c>
      <c r="S198" s="3">
        <v>14</v>
      </c>
      <c r="T198" s="3">
        <v>28</v>
      </c>
      <c r="U198" s="3" t="s">
        <v>104</v>
      </c>
      <c r="V198" s="3">
        <v>5833</v>
      </c>
      <c r="W198" s="3">
        <v>6.8</v>
      </c>
      <c r="X198" s="3" t="s">
        <v>108</v>
      </c>
      <c r="Y198" s="7" t="s">
        <v>75</v>
      </c>
    </row>
    <row r="199" spans="1:25" x14ac:dyDescent="0.3">
      <c r="A199" s="5" t="s">
        <v>411</v>
      </c>
      <c r="B199" s="3" t="s">
        <v>320</v>
      </c>
      <c r="C199" s="3" t="s">
        <v>58</v>
      </c>
      <c r="D199" s="3">
        <v>30</v>
      </c>
      <c r="E199" s="3" t="s">
        <v>45</v>
      </c>
      <c r="F199" s="3" t="s">
        <v>52</v>
      </c>
      <c r="G199" s="3" t="s">
        <v>171</v>
      </c>
      <c r="H199" s="3" t="s">
        <v>28</v>
      </c>
      <c r="I199" s="3" t="s">
        <v>92</v>
      </c>
      <c r="J199" s="6">
        <v>43551</v>
      </c>
      <c r="K199" s="3" t="s">
        <v>30</v>
      </c>
      <c r="L199" s="3" t="s">
        <v>53</v>
      </c>
      <c r="M199" s="3">
        <v>126000</v>
      </c>
      <c r="N199" s="3">
        <v>7</v>
      </c>
      <c r="O199" s="3">
        <v>86.1</v>
      </c>
      <c r="P199" s="3">
        <v>0</v>
      </c>
      <c r="Q199" s="3">
        <v>9</v>
      </c>
      <c r="R199" s="3">
        <v>2</v>
      </c>
      <c r="S199" s="3">
        <v>16</v>
      </c>
      <c r="T199" s="3">
        <v>24</v>
      </c>
      <c r="U199" s="3" t="s">
        <v>130</v>
      </c>
      <c r="V199" s="3">
        <v>10500</v>
      </c>
      <c r="W199" s="3">
        <v>7.3</v>
      </c>
      <c r="X199" s="3" t="s">
        <v>33</v>
      </c>
      <c r="Y199" s="7" t="s">
        <v>75</v>
      </c>
    </row>
    <row r="200" spans="1:25" x14ac:dyDescent="0.3">
      <c r="A200" s="5" t="s">
        <v>412</v>
      </c>
      <c r="B200" s="3" t="s">
        <v>413</v>
      </c>
      <c r="C200" s="3" t="s">
        <v>58</v>
      </c>
      <c r="D200" s="3">
        <v>36</v>
      </c>
      <c r="E200" s="3" t="s">
        <v>65</v>
      </c>
      <c r="F200" s="3" t="s">
        <v>60</v>
      </c>
      <c r="G200" s="3" t="s">
        <v>39</v>
      </c>
      <c r="H200" s="3" t="s">
        <v>122</v>
      </c>
      <c r="I200" s="3" t="s">
        <v>86</v>
      </c>
      <c r="J200" s="6">
        <v>44463</v>
      </c>
      <c r="K200" s="3" t="s">
        <v>30</v>
      </c>
      <c r="L200" s="3" t="s">
        <v>53</v>
      </c>
      <c r="M200" s="3">
        <v>41700</v>
      </c>
      <c r="N200" s="3">
        <v>14</v>
      </c>
      <c r="O200" s="3">
        <v>92</v>
      </c>
      <c r="P200" s="3">
        <v>2</v>
      </c>
      <c r="Q200" s="3">
        <v>8</v>
      </c>
      <c r="R200" s="3">
        <v>4</v>
      </c>
      <c r="S200" s="3">
        <v>27</v>
      </c>
      <c r="T200" s="3">
        <v>17</v>
      </c>
      <c r="U200" s="3" t="s">
        <v>104</v>
      </c>
      <c r="V200" s="3">
        <v>3475</v>
      </c>
      <c r="W200" s="3">
        <v>4.9000000000000004</v>
      </c>
      <c r="X200" s="3" t="s">
        <v>108</v>
      </c>
      <c r="Y200" s="7" t="s">
        <v>75</v>
      </c>
    </row>
    <row r="201" spans="1:25" x14ac:dyDescent="0.3">
      <c r="A201" s="5" t="s">
        <v>414</v>
      </c>
      <c r="B201" s="3" t="s">
        <v>203</v>
      </c>
      <c r="C201" s="3" t="s">
        <v>24</v>
      </c>
      <c r="D201" s="3">
        <v>29</v>
      </c>
      <c r="E201" s="3" t="s">
        <v>137</v>
      </c>
      <c r="F201" s="3" t="s">
        <v>72</v>
      </c>
      <c r="G201" s="3" t="s">
        <v>80</v>
      </c>
      <c r="H201" s="3" t="s">
        <v>28</v>
      </c>
      <c r="I201" s="3" t="s">
        <v>68</v>
      </c>
      <c r="J201" s="6">
        <v>43451</v>
      </c>
      <c r="K201" s="3" t="s">
        <v>30</v>
      </c>
      <c r="L201" s="3" t="s">
        <v>93</v>
      </c>
      <c r="M201" s="3">
        <v>61100</v>
      </c>
      <c r="N201" s="3">
        <v>10</v>
      </c>
      <c r="O201" s="3">
        <v>92.1</v>
      </c>
      <c r="P201" s="3">
        <v>5</v>
      </c>
      <c r="Q201" s="3">
        <v>14</v>
      </c>
      <c r="R201" s="3">
        <v>4</v>
      </c>
      <c r="S201" s="3">
        <v>5</v>
      </c>
      <c r="T201" s="3">
        <v>4</v>
      </c>
      <c r="U201" s="3" t="s">
        <v>41</v>
      </c>
      <c r="V201" s="3">
        <v>5092</v>
      </c>
      <c r="W201" s="3">
        <v>7.6</v>
      </c>
      <c r="X201" s="3" t="s">
        <v>95</v>
      </c>
      <c r="Y201" s="7" t="s">
        <v>75</v>
      </c>
    </row>
    <row r="202" spans="1:25" x14ac:dyDescent="0.3">
      <c r="A202" s="5" t="s">
        <v>415</v>
      </c>
      <c r="B202" s="3" t="s">
        <v>145</v>
      </c>
      <c r="C202" s="3" t="s">
        <v>24</v>
      </c>
      <c r="D202" s="3">
        <v>21</v>
      </c>
      <c r="E202" s="3" t="s">
        <v>45</v>
      </c>
      <c r="F202" s="3" t="s">
        <v>72</v>
      </c>
      <c r="G202" s="3" t="s">
        <v>39</v>
      </c>
      <c r="H202" s="3" t="s">
        <v>28</v>
      </c>
      <c r="I202" s="3" t="s">
        <v>86</v>
      </c>
      <c r="J202" s="6">
        <v>45797</v>
      </c>
      <c r="K202" s="3" t="s">
        <v>30</v>
      </c>
      <c r="L202" s="3" t="s">
        <v>53</v>
      </c>
      <c r="M202" s="3">
        <v>51500</v>
      </c>
      <c r="N202" s="3">
        <v>0</v>
      </c>
      <c r="O202" s="3">
        <v>76</v>
      </c>
      <c r="P202" s="3">
        <v>0</v>
      </c>
      <c r="Q202" s="3">
        <v>10</v>
      </c>
      <c r="R202" s="3">
        <v>1</v>
      </c>
      <c r="S202" s="3">
        <v>27</v>
      </c>
      <c r="T202" s="3">
        <v>4</v>
      </c>
      <c r="U202" s="3" t="s">
        <v>94</v>
      </c>
      <c r="V202" s="3">
        <v>4292</v>
      </c>
      <c r="W202" s="3">
        <v>1.2</v>
      </c>
      <c r="X202" s="3" t="s">
        <v>48</v>
      </c>
      <c r="Y202" s="7" t="s">
        <v>55</v>
      </c>
    </row>
    <row r="203" spans="1:25" x14ac:dyDescent="0.3">
      <c r="A203" s="5" t="s">
        <v>416</v>
      </c>
      <c r="B203" s="3" t="s">
        <v>162</v>
      </c>
      <c r="C203" s="3" t="s">
        <v>24</v>
      </c>
      <c r="D203" s="3">
        <v>42</v>
      </c>
      <c r="E203" s="3" t="s">
        <v>45</v>
      </c>
      <c r="F203" s="3" t="s">
        <v>91</v>
      </c>
      <c r="G203" s="3" t="s">
        <v>46</v>
      </c>
      <c r="H203" s="3" t="s">
        <v>67</v>
      </c>
      <c r="I203" s="3" t="s">
        <v>92</v>
      </c>
      <c r="J203" s="6">
        <v>44409</v>
      </c>
      <c r="K203" s="3" t="s">
        <v>30</v>
      </c>
      <c r="L203" s="3" t="s">
        <v>53</v>
      </c>
      <c r="M203" s="3">
        <v>51200</v>
      </c>
      <c r="N203" s="3">
        <v>18</v>
      </c>
      <c r="O203" s="3">
        <v>97.2</v>
      </c>
      <c r="P203" s="3">
        <v>4</v>
      </c>
      <c r="Q203" s="3">
        <v>11</v>
      </c>
      <c r="R203" s="3">
        <v>1</v>
      </c>
      <c r="S203" s="3">
        <v>2</v>
      </c>
      <c r="T203" s="3">
        <v>30</v>
      </c>
      <c r="U203" s="3" t="s">
        <v>104</v>
      </c>
      <c r="V203" s="3">
        <v>4267</v>
      </c>
      <c r="W203" s="3">
        <v>5</v>
      </c>
      <c r="X203" s="3" t="s">
        <v>62</v>
      </c>
      <c r="Y203" s="7" t="s">
        <v>55</v>
      </c>
    </row>
    <row r="204" spans="1:25" x14ac:dyDescent="0.3">
      <c r="A204" s="5" t="s">
        <v>417</v>
      </c>
      <c r="B204" s="3" t="s">
        <v>299</v>
      </c>
      <c r="C204" s="3" t="s">
        <v>58</v>
      </c>
      <c r="D204" s="3">
        <v>46</v>
      </c>
      <c r="E204" s="3" t="s">
        <v>78</v>
      </c>
      <c r="F204" s="3" t="s">
        <v>26</v>
      </c>
      <c r="G204" s="3" t="s">
        <v>46</v>
      </c>
      <c r="H204" s="3" t="s">
        <v>28</v>
      </c>
      <c r="I204" s="3" t="s">
        <v>68</v>
      </c>
      <c r="J204" s="6">
        <v>46026</v>
      </c>
      <c r="K204" s="3" t="s">
        <v>30</v>
      </c>
      <c r="L204" s="3" t="s">
        <v>93</v>
      </c>
      <c r="M204" s="3">
        <v>81700</v>
      </c>
      <c r="N204" s="3">
        <v>24</v>
      </c>
      <c r="O204" s="3">
        <v>91.3</v>
      </c>
      <c r="P204" s="3">
        <v>3</v>
      </c>
      <c r="Q204" s="3">
        <v>3</v>
      </c>
      <c r="R204" s="3">
        <v>2</v>
      </c>
      <c r="S204" s="3">
        <v>10</v>
      </c>
      <c r="T204" s="3">
        <v>8</v>
      </c>
      <c r="U204" s="3" t="s">
        <v>74</v>
      </c>
      <c r="V204" s="3">
        <v>6808</v>
      </c>
      <c r="W204" s="3">
        <v>0.6</v>
      </c>
      <c r="X204" s="3" t="s">
        <v>54</v>
      </c>
      <c r="Y204" s="7" t="s">
        <v>75</v>
      </c>
    </row>
    <row r="205" spans="1:25" x14ac:dyDescent="0.3">
      <c r="A205" s="5" t="s">
        <v>418</v>
      </c>
      <c r="B205" s="3" t="s">
        <v>178</v>
      </c>
      <c r="C205" s="3" t="s">
        <v>58</v>
      </c>
      <c r="D205" s="3">
        <v>38</v>
      </c>
      <c r="E205" s="3" t="s">
        <v>65</v>
      </c>
      <c r="F205" s="3" t="s">
        <v>91</v>
      </c>
      <c r="G205" s="3" t="s">
        <v>46</v>
      </c>
      <c r="H205" s="3" t="s">
        <v>115</v>
      </c>
      <c r="I205" s="3" t="s">
        <v>29</v>
      </c>
      <c r="J205" s="6">
        <v>43683</v>
      </c>
      <c r="K205" s="3" t="s">
        <v>30</v>
      </c>
      <c r="L205" s="3" t="s">
        <v>31</v>
      </c>
      <c r="M205" s="3">
        <v>46900</v>
      </c>
      <c r="N205" s="3">
        <v>17</v>
      </c>
      <c r="O205" s="3">
        <v>95.8</v>
      </c>
      <c r="P205" s="3">
        <v>3</v>
      </c>
      <c r="Q205" s="3">
        <v>14</v>
      </c>
      <c r="R205" s="3">
        <v>2</v>
      </c>
      <c r="S205" s="3">
        <v>27</v>
      </c>
      <c r="T205" s="3">
        <v>11</v>
      </c>
      <c r="U205" s="3" t="s">
        <v>123</v>
      </c>
      <c r="V205" s="3">
        <v>3908</v>
      </c>
      <c r="W205" s="3">
        <v>7</v>
      </c>
      <c r="X205" s="3" t="s">
        <v>108</v>
      </c>
      <c r="Y205" s="7" t="s">
        <v>42</v>
      </c>
    </row>
    <row r="206" spans="1:25" x14ac:dyDescent="0.3">
      <c r="A206" s="5" t="s">
        <v>419</v>
      </c>
      <c r="B206" s="3" t="s">
        <v>420</v>
      </c>
      <c r="C206" s="3" t="s">
        <v>24</v>
      </c>
      <c r="D206" s="3">
        <v>39</v>
      </c>
      <c r="E206" s="3" t="s">
        <v>37</v>
      </c>
      <c r="F206" s="3" t="s">
        <v>52</v>
      </c>
      <c r="G206" s="3" t="s">
        <v>27</v>
      </c>
      <c r="H206" s="3" t="s">
        <v>28</v>
      </c>
      <c r="I206" s="3" t="s">
        <v>68</v>
      </c>
      <c r="J206" s="6">
        <v>43345</v>
      </c>
      <c r="K206" s="3" t="s">
        <v>30</v>
      </c>
      <c r="L206" s="3" t="s">
        <v>93</v>
      </c>
      <c r="M206" s="3">
        <v>95600</v>
      </c>
      <c r="N206" s="3">
        <v>18</v>
      </c>
      <c r="O206" s="3">
        <v>91.2</v>
      </c>
      <c r="P206" s="3">
        <v>6</v>
      </c>
      <c r="Q206" s="3">
        <v>8</v>
      </c>
      <c r="R206" s="3">
        <v>1</v>
      </c>
      <c r="S206" s="3">
        <v>4</v>
      </c>
      <c r="T206" s="3">
        <v>26</v>
      </c>
      <c r="U206" s="3" t="s">
        <v>123</v>
      </c>
      <c r="V206" s="3">
        <v>7967</v>
      </c>
      <c r="W206" s="3">
        <v>7.9</v>
      </c>
      <c r="X206" s="3" t="s">
        <v>108</v>
      </c>
      <c r="Y206" s="7" t="s">
        <v>42</v>
      </c>
    </row>
    <row r="207" spans="1:25" x14ac:dyDescent="0.3">
      <c r="A207" s="5" t="s">
        <v>421</v>
      </c>
      <c r="B207" s="3" t="s">
        <v>184</v>
      </c>
      <c r="C207" s="3" t="s">
        <v>58</v>
      </c>
      <c r="D207" s="3">
        <v>39</v>
      </c>
      <c r="E207" s="3" t="s">
        <v>78</v>
      </c>
      <c r="F207" s="3" t="s">
        <v>60</v>
      </c>
      <c r="G207" s="3" t="s">
        <v>80</v>
      </c>
      <c r="H207" s="3" t="s">
        <v>28</v>
      </c>
      <c r="I207" s="3" t="s">
        <v>68</v>
      </c>
      <c r="J207" s="6">
        <v>43650</v>
      </c>
      <c r="K207" s="3" t="s">
        <v>30</v>
      </c>
      <c r="L207" s="3" t="s">
        <v>93</v>
      </c>
      <c r="M207" s="3">
        <v>63900</v>
      </c>
      <c r="N207" s="3">
        <v>17</v>
      </c>
      <c r="O207" s="3">
        <v>91.9</v>
      </c>
      <c r="P207" s="3">
        <v>4</v>
      </c>
      <c r="Q207" s="3">
        <v>7</v>
      </c>
      <c r="R207" s="3">
        <v>4</v>
      </c>
      <c r="S207" s="3">
        <v>21</v>
      </c>
      <c r="T207" s="3">
        <v>17</v>
      </c>
      <c r="U207" s="3" t="s">
        <v>130</v>
      </c>
      <c r="V207" s="3">
        <v>5325</v>
      </c>
      <c r="W207" s="3">
        <v>7.1</v>
      </c>
      <c r="X207" s="3" t="s">
        <v>108</v>
      </c>
      <c r="Y207" s="7" t="s">
        <v>42</v>
      </c>
    </row>
    <row r="208" spans="1:25" x14ac:dyDescent="0.3">
      <c r="A208" s="5" t="s">
        <v>422</v>
      </c>
      <c r="B208" s="3" t="s">
        <v>187</v>
      </c>
      <c r="C208" s="3" t="s">
        <v>58</v>
      </c>
      <c r="D208" s="3">
        <v>39</v>
      </c>
      <c r="E208" s="3" t="s">
        <v>160</v>
      </c>
      <c r="F208" s="3" t="s">
        <v>38</v>
      </c>
      <c r="G208" s="3" t="s">
        <v>39</v>
      </c>
      <c r="H208" s="3" t="s">
        <v>28</v>
      </c>
      <c r="I208" s="3" t="s">
        <v>40</v>
      </c>
      <c r="J208" s="6">
        <v>43828</v>
      </c>
      <c r="K208" s="3" t="s">
        <v>30</v>
      </c>
      <c r="L208" s="3" t="s">
        <v>93</v>
      </c>
      <c r="M208" s="3">
        <v>31500</v>
      </c>
      <c r="N208" s="3">
        <v>20</v>
      </c>
      <c r="O208" s="3">
        <v>83.8</v>
      </c>
      <c r="P208" s="3">
        <v>6</v>
      </c>
      <c r="Q208" s="3">
        <v>8</v>
      </c>
      <c r="R208" s="3">
        <v>1</v>
      </c>
      <c r="S208" s="3">
        <v>12</v>
      </c>
      <c r="T208" s="3">
        <v>14</v>
      </c>
      <c r="U208" s="3" t="s">
        <v>94</v>
      </c>
      <c r="V208" s="3">
        <v>2625</v>
      </c>
      <c r="W208" s="3">
        <v>6.6</v>
      </c>
      <c r="X208" s="3" t="s">
        <v>108</v>
      </c>
      <c r="Y208" s="7" t="s">
        <v>42</v>
      </c>
    </row>
    <row r="209" spans="1:25" x14ac:dyDescent="0.3">
      <c r="A209" s="5" t="s">
        <v>423</v>
      </c>
      <c r="B209" s="3" t="s">
        <v>424</v>
      </c>
      <c r="C209" s="3" t="s">
        <v>58</v>
      </c>
      <c r="D209" s="3">
        <v>21</v>
      </c>
      <c r="E209" s="3" t="s">
        <v>137</v>
      </c>
      <c r="F209" s="3" t="s">
        <v>52</v>
      </c>
      <c r="G209" s="3" t="s">
        <v>80</v>
      </c>
      <c r="H209" s="3" t="s">
        <v>28</v>
      </c>
      <c r="I209" s="3" t="s">
        <v>92</v>
      </c>
      <c r="J209" s="6">
        <v>43739</v>
      </c>
      <c r="K209" s="3" t="s">
        <v>30</v>
      </c>
      <c r="L209" s="3" t="s">
        <v>93</v>
      </c>
      <c r="M209" s="3">
        <v>47600</v>
      </c>
      <c r="N209" s="3">
        <v>1</v>
      </c>
      <c r="O209" s="3">
        <v>87.1</v>
      </c>
      <c r="P209" s="3">
        <v>0</v>
      </c>
      <c r="Q209" s="3">
        <v>12</v>
      </c>
      <c r="R209" s="3">
        <v>3</v>
      </c>
      <c r="S209" s="3">
        <v>15</v>
      </c>
      <c r="T209" s="3">
        <v>20</v>
      </c>
      <c r="U209" s="3" t="s">
        <v>32</v>
      </c>
      <c r="V209" s="3">
        <v>3967</v>
      </c>
      <c r="W209" s="3">
        <v>6.8</v>
      </c>
      <c r="X209" s="3" t="s">
        <v>48</v>
      </c>
      <c r="Y209" s="7" t="s">
        <v>75</v>
      </c>
    </row>
    <row r="210" spans="1:25" x14ac:dyDescent="0.3">
      <c r="A210" s="5" t="s">
        <v>425</v>
      </c>
      <c r="B210" s="3" t="s">
        <v>426</v>
      </c>
      <c r="C210" s="3" t="s">
        <v>58</v>
      </c>
      <c r="D210" s="3">
        <v>46</v>
      </c>
      <c r="E210" s="3" t="s">
        <v>71</v>
      </c>
      <c r="F210" s="3" t="s">
        <v>38</v>
      </c>
      <c r="G210" s="3" t="s">
        <v>46</v>
      </c>
      <c r="H210" s="3" t="s">
        <v>28</v>
      </c>
      <c r="I210" s="3" t="s">
        <v>29</v>
      </c>
      <c r="J210" s="6">
        <v>43684</v>
      </c>
      <c r="K210" s="3" t="s">
        <v>30</v>
      </c>
      <c r="L210" s="3" t="s">
        <v>31</v>
      </c>
      <c r="M210" s="3">
        <v>75200</v>
      </c>
      <c r="N210" s="3">
        <v>25</v>
      </c>
      <c r="O210" s="3">
        <v>89.9</v>
      </c>
      <c r="P210" s="3">
        <v>8</v>
      </c>
      <c r="Q210" s="3">
        <v>12</v>
      </c>
      <c r="R210" s="3">
        <v>3</v>
      </c>
      <c r="S210" s="3">
        <v>25</v>
      </c>
      <c r="T210" s="3">
        <v>29</v>
      </c>
      <c r="U210" s="3" t="s">
        <v>94</v>
      </c>
      <c r="V210" s="3">
        <v>6267</v>
      </c>
      <c r="W210" s="3">
        <v>7</v>
      </c>
      <c r="X210" s="3" t="s">
        <v>54</v>
      </c>
      <c r="Y210" s="7" t="s">
        <v>42</v>
      </c>
    </row>
    <row r="211" spans="1:25" x14ac:dyDescent="0.3">
      <c r="A211" s="5" t="s">
        <v>427</v>
      </c>
      <c r="B211" s="3" t="s">
        <v>304</v>
      </c>
      <c r="C211" s="3" t="s">
        <v>24</v>
      </c>
      <c r="D211" s="3">
        <v>25</v>
      </c>
      <c r="E211" s="3" t="s">
        <v>90</v>
      </c>
      <c r="F211" s="3" t="s">
        <v>52</v>
      </c>
      <c r="G211" s="3" t="s">
        <v>46</v>
      </c>
      <c r="H211" s="3" t="s">
        <v>115</v>
      </c>
      <c r="I211" s="3" t="s">
        <v>47</v>
      </c>
      <c r="J211" s="6">
        <v>45374</v>
      </c>
      <c r="K211" s="3" t="s">
        <v>30</v>
      </c>
      <c r="L211" s="3" t="s">
        <v>53</v>
      </c>
      <c r="M211" s="3">
        <v>58200</v>
      </c>
      <c r="N211" s="3">
        <v>2</v>
      </c>
      <c r="O211" s="3">
        <v>94.5</v>
      </c>
      <c r="P211" s="3">
        <v>7</v>
      </c>
      <c r="Q211" s="3">
        <v>12</v>
      </c>
      <c r="R211" s="3">
        <v>1</v>
      </c>
      <c r="S211" s="3">
        <v>21</v>
      </c>
      <c r="T211" s="3">
        <v>7</v>
      </c>
      <c r="U211" s="3" t="s">
        <v>130</v>
      </c>
      <c r="V211" s="3">
        <v>4850</v>
      </c>
      <c r="W211" s="3">
        <v>2.4</v>
      </c>
      <c r="X211" s="3" t="s">
        <v>95</v>
      </c>
      <c r="Y211" s="7" t="s">
        <v>42</v>
      </c>
    </row>
    <row r="212" spans="1:25" x14ac:dyDescent="0.3">
      <c r="A212" s="5" t="s">
        <v>428</v>
      </c>
      <c r="B212" s="3" t="s">
        <v>44</v>
      </c>
      <c r="C212" s="3" t="s">
        <v>58</v>
      </c>
      <c r="D212" s="3">
        <v>36</v>
      </c>
      <c r="E212" s="3" t="s">
        <v>45</v>
      </c>
      <c r="F212" s="3" t="s">
        <v>38</v>
      </c>
      <c r="G212" s="3" t="s">
        <v>80</v>
      </c>
      <c r="H212" s="3" t="s">
        <v>28</v>
      </c>
      <c r="I212" s="3" t="s">
        <v>73</v>
      </c>
      <c r="J212" s="6">
        <v>45975</v>
      </c>
      <c r="K212" s="3" t="s">
        <v>61</v>
      </c>
      <c r="L212" s="3" t="s">
        <v>53</v>
      </c>
      <c r="M212" s="3">
        <v>50900</v>
      </c>
      <c r="N212" s="3">
        <v>17</v>
      </c>
      <c r="O212" s="3">
        <v>88.7</v>
      </c>
      <c r="P212" s="3">
        <v>6</v>
      </c>
      <c r="Q212" s="3">
        <v>1</v>
      </c>
      <c r="R212" s="3">
        <v>2</v>
      </c>
      <c r="S212" s="3">
        <v>27</v>
      </c>
      <c r="T212" s="3">
        <v>22</v>
      </c>
      <c r="U212" s="3" t="s">
        <v>123</v>
      </c>
      <c r="V212" s="3">
        <v>4242</v>
      </c>
      <c r="W212" s="3">
        <v>0.7</v>
      </c>
      <c r="X212" s="3" t="s">
        <v>108</v>
      </c>
      <c r="Y212" s="7" t="s">
        <v>42</v>
      </c>
    </row>
    <row r="213" spans="1:25" x14ac:dyDescent="0.3">
      <c r="A213" s="5" t="s">
        <v>429</v>
      </c>
      <c r="B213" s="3" t="s">
        <v>430</v>
      </c>
      <c r="C213" s="3" t="s">
        <v>24</v>
      </c>
      <c r="D213" s="3">
        <v>31</v>
      </c>
      <c r="E213" s="3" t="s">
        <v>51</v>
      </c>
      <c r="F213" s="3" t="s">
        <v>72</v>
      </c>
      <c r="G213" s="3" t="s">
        <v>46</v>
      </c>
      <c r="H213" s="3" t="s">
        <v>28</v>
      </c>
      <c r="I213" s="3" t="s">
        <v>29</v>
      </c>
      <c r="J213" s="6">
        <v>43541</v>
      </c>
      <c r="K213" s="3" t="s">
        <v>30</v>
      </c>
      <c r="L213" s="3" t="s">
        <v>31</v>
      </c>
      <c r="M213" s="3">
        <v>97000</v>
      </c>
      <c r="N213" s="3">
        <v>12</v>
      </c>
      <c r="O213" s="3">
        <v>87.4</v>
      </c>
      <c r="P213" s="3">
        <v>1</v>
      </c>
      <c r="Q213" s="3">
        <v>9</v>
      </c>
      <c r="R213" s="3">
        <v>1</v>
      </c>
      <c r="S213" s="3">
        <v>9</v>
      </c>
      <c r="T213" s="3">
        <v>25</v>
      </c>
      <c r="U213" s="3" t="s">
        <v>74</v>
      </c>
      <c r="V213" s="3">
        <v>8083</v>
      </c>
      <c r="W213" s="3">
        <v>7.4</v>
      </c>
      <c r="X213" s="3" t="s">
        <v>33</v>
      </c>
      <c r="Y213" s="7" t="s">
        <v>42</v>
      </c>
    </row>
    <row r="214" spans="1:25" x14ac:dyDescent="0.3">
      <c r="A214" s="5" t="s">
        <v>431</v>
      </c>
      <c r="B214" s="3" t="s">
        <v>432</v>
      </c>
      <c r="C214" s="3" t="s">
        <v>24</v>
      </c>
      <c r="D214" s="3">
        <v>49</v>
      </c>
      <c r="E214" s="3" t="s">
        <v>101</v>
      </c>
      <c r="F214" s="3" t="s">
        <v>79</v>
      </c>
      <c r="G214" s="3" t="s">
        <v>46</v>
      </c>
      <c r="H214" s="3" t="s">
        <v>28</v>
      </c>
      <c r="I214" s="3" t="s">
        <v>92</v>
      </c>
      <c r="J214" s="6">
        <v>44568</v>
      </c>
      <c r="K214" s="3" t="s">
        <v>30</v>
      </c>
      <c r="L214" s="3" t="s">
        <v>53</v>
      </c>
      <c r="M214" s="3">
        <v>66900</v>
      </c>
      <c r="N214" s="3">
        <v>25</v>
      </c>
      <c r="O214" s="3">
        <v>86.5</v>
      </c>
      <c r="P214" s="3">
        <v>5</v>
      </c>
      <c r="Q214" s="3">
        <v>4</v>
      </c>
      <c r="R214" s="3">
        <v>4</v>
      </c>
      <c r="S214" s="3">
        <v>12</v>
      </c>
      <c r="T214" s="3">
        <v>10</v>
      </c>
      <c r="U214" s="3" t="s">
        <v>123</v>
      </c>
      <c r="V214" s="3">
        <v>5575</v>
      </c>
      <c r="W214" s="3">
        <v>4.5999999999999996</v>
      </c>
      <c r="X214" s="3" t="s">
        <v>54</v>
      </c>
      <c r="Y214" s="7" t="s">
        <v>42</v>
      </c>
    </row>
    <row r="215" spans="1:25" x14ac:dyDescent="0.3">
      <c r="A215" s="5" t="s">
        <v>433</v>
      </c>
      <c r="B215" s="3" t="s">
        <v>361</v>
      </c>
      <c r="C215" s="3" t="s">
        <v>58</v>
      </c>
      <c r="D215" s="3">
        <v>24</v>
      </c>
      <c r="E215" s="3" t="s">
        <v>118</v>
      </c>
      <c r="F215" s="3" t="s">
        <v>79</v>
      </c>
      <c r="G215" s="3" t="s">
        <v>27</v>
      </c>
      <c r="H215" s="3" t="s">
        <v>28</v>
      </c>
      <c r="I215" s="3" t="s">
        <v>107</v>
      </c>
      <c r="J215" s="6">
        <v>44920</v>
      </c>
      <c r="K215" s="3" t="s">
        <v>30</v>
      </c>
      <c r="L215" s="3" t="s">
        <v>53</v>
      </c>
      <c r="M215" s="3">
        <v>101600</v>
      </c>
      <c r="N215" s="3">
        <v>3</v>
      </c>
      <c r="O215" s="3">
        <v>92.8</v>
      </c>
      <c r="P215" s="3">
        <v>3</v>
      </c>
      <c r="Q215" s="3">
        <v>14</v>
      </c>
      <c r="R215" s="3">
        <v>3</v>
      </c>
      <c r="S215" s="3">
        <v>22</v>
      </c>
      <c r="T215" s="3">
        <v>25</v>
      </c>
      <c r="U215" s="3" t="s">
        <v>123</v>
      </c>
      <c r="V215" s="3">
        <v>8467</v>
      </c>
      <c r="W215" s="3">
        <v>3.6</v>
      </c>
      <c r="X215" s="3" t="s">
        <v>48</v>
      </c>
      <c r="Y215" s="7" t="s">
        <v>42</v>
      </c>
    </row>
    <row r="216" spans="1:25" x14ac:dyDescent="0.3">
      <c r="A216" s="5" t="s">
        <v>434</v>
      </c>
      <c r="B216" s="3" t="s">
        <v>110</v>
      </c>
      <c r="C216" s="3" t="s">
        <v>24</v>
      </c>
      <c r="D216" s="3">
        <v>21</v>
      </c>
      <c r="E216" s="3" t="s">
        <v>59</v>
      </c>
      <c r="F216" s="3" t="s">
        <v>91</v>
      </c>
      <c r="G216" s="3" t="s">
        <v>46</v>
      </c>
      <c r="H216" s="3" t="s">
        <v>122</v>
      </c>
      <c r="I216" s="3" t="s">
        <v>68</v>
      </c>
      <c r="J216" s="6">
        <v>43512</v>
      </c>
      <c r="K216" s="3" t="s">
        <v>30</v>
      </c>
      <c r="L216" s="3" t="s">
        <v>31</v>
      </c>
      <c r="M216" s="3">
        <v>49600</v>
      </c>
      <c r="N216" s="3">
        <v>1</v>
      </c>
      <c r="O216" s="3">
        <v>90.5</v>
      </c>
      <c r="P216" s="3">
        <v>2</v>
      </c>
      <c r="Q216" s="3">
        <v>9</v>
      </c>
      <c r="R216" s="3">
        <v>0</v>
      </c>
      <c r="S216" s="3">
        <v>30</v>
      </c>
      <c r="T216" s="3">
        <v>15</v>
      </c>
      <c r="U216" s="3" t="s">
        <v>74</v>
      </c>
      <c r="V216" s="3">
        <v>4133</v>
      </c>
      <c r="W216" s="3">
        <v>7.5</v>
      </c>
      <c r="X216" s="3" t="s">
        <v>48</v>
      </c>
      <c r="Y216" s="7" t="s">
        <v>42</v>
      </c>
    </row>
    <row r="217" spans="1:25" x14ac:dyDescent="0.3">
      <c r="A217" s="5" t="s">
        <v>435</v>
      </c>
      <c r="B217" s="3" t="s">
        <v>432</v>
      </c>
      <c r="C217" s="3" t="s">
        <v>58</v>
      </c>
      <c r="D217" s="3">
        <v>28</v>
      </c>
      <c r="E217" s="3" t="s">
        <v>118</v>
      </c>
      <c r="F217" s="3" t="s">
        <v>91</v>
      </c>
      <c r="G217" s="3" t="s">
        <v>46</v>
      </c>
      <c r="H217" s="3" t="s">
        <v>28</v>
      </c>
      <c r="I217" s="3" t="s">
        <v>73</v>
      </c>
      <c r="J217" s="6">
        <v>43914</v>
      </c>
      <c r="K217" s="3" t="s">
        <v>30</v>
      </c>
      <c r="L217" s="3" t="s">
        <v>53</v>
      </c>
      <c r="M217" s="3">
        <v>49100</v>
      </c>
      <c r="N217" s="3">
        <v>9</v>
      </c>
      <c r="O217" s="3">
        <v>86.6</v>
      </c>
      <c r="P217" s="3">
        <v>7</v>
      </c>
      <c r="Q217" s="3">
        <v>8</v>
      </c>
      <c r="R217" s="3">
        <v>2</v>
      </c>
      <c r="S217" s="3">
        <v>22</v>
      </c>
      <c r="T217" s="3">
        <v>18</v>
      </c>
      <c r="U217" s="3" t="s">
        <v>123</v>
      </c>
      <c r="V217" s="3">
        <v>4092</v>
      </c>
      <c r="W217" s="3">
        <v>6.4</v>
      </c>
      <c r="X217" s="3" t="s">
        <v>95</v>
      </c>
      <c r="Y217" s="7" t="s">
        <v>42</v>
      </c>
    </row>
    <row r="218" spans="1:25" x14ac:dyDescent="0.3">
      <c r="A218" s="5" t="s">
        <v>436</v>
      </c>
      <c r="B218" s="3" t="s">
        <v>394</v>
      </c>
      <c r="C218" s="3" t="s">
        <v>24</v>
      </c>
      <c r="D218" s="3">
        <v>21</v>
      </c>
      <c r="E218" s="3" t="s">
        <v>65</v>
      </c>
      <c r="F218" s="3" t="s">
        <v>52</v>
      </c>
      <c r="G218" s="3" t="s">
        <v>39</v>
      </c>
      <c r="H218" s="3" t="s">
        <v>28</v>
      </c>
      <c r="I218" s="3" t="s">
        <v>47</v>
      </c>
      <c r="J218" s="6">
        <v>43346</v>
      </c>
      <c r="K218" s="3" t="s">
        <v>30</v>
      </c>
      <c r="L218" s="3" t="s">
        <v>53</v>
      </c>
      <c r="M218" s="3">
        <v>33100</v>
      </c>
      <c r="N218" s="3">
        <v>0</v>
      </c>
      <c r="O218" s="3">
        <v>90</v>
      </c>
      <c r="P218" s="3">
        <v>3</v>
      </c>
      <c r="Q218" s="3">
        <v>4</v>
      </c>
      <c r="R218" s="3">
        <v>0</v>
      </c>
      <c r="S218" s="3">
        <v>10</v>
      </c>
      <c r="T218" s="3">
        <v>8</v>
      </c>
      <c r="U218" s="3" t="s">
        <v>104</v>
      </c>
      <c r="V218" s="3">
        <v>2758</v>
      </c>
      <c r="W218" s="3">
        <v>7.9</v>
      </c>
      <c r="X218" s="3" t="s">
        <v>48</v>
      </c>
      <c r="Y218" s="7" t="s">
        <v>42</v>
      </c>
    </row>
    <row r="219" spans="1:25" x14ac:dyDescent="0.3">
      <c r="A219" s="5" t="s">
        <v>437</v>
      </c>
      <c r="B219" s="3" t="s">
        <v>256</v>
      </c>
      <c r="C219" s="3" t="s">
        <v>58</v>
      </c>
      <c r="D219" s="3">
        <v>41</v>
      </c>
      <c r="E219" s="3" t="s">
        <v>160</v>
      </c>
      <c r="F219" s="3" t="s">
        <v>72</v>
      </c>
      <c r="G219" s="3" t="s">
        <v>46</v>
      </c>
      <c r="H219" s="3" t="s">
        <v>28</v>
      </c>
      <c r="I219" s="3" t="s">
        <v>29</v>
      </c>
      <c r="J219" s="6">
        <v>43683</v>
      </c>
      <c r="K219" s="3" t="s">
        <v>30</v>
      </c>
      <c r="L219" s="3" t="s">
        <v>31</v>
      </c>
      <c r="M219" s="3">
        <v>101100</v>
      </c>
      <c r="N219" s="3">
        <v>20</v>
      </c>
      <c r="O219" s="3">
        <v>87.2</v>
      </c>
      <c r="P219" s="3">
        <v>2</v>
      </c>
      <c r="Q219" s="3">
        <v>11</v>
      </c>
      <c r="R219" s="3">
        <v>2</v>
      </c>
      <c r="S219" s="3">
        <v>15</v>
      </c>
      <c r="T219" s="3">
        <v>9</v>
      </c>
      <c r="U219" s="3" t="s">
        <v>41</v>
      </c>
      <c r="V219" s="3">
        <v>8425</v>
      </c>
      <c r="W219" s="3">
        <v>7</v>
      </c>
      <c r="X219" s="3" t="s">
        <v>62</v>
      </c>
      <c r="Y219" s="7" t="s">
        <v>42</v>
      </c>
    </row>
    <row r="220" spans="1:25" x14ac:dyDescent="0.3">
      <c r="A220" s="5" t="s">
        <v>438</v>
      </c>
      <c r="B220" s="3" t="s">
        <v>439</v>
      </c>
      <c r="C220" s="3" t="s">
        <v>24</v>
      </c>
      <c r="D220" s="3">
        <v>39</v>
      </c>
      <c r="E220" s="3" t="s">
        <v>78</v>
      </c>
      <c r="F220" s="3" t="s">
        <v>52</v>
      </c>
      <c r="G220" s="3" t="s">
        <v>27</v>
      </c>
      <c r="H220" s="3" t="s">
        <v>28</v>
      </c>
      <c r="I220" s="3" t="s">
        <v>73</v>
      </c>
      <c r="J220" s="6">
        <v>44831</v>
      </c>
      <c r="K220" s="3" t="s">
        <v>30</v>
      </c>
      <c r="L220" s="3" t="s">
        <v>53</v>
      </c>
      <c r="M220" s="3">
        <v>100600</v>
      </c>
      <c r="N220" s="3">
        <v>15</v>
      </c>
      <c r="O220" s="3">
        <v>86.1</v>
      </c>
      <c r="P220" s="3">
        <v>4</v>
      </c>
      <c r="Q220" s="3">
        <v>3</v>
      </c>
      <c r="R220" s="3">
        <v>0</v>
      </c>
      <c r="S220" s="3">
        <v>5</v>
      </c>
      <c r="T220" s="3">
        <v>6</v>
      </c>
      <c r="U220" s="3" t="s">
        <v>94</v>
      </c>
      <c r="V220" s="3">
        <v>8383</v>
      </c>
      <c r="W220" s="3">
        <v>3.8</v>
      </c>
      <c r="X220" s="3" t="s">
        <v>108</v>
      </c>
      <c r="Y220" s="7" t="s">
        <v>75</v>
      </c>
    </row>
    <row r="221" spans="1:25" x14ac:dyDescent="0.3">
      <c r="A221" s="5" t="s">
        <v>440</v>
      </c>
      <c r="B221" s="3" t="s">
        <v>350</v>
      </c>
      <c r="C221" s="3" t="s">
        <v>24</v>
      </c>
      <c r="D221" s="3">
        <v>33</v>
      </c>
      <c r="E221" s="3" t="s">
        <v>65</v>
      </c>
      <c r="F221" s="3" t="s">
        <v>79</v>
      </c>
      <c r="G221" s="3" t="s">
        <v>80</v>
      </c>
      <c r="H221" s="3" t="s">
        <v>28</v>
      </c>
      <c r="I221" s="3" t="s">
        <v>73</v>
      </c>
      <c r="J221" s="6">
        <v>45648</v>
      </c>
      <c r="K221" s="3" t="s">
        <v>61</v>
      </c>
      <c r="L221" s="3" t="s">
        <v>93</v>
      </c>
      <c r="M221" s="3">
        <v>44800</v>
      </c>
      <c r="N221" s="3">
        <v>10</v>
      </c>
      <c r="O221" s="3">
        <v>83</v>
      </c>
      <c r="P221" s="3">
        <v>8</v>
      </c>
      <c r="Q221" s="3">
        <v>7</v>
      </c>
      <c r="R221" s="3">
        <v>0</v>
      </c>
      <c r="S221" s="3">
        <v>27</v>
      </c>
      <c r="T221" s="3">
        <v>21</v>
      </c>
      <c r="U221" s="3" t="s">
        <v>123</v>
      </c>
      <c r="V221" s="3">
        <v>3733</v>
      </c>
      <c r="W221" s="3">
        <v>1.6</v>
      </c>
      <c r="X221" s="3" t="s">
        <v>33</v>
      </c>
      <c r="Y221" s="7" t="s">
        <v>55</v>
      </c>
    </row>
    <row r="222" spans="1:25" x14ac:dyDescent="0.3">
      <c r="A222" s="5" t="s">
        <v>441</v>
      </c>
      <c r="B222" s="3" t="s">
        <v>302</v>
      </c>
      <c r="C222" s="3" t="s">
        <v>24</v>
      </c>
      <c r="D222" s="3">
        <v>41</v>
      </c>
      <c r="E222" s="3" t="s">
        <v>45</v>
      </c>
      <c r="F222" s="3" t="s">
        <v>60</v>
      </c>
      <c r="G222" s="3" t="s">
        <v>46</v>
      </c>
      <c r="H222" s="3" t="s">
        <v>28</v>
      </c>
      <c r="I222" s="3" t="s">
        <v>47</v>
      </c>
      <c r="J222" s="6">
        <v>44082</v>
      </c>
      <c r="K222" s="3" t="s">
        <v>30</v>
      </c>
      <c r="L222" s="3" t="s">
        <v>93</v>
      </c>
      <c r="M222" s="3">
        <v>88200</v>
      </c>
      <c r="N222" s="3">
        <v>22</v>
      </c>
      <c r="O222" s="3">
        <v>84.2</v>
      </c>
      <c r="P222" s="3">
        <v>2</v>
      </c>
      <c r="Q222" s="3">
        <v>5</v>
      </c>
      <c r="R222" s="3">
        <v>1</v>
      </c>
      <c r="S222" s="3">
        <v>0</v>
      </c>
      <c r="T222" s="3">
        <v>24</v>
      </c>
      <c r="U222" s="3" t="s">
        <v>74</v>
      </c>
      <c r="V222" s="3">
        <v>7350</v>
      </c>
      <c r="W222" s="3">
        <v>5.9</v>
      </c>
      <c r="X222" s="3" t="s">
        <v>62</v>
      </c>
      <c r="Y222" s="7" t="s">
        <v>55</v>
      </c>
    </row>
    <row r="223" spans="1:25" x14ac:dyDescent="0.3">
      <c r="A223" s="5" t="s">
        <v>442</v>
      </c>
      <c r="B223" s="3" t="s">
        <v>443</v>
      </c>
      <c r="C223" s="3" t="s">
        <v>24</v>
      </c>
      <c r="D223" s="3">
        <v>34</v>
      </c>
      <c r="E223" s="3" t="s">
        <v>118</v>
      </c>
      <c r="F223" s="3" t="s">
        <v>60</v>
      </c>
      <c r="G223" s="3" t="s">
        <v>46</v>
      </c>
      <c r="H223" s="3" t="s">
        <v>28</v>
      </c>
      <c r="I223" s="3" t="s">
        <v>92</v>
      </c>
      <c r="J223" s="6">
        <v>45075</v>
      </c>
      <c r="K223" s="3" t="s">
        <v>30</v>
      </c>
      <c r="L223" s="3" t="s">
        <v>53</v>
      </c>
      <c r="M223" s="3">
        <v>78400</v>
      </c>
      <c r="N223" s="3">
        <v>11</v>
      </c>
      <c r="O223" s="3">
        <v>90.7</v>
      </c>
      <c r="P223" s="3">
        <v>8</v>
      </c>
      <c r="Q223" s="3">
        <v>1</v>
      </c>
      <c r="R223" s="3">
        <v>2</v>
      </c>
      <c r="S223" s="3">
        <v>7</v>
      </c>
      <c r="T223" s="3">
        <v>13</v>
      </c>
      <c r="U223" s="3" t="s">
        <v>94</v>
      </c>
      <c r="V223" s="3">
        <v>6533</v>
      </c>
      <c r="W223" s="3">
        <v>3.2</v>
      </c>
      <c r="X223" s="3" t="s">
        <v>33</v>
      </c>
      <c r="Y223" s="7" t="s">
        <v>75</v>
      </c>
    </row>
    <row r="224" spans="1:25" x14ac:dyDescent="0.3">
      <c r="A224" s="5" t="s">
        <v>444</v>
      </c>
      <c r="B224" s="3" t="s">
        <v>23</v>
      </c>
      <c r="C224" s="3" t="s">
        <v>58</v>
      </c>
      <c r="D224" s="3">
        <v>21</v>
      </c>
      <c r="E224" s="3" t="s">
        <v>78</v>
      </c>
      <c r="F224" s="3" t="s">
        <v>72</v>
      </c>
      <c r="G224" s="3" t="s">
        <v>39</v>
      </c>
      <c r="H224" s="3" t="s">
        <v>115</v>
      </c>
      <c r="I224" s="3" t="s">
        <v>68</v>
      </c>
      <c r="J224" s="6">
        <v>43650</v>
      </c>
      <c r="K224" s="3" t="s">
        <v>30</v>
      </c>
      <c r="L224" s="3" t="s">
        <v>53</v>
      </c>
      <c r="M224" s="3">
        <v>50100</v>
      </c>
      <c r="N224" s="3">
        <v>1</v>
      </c>
      <c r="O224" s="3">
        <v>80.900000000000006</v>
      </c>
      <c r="P224" s="3">
        <v>3</v>
      </c>
      <c r="Q224" s="3">
        <v>7</v>
      </c>
      <c r="R224" s="3">
        <v>3</v>
      </c>
      <c r="S224" s="3">
        <v>25</v>
      </c>
      <c r="T224" s="3">
        <v>23</v>
      </c>
      <c r="U224" s="3" t="s">
        <v>94</v>
      </c>
      <c r="V224" s="3">
        <v>4175</v>
      </c>
      <c r="W224" s="3">
        <v>7.1</v>
      </c>
      <c r="X224" s="3" t="s">
        <v>48</v>
      </c>
      <c r="Y224" s="7" t="s">
        <v>42</v>
      </c>
    </row>
    <row r="225" spans="1:25" x14ac:dyDescent="0.3">
      <c r="A225" s="5" t="s">
        <v>445</v>
      </c>
      <c r="B225" s="3" t="s">
        <v>205</v>
      </c>
      <c r="C225" s="3" t="s">
        <v>58</v>
      </c>
      <c r="D225" s="3">
        <v>47</v>
      </c>
      <c r="E225" s="3" t="s">
        <v>45</v>
      </c>
      <c r="F225" s="3" t="s">
        <v>91</v>
      </c>
      <c r="G225" s="3" t="s">
        <v>46</v>
      </c>
      <c r="H225" s="3" t="s">
        <v>67</v>
      </c>
      <c r="I225" s="3" t="s">
        <v>47</v>
      </c>
      <c r="J225" s="6">
        <v>45265</v>
      </c>
      <c r="K225" s="3" t="s">
        <v>30</v>
      </c>
      <c r="L225" s="3" t="s">
        <v>53</v>
      </c>
      <c r="M225" s="3">
        <v>52100</v>
      </c>
      <c r="N225" s="3">
        <v>25</v>
      </c>
      <c r="O225" s="3">
        <v>86.8</v>
      </c>
      <c r="P225" s="3">
        <v>3</v>
      </c>
      <c r="Q225" s="3">
        <v>11</v>
      </c>
      <c r="R225" s="3">
        <v>0</v>
      </c>
      <c r="S225" s="3">
        <v>29</v>
      </c>
      <c r="T225" s="3">
        <v>29</v>
      </c>
      <c r="U225" s="3" t="s">
        <v>123</v>
      </c>
      <c r="V225" s="3">
        <v>4342</v>
      </c>
      <c r="W225" s="3">
        <v>2.7</v>
      </c>
      <c r="X225" s="3" t="s">
        <v>54</v>
      </c>
      <c r="Y225" s="7" t="s">
        <v>75</v>
      </c>
    </row>
    <row r="226" spans="1:25" x14ac:dyDescent="0.3">
      <c r="A226" s="5" t="s">
        <v>446</v>
      </c>
      <c r="B226" s="3" t="s">
        <v>368</v>
      </c>
      <c r="C226" s="3" t="s">
        <v>58</v>
      </c>
      <c r="D226" s="3">
        <v>37</v>
      </c>
      <c r="E226" s="3" t="s">
        <v>101</v>
      </c>
      <c r="F226" s="3" t="s">
        <v>72</v>
      </c>
      <c r="G226" s="3" t="s">
        <v>39</v>
      </c>
      <c r="H226" s="3" t="s">
        <v>67</v>
      </c>
      <c r="I226" s="3" t="s">
        <v>47</v>
      </c>
      <c r="J226" s="6">
        <v>44488</v>
      </c>
      <c r="K226" s="3" t="s">
        <v>30</v>
      </c>
      <c r="L226" s="3" t="s">
        <v>31</v>
      </c>
      <c r="M226" s="3">
        <v>49300</v>
      </c>
      <c r="N226" s="3">
        <v>15</v>
      </c>
      <c r="O226" s="3">
        <v>94.2</v>
      </c>
      <c r="P226" s="3">
        <v>1</v>
      </c>
      <c r="Q226" s="3">
        <v>4</v>
      </c>
      <c r="R226" s="3">
        <v>1</v>
      </c>
      <c r="S226" s="3">
        <v>19</v>
      </c>
      <c r="T226" s="3">
        <v>3</v>
      </c>
      <c r="U226" s="3" t="s">
        <v>123</v>
      </c>
      <c r="V226" s="3">
        <v>4108</v>
      </c>
      <c r="W226" s="3">
        <v>4.8</v>
      </c>
      <c r="X226" s="3" t="s">
        <v>108</v>
      </c>
      <c r="Y226" s="7" t="s">
        <v>42</v>
      </c>
    </row>
    <row r="227" spans="1:25" x14ac:dyDescent="0.3">
      <c r="A227" s="5" t="s">
        <v>447</v>
      </c>
      <c r="B227" s="3" t="s">
        <v>275</v>
      </c>
      <c r="C227" s="3" t="s">
        <v>24</v>
      </c>
      <c r="D227" s="3">
        <v>31</v>
      </c>
      <c r="E227" s="3" t="s">
        <v>78</v>
      </c>
      <c r="F227" s="3" t="s">
        <v>66</v>
      </c>
      <c r="G227" s="3" t="s">
        <v>171</v>
      </c>
      <c r="H227" s="3" t="s">
        <v>115</v>
      </c>
      <c r="I227" s="3" t="s">
        <v>47</v>
      </c>
      <c r="J227" s="6">
        <v>45038</v>
      </c>
      <c r="K227" s="3" t="s">
        <v>30</v>
      </c>
      <c r="L227" s="3" t="s">
        <v>53</v>
      </c>
      <c r="M227" s="3">
        <v>101100</v>
      </c>
      <c r="N227" s="3">
        <v>9</v>
      </c>
      <c r="O227" s="3">
        <v>95.9</v>
      </c>
      <c r="P227" s="3">
        <v>7</v>
      </c>
      <c r="Q227" s="3">
        <v>6</v>
      </c>
      <c r="R227" s="3">
        <v>4</v>
      </c>
      <c r="S227" s="3">
        <v>16</v>
      </c>
      <c r="T227" s="3">
        <v>17</v>
      </c>
      <c r="U227" s="3" t="s">
        <v>41</v>
      </c>
      <c r="V227" s="3">
        <v>8425</v>
      </c>
      <c r="W227" s="3">
        <v>3.3</v>
      </c>
      <c r="X227" s="3" t="s">
        <v>33</v>
      </c>
      <c r="Y227" s="7" t="s">
        <v>42</v>
      </c>
    </row>
    <row r="228" spans="1:25" x14ac:dyDescent="0.3">
      <c r="A228" s="5" t="s">
        <v>448</v>
      </c>
      <c r="B228" s="3" t="s">
        <v>132</v>
      </c>
      <c r="C228" s="3" t="s">
        <v>58</v>
      </c>
      <c r="D228" s="3">
        <v>26</v>
      </c>
      <c r="E228" s="3" t="s">
        <v>137</v>
      </c>
      <c r="F228" s="3" t="s">
        <v>79</v>
      </c>
      <c r="G228" s="3" t="s">
        <v>27</v>
      </c>
      <c r="H228" s="3" t="s">
        <v>122</v>
      </c>
      <c r="I228" s="3" t="s">
        <v>73</v>
      </c>
      <c r="J228" s="6">
        <v>43304</v>
      </c>
      <c r="K228" s="3" t="s">
        <v>87</v>
      </c>
      <c r="L228" s="3" t="s">
        <v>31</v>
      </c>
      <c r="M228" s="3">
        <v>104400</v>
      </c>
      <c r="N228" s="3">
        <v>6</v>
      </c>
      <c r="O228" s="3">
        <v>92.9</v>
      </c>
      <c r="P228" s="3">
        <v>3</v>
      </c>
      <c r="Q228" s="3">
        <v>3</v>
      </c>
      <c r="R228" s="3">
        <v>2</v>
      </c>
      <c r="S228" s="3">
        <v>9</v>
      </c>
      <c r="T228" s="3">
        <v>29</v>
      </c>
      <c r="U228" s="3" t="s">
        <v>123</v>
      </c>
      <c r="V228" s="3">
        <v>8700</v>
      </c>
      <c r="W228" s="3">
        <v>8</v>
      </c>
      <c r="X228" s="3" t="s">
        <v>95</v>
      </c>
      <c r="Y228" s="7" t="s">
        <v>55</v>
      </c>
    </row>
    <row r="229" spans="1:25" x14ac:dyDescent="0.3">
      <c r="A229" s="5" t="s">
        <v>449</v>
      </c>
      <c r="B229" s="3" t="s">
        <v>450</v>
      </c>
      <c r="C229" s="3" t="s">
        <v>58</v>
      </c>
      <c r="D229" s="3">
        <v>35</v>
      </c>
      <c r="E229" s="3" t="s">
        <v>59</v>
      </c>
      <c r="F229" s="3" t="s">
        <v>72</v>
      </c>
      <c r="G229" s="3" t="s">
        <v>39</v>
      </c>
      <c r="H229" s="3" t="s">
        <v>28</v>
      </c>
      <c r="I229" s="3" t="s">
        <v>92</v>
      </c>
      <c r="J229" s="6">
        <v>43451</v>
      </c>
      <c r="K229" s="3" t="s">
        <v>30</v>
      </c>
      <c r="L229" s="3" t="s">
        <v>31</v>
      </c>
      <c r="M229" s="3">
        <v>46700</v>
      </c>
      <c r="N229" s="3">
        <v>16</v>
      </c>
      <c r="O229" s="3">
        <v>95.1</v>
      </c>
      <c r="P229" s="3">
        <v>2</v>
      </c>
      <c r="Q229" s="3">
        <v>8</v>
      </c>
      <c r="R229" s="3">
        <v>2</v>
      </c>
      <c r="S229" s="3">
        <v>28</v>
      </c>
      <c r="T229" s="3">
        <v>26</v>
      </c>
      <c r="U229" s="3" t="s">
        <v>130</v>
      </c>
      <c r="V229" s="3">
        <v>3892</v>
      </c>
      <c r="W229" s="3">
        <v>7.6</v>
      </c>
      <c r="X229" s="3" t="s">
        <v>108</v>
      </c>
      <c r="Y229" s="7" t="s">
        <v>42</v>
      </c>
    </row>
    <row r="230" spans="1:25" x14ac:dyDescent="0.3">
      <c r="A230" s="5" t="s">
        <v>451</v>
      </c>
      <c r="B230" s="3" t="s">
        <v>452</v>
      </c>
      <c r="C230" s="3" t="s">
        <v>24</v>
      </c>
      <c r="D230" s="3">
        <v>38</v>
      </c>
      <c r="E230" s="3" t="s">
        <v>101</v>
      </c>
      <c r="F230" s="3" t="s">
        <v>91</v>
      </c>
      <c r="G230" s="3" t="s">
        <v>39</v>
      </c>
      <c r="H230" s="3" t="s">
        <v>28</v>
      </c>
      <c r="I230" s="3" t="s">
        <v>73</v>
      </c>
      <c r="J230" s="6">
        <v>43419</v>
      </c>
      <c r="K230" s="3" t="s">
        <v>30</v>
      </c>
      <c r="L230" s="3" t="s">
        <v>53</v>
      </c>
      <c r="M230" s="3">
        <v>29300</v>
      </c>
      <c r="N230" s="3">
        <v>17</v>
      </c>
      <c r="O230" s="3">
        <v>91.1</v>
      </c>
      <c r="P230" s="3">
        <v>2</v>
      </c>
      <c r="Q230" s="3">
        <v>1</v>
      </c>
      <c r="R230" s="3">
        <v>3</v>
      </c>
      <c r="S230" s="3">
        <v>1</v>
      </c>
      <c r="T230" s="3">
        <v>28</v>
      </c>
      <c r="U230" s="3" t="s">
        <v>94</v>
      </c>
      <c r="V230" s="3">
        <v>2442</v>
      </c>
      <c r="W230" s="3">
        <v>7.7</v>
      </c>
      <c r="X230" s="3" t="s">
        <v>108</v>
      </c>
      <c r="Y230" s="7" t="s">
        <v>55</v>
      </c>
    </row>
    <row r="231" spans="1:25" x14ac:dyDescent="0.3">
      <c r="A231" s="5" t="s">
        <v>453</v>
      </c>
      <c r="B231" s="3" t="s">
        <v>290</v>
      </c>
      <c r="C231" s="3" t="s">
        <v>24</v>
      </c>
      <c r="D231" s="3">
        <v>22</v>
      </c>
      <c r="E231" s="3" t="s">
        <v>45</v>
      </c>
      <c r="F231" s="3" t="s">
        <v>72</v>
      </c>
      <c r="G231" s="3" t="s">
        <v>46</v>
      </c>
      <c r="H231" s="3" t="s">
        <v>28</v>
      </c>
      <c r="I231" s="3" t="s">
        <v>107</v>
      </c>
      <c r="J231" s="6">
        <v>46088</v>
      </c>
      <c r="K231" s="3" t="s">
        <v>30</v>
      </c>
      <c r="L231" s="3" t="s">
        <v>53</v>
      </c>
      <c r="M231" s="3">
        <v>82600</v>
      </c>
      <c r="N231" s="3">
        <v>0</v>
      </c>
      <c r="O231" s="3">
        <v>85.7</v>
      </c>
      <c r="P231" s="3">
        <v>0</v>
      </c>
      <c r="Q231" s="3">
        <v>11</v>
      </c>
      <c r="R231" s="3">
        <v>0</v>
      </c>
      <c r="S231" s="3">
        <v>18</v>
      </c>
      <c r="T231" s="3">
        <v>4</v>
      </c>
      <c r="U231" s="3" t="s">
        <v>130</v>
      </c>
      <c r="V231" s="3">
        <v>6883</v>
      </c>
      <c r="W231" s="3">
        <v>0.4</v>
      </c>
      <c r="X231" s="3" t="s">
        <v>48</v>
      </c>
      <c r="Y231" s="7" t="s">
        <v>55</v>
      </c>
    </row>
    <row r="232" spans="1:25" x14ac:dyDescent="0.3">
      <c r="A232" s="5" t="s">
        <v>454</v>
      </c>
      <c r="B232" s="3" t="s">
        <v>275</v>
      </c>
      <c r="C232" s="3" t="s">
        <v>58</v>
      </c>
      <c r="D232" s="3">
        <v>34</v>
      </c>
      <c r="E232" s="3" t="s">
        <v>78</v>
      </c>
      <c r="F232" s="3" t="s">
        <v>72</v>
      </c>
      <c r="G232" s="3" t="s">
        <v>80</v>
      </c>
      <c r="H232" s="3" t="s">
        <v>67</v>
      </c>
      <c r="I232" s="3" t="s">
        <v>40</v>
      </c>
      <c r="J232" s="6">
        <v>45637</v>
      </c>
      <c r="K232" s="3" t="s">
        <v>30</v>
      </c>
      <c r="L232" s="3" t="s">
        <v>53</v>
      </c>
      <c r="M232" s="3">
        <v>66300</v>
      </c>
      <c r="N232" s="3">
        <v>11</v>
      </c>
      <c r="O232" s="3">
        <v>94.4</v>
      </c>
      <c r="P232" s="3">
        <v>7</v>
      </c>
      <c r="Q232" s="3">
        <v>9</v>
      </c>
      <c r="R232" s="3">
        <v>1</v>
      </c>
      <c r="S232" s="3">
        <v>5</v>
      </c>
      <c r="T232" s="3">
        <v>16</v>
      </c>
      <c r="U232" s="3" t="s">
        <v>123</v>
      </c>
      <c r="V232" s="3">
        <v>5525</v>
      </c>
      <c r="W232" s="3">
        <v>1.6</v>
      </c>
      <c r="X232" s="3" t="s">
        <v>33</v>
      </c>
      <c r="Y232" s="7" t="s">
        <v>42</v>
      </c>
    </row>
    <row r="233" spans="1:25" x14ac:dyDescent="0.3">
      <c r="A233" s="5" t="s">
        <v>455</v>
      </c>
      <c r="B233" s="3" t="s">
        <v>456</v>
      </c>
      <c r="C233" s="3" t="s">
        <v>24</v>
      </c>
      <c r="D233" s="3">
        <v>34</v>
      </c>
      <c r="E233" s="3" t="s">
        <v>160</v>
      </c>
      <c r="F233" s="3" t="s">
        <v>52</v>
      </c>
      <c r="G233" s="3" t="s">
        <v>122</v>
      </c>
      <c r="H233" s="3" t="s">
        <v>28</v>
      </c>
      <c r="I233" s="3" t="s">
        <v>29</v>
      </c>
      <c r="J233" s="6">
        <v>44793</v>
      </c>
      <c r="K233" s="3" t="s">
        <v>30</v>
      </c>
      <c r="L233" s="3" t="s">
        <v>53</v>
      </c>
      <c r="M233" s="3">
        <v>23300</v>
      </c>
      <c r="N233" s="3">
        <v>13</v>
      </c>
      <c r="O233" s="3">
        <v>93.4</v>
      </c>
      <c r="P233" s="3">
        <v>4</v>
      </c>
      <c r="Q233" s="3">
        <v>8</v>
      </c>
      <c r="R233" s="3">
        <v>0</v>
      </c>
      <c r="S233" s="3">
        <v>1</v>
      </c>
      <c r="T233" s="3">
        <v>18</v>
      </c>
      <c r="U233" s="3" t="s">
        <v>74</v>
      </c>
      <c r="V233" s="3">
        <v>1942</v>
      </c>
      <c r="W233" s="3">
        <v>3.9</v>
      </c>
      <c r="X233" s="3" t="s">
        <v>33</v>
      </c>
      <c r="Y233" s="7" t="s">
        <v>42</v>
      </c>
    </row>
    <row r="234" spans="1:25" x14ac:dyDescent="0.3">
      <c r="A234" s="5" t="s">
        <v>457</v>
      </c>
      <c r="B234" s="3" t="s">
        <v>194</v>
      </c>
      <c r="C234" s="3" t="s">
        <v>58</v>
      </c>
      <c r="D234" s="3">
        <v>26</v>
      </c>
      <c r="E234" s="3" t="s">
        <v>51</v>
      </c>
      <c r="F234" s="3" t="s">
        <v>52</v>
      </c>
      <c r="G234" s="3" t="s">
        <v>80</v>
      </c>
      <c r="H234" s="3" t="s">
        <v>28</v>
      </c>
      <c r="I234" s="3" t="s">
        <v>73</v>
      </c>
      <c r="J234" s="6">
        <v>43207</v>
      </c>
      <c r="K234" s="3" t="s">
        <v>30</v>
      </c>
      <c r="L234" s="3" t="s">
        <v>93</v>
      </c>
      <c r="M234" s="3">
        <v>49300</v>
      </c>
      <c r="N234" s="3">
        <v>7</v>
      </c>
      <c r="O234" s="3">
        <v>88.3</v>
      </c>
      <c r="P234" s="3">
        <v>4</v>
      </c>
      <c r="Q234" s="3">
        <v>3</v>
      </c>
      <c r="R234" s="3">
        <v>1</v>
      </c>
      <c r="S234" s="3">
        <v>17</v>
      </c>
      <c r="T234" s="3">
        <v>17</v>
      </c>
      <c r="U234" s="3" t="s">
        <v>41</v>
      </c>
      <c r="V234" s="3">
        <v>4108</v>
      </c>
      <c r="W234" s="3">
        <v>8.3000000000000007</v>
      </c>
      <c r="X234" s="3" t="s">
        <v>95</v>
      </c>
      <c r="Y234" s="7" t="s">
        <v>42</v>
      </c>
    </row>
    <row r="235" spans="1:25" x14ac:dyDescent="0.3">
      <c r="A235" s="5" t="s">
        <v>458</v>
      </c>
      <c r="B235" s="3" t="s">
        <v>192</v>
      </c>
      <c r="C235" s="3" t="s">
        <v>24</v>
      </c>
      <c r="D235" s="3">
        <v>27</v>
      </c>
      <c r="E235" s="3" t="s">
        <v>25</v>
      </c>
      <c r="F235" s="3" t="s">
        <v>60</v>
      </c>
      <c r="G235" s="3" t="s">
        <v>80</v>
      </c>
      <c r="H235" s="3" t="s">
        <v>28</v>
      </c>
      <c r="I235" s="3" t="s">
        <v>47</v>
      </c>
      <c r="J235" s="6">
        <v>45802</v>
      </c>
      <c r="K235" s="3" t="s">
        <v>30</v>
      </c>
      <c r="L235" s="3" t="s">
        <v>53</v>
      </c>
      <c r="M235" s="3">
        <v>53200</v>
      </c>
      <c r="N235" s="3">
        <v>4</v>
      </c>
      <c r="O235" s="3">
        <v>87.9</v>
      </c>
      <c r="P235" s="3">
        <v>3</v>
      </c>
      <c r="Q235" s="3">
        <v>5</v>
      </c>
      <c r="R235" s="3">
        <v>3</v>
      </c>
      <c r="S235" s="3">
        <v>13</v>
      </c>
      <c r="T235" s="3">
        <v>29</v>
      </c>
      <c r="U235" s="3" t="s">
        <v>123</v>
      </c>
      <c r="V235" s="3">
        <v>4433</v>
      </c>
      <c r="W235" s="3">
        <v>1.2</v>
      </c>
      <c r="X235" s="3" t="s">
        <v>95</v>
      </c>
      <c r="Y235" s="7" t="s">
        <v>42</v>
      </c>
    </row>
    <row r="236" spans="1:25" x14ac:dyDescent="0.3">
      <c r="A236" s="5" t="s">
        <v>459</v>
      </c>
      <c r="B236" s="3" t="s">
        <v>315</v>
      </c>
      <c r="C236" s="3" t="s">
        <v>24</v>
      </c>
      <c r="D236" s="3">
        <v>26</v>
      </c>
      <c r="E236" s="3" t="s">
        <v>160</v>
      </c>
      <c r="F236" s="3" t="s">
        <v>52</v>
      </c>
      <c r="G236" s="3" t="s">
        <v>39</v>
      </c>
      <c r="H236" s="3" t="s">
        <v>28</v>
      </c>
      <c r="I236" s="3" t="s">
        <v>107</v>
      </c>
      <c r="J236" s="6">
        <v>45320</v>
      </c>
      <c r="K236" s="3" t="s">
        <v>30</v>
      </c>
      <c r="L236" s="3" t="s">
        <v>31</v>
      </c>
      <c r="M236" s="3">
        <v>38500</v>
      </c>
      <c r="N236" s="3">
        <v>7</v>
      </c>
      <c r="O236" s="3">
        <v>90.8</v>
      </c>
      <c r="P236" s="3">
        <v>4</v>
      </c>
      <c r="Q236" s="3">
        <v>4</v>
      </c>
      <c r="R236" s="3">
        <v>0</v>
      </c>
      <c r="S236" s="3">
        <v>5</v>
      </c>
      <c r="T236" s="3">
        <v>4</v>
      </c>
      <c r="U236" s="3" t="s">
        <v>123</v>
      </c>
      <c r="V236" s="3">
        <v>3208</v>
      </c>
      <c r="W236" s="3">
        <v>2.5</v>
      </c>
      <c r="X236" s="3" t="s">
        <v>95</v>
      </c>
      <c r="Y236" s="7" t="s">
        <v>55</v>
      </c>
    </row>
    <row r="237" spans="1:25" x14ac:dyDescent="0.3">
      <c r="A237" s="5" t="s">
        <v>460</v>
      </c>
      <c r="B237" s="3" t="s">
        <v>153</v>
      </c>
      <c r="C237" s="3" t="s">
        <v>24</v>
      </c>
      <c r="D237" s="3">
        <v>22</v>
      </c>
      <c r="E237" s="3" t="s">
        <v>83</v>
      </c>
      <c r="F237" s="3" t="s">
        <v>52</v>
      </c>
      <c r="G237" s="3" t="s">
        <v>27</v>
      </c>
      <c r="H237" s="3" t="s">
        <v>28</v>
      </c>
      <c r="I237" s="3" t="s">
        <v>47</v>
      </c>
      <c r="J237" s="6">
        <v>45667</v>
      </c>
      <c r="K237" s="3" t="s">
        <v>30</v>
      </c>
      <c r="L237" s="3" t="s">
        <v>31</v>
      </c>
      <c r="M237" s="3">
        <v>82500</v>
      </c>
      <c r="N237" s="3">
        <v>0</v>
      </c>
      <c r="O237" s="3">
        <v>96.7</v>
      </c>
      <c r="P237" s="3">
        <v>4</v>
      </c>
      <c r="Q237" s="3">
        <v>15</v>
      </c>
      <c r="R237" s="3">
        <v>4</v>
      </c>
      <c r="S237" s="3">
        <v>11</v>
      </c>
      <c r="T237" s="3">
        <v>16</v>
      </c>
      <c r="U237" s="3" t="s">
        <v>32</v>
      </c>
      <c r="V237" s="3">
        <v>6875</v>
      </c>
      <c r="W237" s="3">
        <v>1.6</v>
      </c>
      <c r="X237" s="3" t="s">
        <v>48</v>
      </c>
      <c r="Y237" s="7" t="s">
        <v>42</v>
      </c>
    </row>
    <row r="238" spans="1:25" x14ac:dyDescent="0.3">
      <c r="A238" s="5" t="s">
        <v>461</v>
      </c>
      <c r="B238" s="3" t="s">
        <v>361</v>
      </c>
      <c r="C238" s="3" t="s">
        <v>58</v>
      </c>
      <c r="D238" s="3">
        <v>38</v>
      </c>
      <c r="E238" s="3" t="s">
        <v>51</v>
      </c>
      <c r="F238" s="3" t="s">
        <v>38</v>
      </c>
      <c r="G238" s="3" t="s">
        <v>27</v>
      </c>
      <c r="H238" s="3" t="s">
        <v>28</v>
      </c>
      <c r="I238" s="3" t="s">
        <v>92</v>
      </c>
      <c r="J238" s="6">
        <v>44979</v>
      </c>
      <c r="K238" s="3" t="s">
        <v>30</v>
      </c>
      <c r="L238" s="3" t="s">
        <v>31</v>
      </c>
      <c r="M238" s="3">
        <v>82800</v>
      </c>
      <c r="N238" s="3">
        <v>16</v>
      </c>
      <c r="O238" s="3">
        <v>89.1</v>
      </c>
      <c r="P238" s="3">
        <v>8</v>
      </c>
      <c r="Q238" s="3">
        <v>2</v>
      </c>
      <c r="R238" s="3">
        <v>3</v>
      </c>
      <c r="S238" s="3">
        <v>19</v>
      </c>
      <c r="T238" s="3">
        <v>2</v>
      </c>
      <c r="U238" s="3" t="s">
        <v>104</v>
      </c>
      <c r="V238" s="3">
        <v>6900</v>
      </c>
      <c r="W238" s="3">
        <v>3.4</v>
      </c>
      <c r="X238" s="3" t="s">
        <v>108</v>
      </c>
      <c r="Y238" s="7" t="s">
        <v>55</v>
      </c>
    </row>
    <row r="239" spans="1:25" x14ac:dyDescent="0.3">
      <c r="A239" s="5" t="s">
        <v>462</v>
      </c>
      <c r="B239" s="3" t="s">
        <v>463</v>
      </c>
      <c r="C239" s="3" t="s">
        <v>58</v>
      </c>
      <c r="D239" s="3">
        <v>42</v>
      </c>
      <c r="E239" s="3" t="s">
        <v>118</v>
      </c>
      <c r="F239" s="3" t="s">
        <v>72</v>
      </c>
      <c r="G239" s="3" t="s">
        <v>46</v>
      </c>
      <c r="H239" s="3" t="s">
        <v>28</v>
      </c>
      <c r="I239" s="3" t="s">
        <v>47</v>
      </c>
      <c r="J239" s="6">
        <v>44058</v>
      </c>
      <c r="K239" s="3" t="s">
        <v>30</v>
      </c>
      <c r="L239" s="3" t="s">
        <v>53</v>
      </c>
      <c r="M239" s="3">
        <v>95200</v>
      </c>
      <c r="N239" s="3">
        <v>20</v>
      </c>
      <c r="O239" s="3">
        <v>75.8</v>
      </c>
      <c r="P239" s="3">
        <v>5</v>
      </c>
      <c r="Q239" s="3">
        <v>6</v>
      </c>
      <c r="R239" s="3">
        <v>3</v>
      </c>
      <c r="S239" s="3">
        <v>20</v>
      </c>
      <c r="T239" s="3">
        <v>13</v>
      </c>
      <c r="U239" s="3" t="s">
        <v>104</v>
      </c>
      <c r="V239" s="3">
        <v>7933</v>
      </c>
      <c r="W239" s="3">
        <v>6</v>
      </c>
      <c r="X239" s="3" t="s">
        <v>62</v>
      </c>
      <c r="Y239" s="7" t="s">
        <v>75</v>
      </c>
    </row>
    <row r="240" spans="1:25" x14ac:dyDescent="0.3">
      <c r="A240" s="5" t="s">
        <v>464</v>
      </c>
      <c r="B240" s="3" t="s">
        <v>465</v>
      </c>
      <c r="C240" s="3" t="s">
        <v>58</v>
      </c>
      <c r="D240" s="3">
        <v>38</v>
      </c>
      <c r="E240" s="3" t="s">
        <v>37</v>
      </c>
      <c r="F240" s="3" t="s">
        <v>72</v>
      </c>
      <c r="G240" s="3" t="s">
        <v>27</v>
      </c>
      <c r="H240" s="3" t="s">
        <v>28</v>
      </c>
      <c r="I240" s="3" t="s">
        <v>92</v>
      </c>
      <c r="J240" s="6">
        <v>45961</v>
      </c>
      <c r="K240" s="3" t="s">
        <v>30</v>
      </c>
      <c r="L240" s="3" t="s">
        <v>53</v>
      </c>
      <c r="M240" s="3">
        <v>123700</v>
      </c>
      <c r="N240" s="3">
        <v>14</v>
      </c>
      <c r="O240" s="3">
        <v>93.2</v>
      </c>
      <c r="P240" s="3">
        <v>8</v>
      </c>
      <c r="Q240" s="3">
        <v>3</v>
      </c>
      <c r="R240" s="3">
        <v>2</v>
      </c>
      <c r="S240" s="3">
        <v>26</v>
      </c>
      <c r="T240" s="3">
        <v>11</v>
      </c>
      <c r="U240" s="3" t="s">
        <v>94</v>
      </c>
      <c r="V240" s="3">
        <v>10308</v>
      </c>
      <c r="W240" s="3">
        <v>0.8</v>
      </c>
      <c r="X240" s="3" t="s">
        <v>108</v>
      </c>
      <c r="Y240" s="7" t="s">
        <v>42</v>
      </c>
    </row>
    <row r="241" spans="1:25" x14ac:dyDescent="0.3">
      <c r="A241" s="5" t="s">
        <v>466</v>
      </c>
      <c r="B241" s="3" t="s">
        <v>350</v>
      </c>
      <c r="C241" s="3" t="s">
        <v>24</v>
      </c>
      <c r="D241" s="3">
        <v>48</v>
      </c>
      <c r="E241" s="3" t="s">
        <v>51</v>
      </c>
      <c r="F241" s="3" t="s">
        <v>79</v>
      </c>
      <c r="G241" s="3" t="s">
        <v>39</v>
      </c>
      <c r="H241" s="3" t="s">
        <v>28</v>
      </c>
      <c r="I241" s="3" t="s">
        <v>86</v>
      </c>
      <c r="J241" s="6">
        <v>45676</v>
      </c>
      <c r="K241" s="3" t="s">
        <v>30</v>
      </c>
      <c r="L241" s="3" t="s">
        <v>31</v>
      </c>
      <c r="M241" s="3">
        <v>38600</v>
      </c>
      <c r="N241" s="3">
        <v>24</v>
      </c>
      <c r="O241" s="3">
        <v>85.5</v>
      </c>
      <c r="P241" s="3">
        <v>7</v>
      </c>
      <c r="Q241" s="3">
        <v>15</v>
      </c>
      <c r="R241" s="3">
        <v>1</v>
      </c>
      <c r="S241" s="3">
        <v>7</v>
      </c>
      <c r="T241" s="3">
        <v>24</v>
      </c>
      <c r="U241" s="3" t="s">
        <v>94</v>
      </c>
      <c r="V241" s="3">
        <v>3217</v>
      </c>
      <c r="W241" s="3">
        <v>1.5</v>
      </c>
      <c r="X241" s="3" t="s">
        <v>54</v>
      </c>
      <c r="Y241" s="7" t="s">
        <v>55</v>
      </c>
    </row>
    <row r="242" spans="1:25" x14ac:dyDescent="0.3">
      <c r="A242" s="5" t="s">
        <v>467</v>
      </c>
      <c r="B242" s="3" t="s">
        <v>200</v>
      </c>
      <c r="C242" s="3" t="s">
        <v>58</v>
      </c>
      <c r="D242" s="3">
        <v>37</v>
      </c>
      <c r="E242" s="3" t="s">
        <v>83</v>
      </c>
      <c r="F242" s="3" t="s">
        <v>52</v>
      </c>
      <c r="G242" s="3" t="s">
        <v>80</v>
      </c>
      <c r="H242" s="3" t="s">
        <v>28</v>
      </c>
      <c r="I242" s="3" t="s">
        <v>40</v>
      </c>
      <c r="J242" s="6">
        <v>45468</v>
      </c>
      <c r="K242" s="3" t="s">
        <v>61</v>
      </c>
      <c r="L242" s="3" t="s">
        <v>31</v>
      </c>
      <c r="M242" s="3">
        <v>46000</v>
      </c>
      <c r="N242" s="3">
        <v>14</v>
      </c>
      <c r="O242" s="3">
        <v>93.2</v>
      </c>
      <c r="P242" s="3">
        <v>2</v>
      </c>
      <c r="Q242" s="3">
        <v>0</v>
      </c>
      <c r="R242" s="3">
        <v>0</v>
      </c>
      <c r="S242" s="3">
        <v>2</v>
      </c>
      <c r="T242" s="3">
        <v>28</v>
      </c>
      <c r="U242" s="3" t="s">
        <v>94</v>
      </c>
      <c r="V242" s="3">
        <v>3833</v>
      </c>
      <c r="W242" s="3">
        <v>2.1</v>
      </c>
      <c r="X242" s="3" t="s">
        <v>108</v>
      </c>
      <c r="Y242" s="7" t="s">
        <v>34</v>
      </c>
    </row>
    <row r="243" spans="1:25" x14ac:dyDescent="0.3">
      <c r="A243" s="5" t="s">
        <v>468</v>
      </c>
      <c r="B243" s="3" t="s">
        <v>290</v>
      </c>
      <c r="C243" s="3" t="s">
        <v>58</v>
      </c>
      <c r="D243" s="3">
        <v>49</v>
      </c>
      <c r="E243" s="3" t="s">
        <v>71</v>
      </c>
      <c r="F243" s="3" t="s">
        <v>38</v>
      </c>
      <c r="G243" s="3" t="s">
        <v>39</v>
      </c>
      <c r="H243" s="3" t="s">
        <v>28</v>
      </c>
      <c r="I243" s="3" t="s">
        <v>107</v>
      </c>
      <c r="J243" s="6">
        <v>44161</v>
      </c>
      <c r="K243" s="3" t="s">
        <v>30</v>
      </c>
      <c r="L243" s="3" t="s">
        <v>93</v>
      </c>
      <c r="M243" s="3">
        <v>33400</v>
      </c>
      <c r="N243" s="3">
        <v>27</v>
      </c>
      <c r="O243" s="3">
        <v>93</v>
      </c>
      <c r="P243" s="3">
        <v>1</v>
      </c>
      <c r="Q243" s="3">
        <v>13</v>
      </c>
      <c r="R243" s="3">
        <v>1</v>
      </c>
      <c r="S243" s="3">
        <v>4</v>
      </c>
      <c r="T243" s="3">
        <v>7</v>
      </c>
      <c r="U243" s="3" t="s">
        <v>41</v>
      </c>
      <c r="V243" s="3">
        <v>2783</v>
      </c>
      <c r="W243" s="3">
        <v>5.7</v>
      </c>
      <c r="X243" s="3" t="s">
        <v>54</v>
      </c>
      <c r="Y243" s="7" t="s">
        <v>55</v>
      </c>
    </row>
    <row r="244" spans="1:25" x14ac:dyDescent="0.3">
      <c r="A244" s="5" t="s">
        <v>469</v>
      </c>
      <c r="B244" s="3" t="s">
        <v>470</v>
      </c>
      <c r="C244" s="3" t="s">
        <v>58</v>
      </c>
      <c r="D244" s="3">
        <v>26</v>
      </c>
      <c r="E244" s="3" t="s">
        <v>45</v>
      </c>
      <c r="F244" s="3" t="s">
        <v>91</v>
      </c>
      <c r="G244" s="3" t="s">
        <v>46</v>
      </c>
      <c r="H244" s="3" t="s">
        <v>28</v>
      </c>
      <c r="I244" s="3" t="s">
        <v>73</v>
      </c>
      <c r="J244" s="6">
        <v>45647</v>
      </c>
      <c r="K244" s="3" t="s">
        <v>30</v>
      </c>
      <c r="L244" s="3" t="s">
        <v>31</v>
      </c>
      <c r="M244" s="3">
        <v>53600</v>
      </c>
      <c r="N244" s="3">
        <v>7</v>
      </c>
      <c r="O244" s="3">
        <v>98.7</v>
      </c>
      <c r="P244" s="3">
        <v>5</v>
      </c>
      <c r="Q244" s="3">
        <v>13</v>
      </c>
      <c r="R244" s="3">
        <v>3</v>
      </c>
      <c r="S244" s="3">
        <v>16</v>
      </c>
      <c r="T244" s="3">
        <v>29</v>
      </c>
      <c r="U244" s="3" t="s">
        <v>130</v>
      </c>
      <c r="V244" s="3">
        <v>4467</v>
      </c>
      <c r="W244" s="3">
        <v>1.6</v>
      </c>
      <c r="X244" s="3" t="s">
        <v>95</v>
      </c>
      <c r="Y244" s="7" t="s">
        <v>42</v>
      </c>
    </row>
    <row r="245" spans="1:25" x14ac:dyDescent="0.3">
      <c r="A245" s="5" t="s">
        <v>471</v>
      </c>
      <c r="B245" s="3" t="s">
        <v>229</v>
      </c>
      <c r="C245" s="3" t="s">
        <v>24</v>
      </c>
      <c r="D245" s="3">
        <v>38</v>
      </c>
      <c r="E245" s="3" t="s">
        <v>160</v>
      </c>
      <c r="F245" s="3" t="s">
        <v>79</v>
      </c>
      <c r="G245" s="3" t="s">
        <v>171</v>
      </c>
      <c r="H245" s="3" t="s">
        <v>28</v>
      </c>
      <c r="I245" s="3" t="s">
        <v>40</v>
      </c>
      <c r="J245" s="6">
        <v>45413</v>
      </c>
      <c r="K245" s="3" t="s">
        <v>30</v>
      </c>
      <c r="L245" s="3" t="s">
        <v>31</v>
      </c>
      <c r="M245" s="3">
        <v>115200</v>
      </c>
      <c r="N245" s="3">
        <v>14</v>
      </c>
      <c r="O245" s="3">
        <v>90.5</v>
      </c>
      <c r="P245" s="3">
        <v>1</v>
      </c>
      <c r="Q245" s="3">
        <v>7</v>
      </c>
      <c r="R245" s="3">
        <v>0</v>
      </c>
      <c r="S245" s="3">
        <v>25</v>
      </c>
      <c r="T245" s="3">
        <v>9</v>
      </c>
      <c r="U245" s="3" t="s">
        <v>94</v>
      </c>
      <c r="V245" s="3">
        <v>9600</v>
      </c>
      <c r="W245" s="3">
        <v>2.2999999999999998</v>
      </c>
      <c r="X245" s="3" t="s">
        <v>108</v>
      </c>
      <c r="Y245" s="7" t="s">
        <v>34</v>
      </c>
    </row>
    <row r="246" spans="1:25" x14ac:dyDescent="0.3">
      <c r="A246" s="5" t="s">
        <v>472</v>
      </c>
      <c r="B246" s="3" t="s">
        <v>127</v>
      </c>
      <c r="C246" s="3" t="s">
        <v>24</v>
      </c>
      <c r="D246" s="3">
        <v>24</v>
      </c>
      <c r="E246" s="3" t="s">
        <v>71</v>
      </c>
      <c r="F246" s="3" t="s">
        <v>72</v>
      </c>
      <c r="G246" s="3" t="s">
        <v>46</v>
      </c>
      <c r="H246" s="3" t="s">
        <v>28</v>
      </c>
      <c r="I246" s="3" t="s">
        <v>107</v>
      </c>
      <c r="J246" s="6">
        <v>44792</v>
      </c>
      <c r="K246" s="3" t="s">
        <v>30</v>
      </c>
      <c r="L246" s="3" t="s">
        <v>93</v>
      </c>
      <c r="M246" s="3">
        <v>108600</v>
      </c>
      <c r="N246" s="3">
        <v>0</v>
      </c>
      <c r="O246" s="3">
        <v>93.5</v>
      </c>
      <c r="P246" s="3">
        <v>2</v>
      </c>
      <c r="Q246" s="3">
        <v>2</v>
      </c>
      <c r="R246" s="3">
        <v>4</v>
      </c>
      <c r="S246" s="3">
        <v>19</v>
      </c>
      <c r="T246" s="3">
        <v>21</v>
      </c>
      <c r="U246" s="3" t="s">
        <v>32</v>
      </c>
      <c r="V246" s="3">
        <v>9050</v>
      </c>
      <c r="W246" s="3">
        <v>4</v>
      </c>
      <c r="X246" s="3" t="s">
        <v>48</v>
      </c>
      <c r="Y246" s="7" t="s">
        <v>55</v>
      </c>
    </row>
    <row r="247" spans="1:25" x14ac:dyDescent="0.3">
      <c r="A247" s="5" t="s">
        <v>473</v>
      </c>
      <c r="B247" s="3" t="s">
        <v>474</v>
      </c>
      <c r="C247" s="3" t="s">
        <v>58</v>
      </c>
      <c r="D247" s="3">
        <v>42</v>
      </c>
      <c r="E247" s="3" t="s">
        <v>45</v>
      </c>
      <c r="F247" s="3" t="s">
        <v>72</v>
      </c>
      <c r="G247" s="3" t="s">
        <v>27</v>
      </c>
      <c r="H247" s="3" t="s">
        <v>28</v>
      </c>
      <c r="I247" s="3" t="s">
        <v>29</v>
      </c>
      <c r="J247" s="6">
        <v>44773</v>
      </c>
      <c r="K247" s="3" t="s">
        <v>30</v>
      </c>
      <c r="L247" s="3" t="s">
        <v>53</v>
      </c>
      <c r="M247" s="3">
        <v>136000</v>
      </c>
      <c r="N247" s="3">
        <v>20</v>
      </c>
      <c r="O247" s="3">
        <v>91.7</v>
      </c>
      <c r="P247" s="3">
        <v>2</v>
      </c>
      <c r="Q247" s="3">
        <v>5</v>
      </c>
      <c r="R247" s="3">
        <v>1</v>
      </c>
      <c r="S247" s="3">
        <v>29</v>
      </c>
      <c r="T247" s="3">
        <v>7</v>
      </c>
      <c r="U247" s="3" t="s">
        <v>41</v>
      </c>
      <c r="V247" s="3">
        <v>11333</v>
      </c>
      <c r="W247" s="3">
        <v>4</v>
      </c>
      <c r="X247" s="3" t="s">
        <v>62</v>
      </c>
      <c r="Y247" s="7" t="s">
        <v>42</v>
      </c>
    </row>
    <row r="248" spans="1:25" x14ac:dyDescent="0.3">
      <c r="A248" s="5" t="s">
        <v>475</v>
      </c>
      <c r="B248" s="3" t="s">
        <v>237</v>
      </c>
      <c r="C248" s="3" t="s">
        <v>58</v>
      </c>
      <c r="D248" s="3">
        <v>32</v>
      </c>
      <c r="E248" s="3" t="s">
        <v>160</v>
      </c>
      <c r="F248" s="3" t="s">
        <v>91</v>
      </c>
      <c r="G248" s="3" t="s">
        <v>46</v>
      </c>
      <c r="H248" s="3" t="s">
        <v>67</v>
      </c>
      <c r="I248" s="3" t="s">
        <v>29</v>
      </c>
      <c r="J248" s="6">
        <v>46056</v>
      </c>
      <c r="K248" s="3" t="s">
        <v>30</v>
      </c>
      <c r="L248" s="3" t="s">
        <v>53</v>
      </c>
      <c r="M248" s="3">
        <v>52200</v>
      </c>
      <c r="N248" s="3">
        <v>13</v>
      </c>
      <c r="O248" s="3">
        <v>95.4</v>
      </c>
      <c r="P248" s="3">
        <v>0</v>
      </c>
      <c r="Q248" s="3">
        <v>11</v>
      </c>
      <c r="R248" s="3">
        <v>1</v>
      </c>
      <c r="S248" s="3">
        <v>29</v>
      </c>
      <c r="T248" s="3">
        <v>20</v>
      </c>
      <c r="U248" s="3" t="s">
        <v>104</v>
      </c>
      <c r="V248" s="3">
        <v>4350</v>
      </c>
      <c r="W248" s="3">
        <v>0.5</v>
      </c>
      <c r="X248" s="3" t="s">
        <v>33</v>
      </c>
      <c r="Y248" s="7" t="s">
        <v>55</v>
      </c>
    </row>
    <row r="249" spans="1:25" x14ac:dyDescent="0.3">
      <c r="A249" s="5" t="s">
        <v>476</v>
      </c>
      <c r="B249" s="3" t="s">
        <v>477</v>
      </c>
      <c r="C249" s="3" t="s">
        <v>58</v>
      </c>
      <c r="D249" s="3">
        <v>21</v>
      </c>
      <c r="E249" s="3" t="s">
        <v>137</v>
      </c>
      <c r="F249" s="3" t="s">
        <v>52</v>
      </c>
      <c r="G249" s="3" t="s">
        <v>80</v>
      </c>
      <c r="H249" s="3" t="s">
        <v>28</v>
      </c>
      <c r="I249" s="3" t="s">
        <v>92</v>
      </c>
      <c r="J249" s="6">
        <v>43502</v>
      </c>
      <c r="K249" s="3" t="s">
        <v>30</v>
      </c>
      <c r="L249" s="3" t="s">
        <v>31</v>
      </c>
      <c r="M249" s="3">
        <v>40000</v>
      </c>
      <c r="N249" s="3">
        <v>0</v>
      </c>
      <c r="O249" s="3">
        <v>73.2</v>
      </c>
      <c r="P249" s="3">
        <v>4</v>
      </c>
      <c r="Q249" s="3">
        <v>1</v>
      </c>
      <c r="R249" s="3">
        <v>4</v>
      </c>
      <c r="S249" s="3">
        <v>4</v>
      </c>
      <c r="T249" s="3">
        <v>5</v>
      </c>
      <c r="U249" s="3" t="s">
        <v>94</v>
      </c>
      <c r="V249" s="3">
        <v>3333</v>
      </c>
      <c r="W249" s="3">
        <v>7.5</v>
      </c>
      <c r="X249" s="3" t="s">
        <v>48</v>
      </c>
      <c r="Y249" s="7" t="s">
        <v>42</v>
      </c>
    </row>
    <row r="250" spans="1:25" x14ac:dyDescent="0.3">
      <c r="A250" s="5" t="s">
        <v>478</v>
      </c>
      <c r="B250" s="3" t="s">
        <v>479</v>
      </c>
      <c r="C250" s="3" t="s">
        <v>58</v>
      </c>
      <c r="D250" s="3">
        <v>43</v>
      </c>
      <c r="E250" s="3" t="s">
        <v>59</v>
      </c>
      <c r="F250" s="3" t="s">
        <v>60</v>
      </c>
      <c r="G250" s="3" t="s">
        <v>80</v>
      </c>
      <c r="H250" s="3" t="s">
        <v>28</v>
      </c>
      <c r="I250" s="3" t="s">
        <v>40</v>
      </c>
      <c r="J250" s="6">
        <v>46135</v>
      </c>
      <c r="K250" s="3" t="s">
        <v>30</v>
      </c>
      <c r="L250" s="3" t="s">
        <v>53</v>
      </c>
      <c r="M250" s="3">
        <v>71100</v>
      </c>
      <c r="N250" s="3">
        <v>22</v>
      </c>
      <c r="O250" s="3">
        <v>87.6</v>
      </c>
      <c r="P250" s="3">
        <v>7</v>
      </c>
      <c r="Q250" s="3">
        <v>8</v>
      </c>
      <c r="R250" s="3">
        <v>3</v>
      </c>
      <c r="S250" s="3">
        <v>13</v>
      </c>
      <c r="T250" s="3">
        <v>23</v>
      </c>
      <c r="U250" s="3" t="s">
        <v>41</v>
      </c>
      <c r="V250" s="3">
        <v>5925</v>
      </c>
      <c r="W250" s="3">
        <v>0.3</v>
      </c>
      <c r="X250" s="3" t="s">
        <v>62</v>
      </c>
      <c r="Y250" s="7" t="s">
        <v>42</v>
      </c>
    </row>
    <row r="251" spans="1:25" x14ac:dyDescent="0.3">
      <c r="A251" s="5" t="s">
        <v>480</v>
      </c>
      <c r="B251" s="3" t="s">
        <v>450</v>
      </c>
      <c r="C251" s="3" t="s">
        <v>24</v>
      </c>
      <c r="D251" s="3">
        <v>37</v>
      </c>
      <c r="E251" s="3" t="s">
        <v>45</v>
      </c>
      <c r="F251" s="3" t="s">
        <v>72</v>
      </c>
      <c r="G251" s="3" t="s">
        <v>39</v>
      </c>
      <c r="H251" s="3" t="s">
        <v>67</v>
      </c>
      <c r="I251" s="3" t="s">
        <v>29</v>
      </c>
      <c r="J251" s="6">
        <v>43702</v>
      </c>
      <c r="K251" s="3" t="s">
        <v>30</v>
      </c>
      <c r="L251" s="3" t="s">
        <v>53</v>
      </c>
      <c r="M251" s="3">
        <v>40500</v>
      </c>
      <c r="N251" s="3">
        <v>18</v>
      </c>
      <c r="O251" s="3">
        <v>89.8</v>
      </c>
      <c r="P251" s="3">
        <v>8</v>
      </c>
      <c r="Q251" s="3">
        <v>3</v>
      </c>
      <c r="R251" s="3">
        <v>1</v>
      </c>
      <c r="S251" s="3">
        <v>28</v>
      </c>
      <c r="T251" s="3">
        <v>17</v>
      </c>
      <c r="U251" s="3" t="s">
        <v>32</v>
      </c>
      <c r="V251" s="3">
        <v>3375</v>
      </c>
      <c r="W251" s="3">
        <v>6.9</v>
      </c>
      <c r="X251" s="3" t="s">
        <v>108</v>
      </c>
      <c r="Y251" s="7" t="s">
        <v>55</v>
      </c>
    </row>
    <row r="252" spans="1:25" x14ac:dyDescent="0.3">
      <c r="A252" s="5" t="s">
        <v>481</v>
      </c>
      <c r="B252" s="3" t="s">
        <v>482</v>
      </c>
      <c r="C252" s="3" t="s">
        <v>24</v>
      </c>
      <c r="D252" s="3">
        <v>23</v>
      </c>
      <c r="E252" s="3" t="s">
        <v>137</v>
      </c>
      <c r="F252" s="3" t="s">
        <v>60</v>
      </c>
      <c r="G252" s="3" t="s">
        <v>122</v>
      </c>
      <c r="H252" s="3" t="s">
        <v>28</v>
      </c>
      <c r="I252" s="3" t="s">
        <v>47</v>
      </c>
      <c r="J252" s="6">
        <v>46100</v>
      </c>
      <c r="K252" s="3" t="s">
        <v>30</v>
      </c>
      <c r="L252" s="3" t="s">
        <v>53</v>
      </c>
      <c r="M252" s="3">
        <v>26000</v>
      </c>
      <c r="N252" s="3">
        <v>2</v>
      </c>
      <c r="O252" s="3">
        <v>91.2</v>
      </c>
      <c r="P252" s="3">
        <v>6</v>
      </c>
      <c r="Q252" s="3">
        <v>6</v>
      </c>
      <c r="R252" s="3">
        <v>2</v>
      </c>
      <c r="S252" s="3">
        <v>19</v>
      </c>
      <c r="T252" s="3">
        <v>6</v>
      </c>
      <c r="U252" s="3" t="s">
        <v>41</v>
      </c>
      <c r="V252" s="3">
        <v>2167</v>
      </c>
      <c r="W252" s="3">
        <v>0.4</v>
      </c>
      <c r="X252" s="3" t="s">
        <v>48</v>
      </c>
      <c r="Y252" s="7" t="s">
        <v>75</v>
      </c>
    </row>
    <row r="253" spans="1:25" x14ac:dyDescent="0.3">
      <c r="A253" s="5" t="s">
        <v>483</v>
      </c>
      <c r="B253" s="3" t="s">
        <v>121</v>
      </c>
      <c r="C253" s="3" t="s">
        <v>58</v>
      </c>
      <c r="D253" s="3">
        <v>23</v>
      </c>
      <c r="E253" s="3" t="s">
        <v>137</v>
      </c>
      <c r="F253" s="3" t="s">
        <v>26</v>
      </c>
      <c r="G253" s="3" t="s">
        <v>46</v>
      </c>
      <c r="H253" s="3" t="s">
        <v>28</v>
      </c>
      <c r="I253" s="3" t="s">
        <v>29</v>
      </c>
      <c r="J253" s="6">
        <v>43318</v>
      </c>
      <c r="K253" s="3" t="s">
        <v>30</v>
      </c>
      <c r="L253" s="3" t="s">
        <v>31</v>
      </c>
      <c r="M253" s="3">
        <v>67900</v>
      </c>
      <c r="N253" s="3">
        <v>1</v>
      </c>
      <c r="O253" s="3">
        <v>84.9</v>
      </c>
      <c r="P253" s="3">
        <v>4</v>
      </c>
      <c r="Q253" s="3">
        <v>14</v>
      </c>
      <c r="R253" s="3">
        <v>2</v>
      </c>
      <c r="S253" s="3">
        <v>27</v>
      </c>
      <c r="T253" s="3">
        <v>17</v>
      </c>
      <c r="U253" s="3" t="s">
        <v>123</v>
      </c>
      <c r="V253" s="3">
        <v>5658</v>
      </c>
      <c r="W253" s="3">
        <v>8</v>
      </c>
      <c r="X253" s="3" t="s">
        <v>48</v>
      </c>
      <c r="Y253" s="7" t="s">
        <v>42</v>
      </c>
    </row>
    <row r="254" spans="1:25" x14ac:dyDescent="0.3">
      <c r="A254" s="5" t="s">
        <v>484</v>
      </c>
      <c r="B254" s="3" t="s">
        <v>485</v>
      </c>
      <c r="C254" s="3" t="s">
        <v>24</v>
      </c>
      <c r="D254" s="3">
        <v>27</v>
      </c>
      <c r="E254" s="3" t="s">
        <v>78</v>
      </c>
      <c r="F254" s="3" t="s">
        <v>72</v>
      </c>
      <c r="G254" s="3" t="s">
        <v>80</v>
      </c>
      <c r="H254" s="3" t="s">
        <v>28</v>
      </c>
      <c r="I254" s="3" t="s">
        <v>86</v>
      </c>
      <c r="J254" s="6">
        <v>45478</v>
      </c>
      <c r="K254" s="3" t="s">
        <v>30</v>
      </c>
      <c r="L254" s="3" t="s">
        <v>31</v>
      </c>
      <c r="M254" s="3">
        <v>59100</v>
      </c>
      <c r="N254" s="3">
        <v>5</v>
      </c>
      <c r="O254" s="3">
        <v>92.5</v>
      </c>
      <c r="P254" s="3">
        <v>7</v>
      </c>
      <c r="Q254" s="3">
        <v>8</v>
      </c>
      <c r="R254" s="3">
        <v>0</v>
      </c>
      <c r="S254" s="3">
        <v>13</v>
      </c>
      <c r="T254" s="3">
        <v>30</v>
      </c>
      <c r="U254" s="3" t="s">
        <v>104</v>
      </c>
      <c r="V254" s="3">
        <v>4925</v>
      </c>
      <c r="W254" s="3">
        <v>2.1</v>
      </c>
      <c r="X254" s="3" t="s">
        <v>95</v>
      </c>
      <c r="Y254" s="7" t="s">
        <v>34</v>
      </c>
    </row>
    <row r="255" spans="1:25" x14ac:dyDescent="0.3">
      <c r="A255" s="5" t="s">
        <v>486</v>
      </c>
      <c r="B255" s="3" t="s">
        <v>487</v>
      </c>
      <c r="C255" s="3" t="s">
        <v>58</v>
      </c>
      <c r="D255" s="3">
        <v>30</v>
      </c>
      <c r="E255" s="3" t="s">
        <v>51</v>
      </c>
      <c r="F255" s="3" t="s">
        <v>60</v>
      </c>
      <c r="G255" s="3" t="s">
        <v>46</v>
      </c>
      <c r="H255" s="3" t="s">
        <v>67</v>
      </c>
      <c r="I255" s="3" t="s">
        <v>29</v>
      </c>
      <c r="J255" s="6">
        <v>43286</v>
      </c>
      <c r="K255" s="3" t="s">
        <v>30</v>
      </c>
      <c r="L255" s="3" t="s">
        <v>53</v>
      </c>
      <c r="M255" s="3">
        <v>100200</v>
      </c>
      <c r="N255" s="3">
        <v>6</v>
      </c>
      <c r="O255" s="3">
        <v>95.4</v>
      </c>
      <c r="P255" s="3">
        <v>8</v>
      </c>
      <c r="Q255" s="3">
        <v>12</v>
      </c>
      <c r="R255" s="3">
        <v>4</v>
      </c>
      <c r="S255" s="3">
        <v>8</v>
      </c>
      <c r="T255" s="3">
        <v>19</v>
      </c>
      <c r="U255" s="3" t="s">
        <v>130</v>
      </c>
      <c r="V255" s="3">
        <v>8350</v>
      </c>
      <c r="W255" s="3">
        <v>8.1</v>
      </c>
      <c r="X255" s="3" t="s">
        <v>33</v>
      </c>
      <c r="Y255" s="7" t="s">
        <v>55</v>
      </c>
    </row>
    <row r="256" spans="1:25" x14ac:dyDescent="0.3">
      <c r="A256" s="5" t="s">
        <v>488</v>
      </c>
      <c r="B256" s="3" t="s">
        <v>489</v>
      </c>
      <c r="C256" s="3" t="s">
        <v>24</v>
      </c>
      <c r="D256" s="3">
        <v>20</v>
      </c>
      <c r="E256" s="3" t="s">
        <v>137</v>
      </c>
      <c r="F256" s="3" t="s">
        <v>26</v>
      </c>
      <c r="G256" s="3" t="s">
        <v>46</v>
      </c>
      <c r="H256" s="3" t="s">
        <v>28</v>
      </c>
      <c r="I256" s="3" t="s">
        <v>29</v>
      </c>
      <c r="J256" s="6">
        <v>45357</v>
      </c>
      <c r="K256" s="3" t="s">
        <v>30</v>
      </c>
      <c r="L256" s="3" t="s">
        <v>53</v>
      </c>
      <c r="M256" s="3">
        <v>78500</v>
      </c>
      <c r="N256" s="3">
        <v>0</v>
      </c>
      <c r="O256" s="3">
        <v>87.5</v>
      </c>
      <c r="P256" s="3">
        <v>8</v>
      </c>
      <c r="Q256" s="3">
        <v>10</v>
      </c>
      <c r="R256" s="3">
        <v>3</v>
      </c>
      <c r="S256" s="3">
        <v>7</v>
      </c>
      <c r="T256" s="3">
        <v>26</v>
      </c>
      <c r="U256" s="3" t="s">
        <v>32</v>
      </c>
      <c r="V256" s="3">
        <v>6542</v>
      </c>
      <c r="W256" s="3">
        <v>2.4</v>
      </c>
      <c r="X256" s="3" t="s">
        <v>48</v>
      </c>
      <c r="Y256" s="7" t="s">
        <v>42</v>
      </c>
    </row>
    <row r="257" spans="1:25" x14ac:dyDescent="0.3">
      <c r="A257" s="5" t="s">
        <v>490</v>
      </c>
      <c r="B257" s="3" t="s">
        <v>485</v>
      </c>
      <c r="C257" s="3" t="s">
        <v>58</v>
      </c>
      <c r="D257" s="3">
        <v>47</v>
      </c>
      <c r="E257" s="3" t="s">
        <v>71</v>
      </c>
      <c r="F257" s="3" t="s">
        <v>52</v>
      </c>
      <c r="G257" s="3" t="s">
        <v>80</v>
      </c>
      <c r="H257" s="3" t="s">
        <v>28</v>
      </c>
      <c r="I257" s="3" t="s">
        <v>47</v>
      </c>
      <c r="J257" s="6">
        <v>43388</v>
      </c>
      <c r="K257" s="3" t="s">
        <v>30</v>
      </c>
      <c r="L257" s="3" t="s">
        <v>53</v>
      </c>
      <c r="M257" s="3">
        <v>54800</v>
      </c>
      <c r="N257" s="3">
        <v>27</v>
      </c>
      <c r="O257" s="3">
        <v>86.1</v>
      </c>
      <c r="P257" s="3">
        <v>8</v>
      </c>
      <c r="Q257" s="3">
        <v>2</v>
      </c>
      <c r="R257" s="3">
        <v>2</v>
      </c>
      <c r="S257" s="3">
        <v>10</v>
      </c>
      <c r="T257" s="3">
        <v>14</v>
      </c>
      <c r="U257" s="3" t="s">
        <v>130</v>
      </c>
      <c r="V257" s="3">
        <v>4567</v>
      </c>
      <c r="W257" s="3">
        <v>7.8</v>
      </c>
      <c r="X257" s="3" t="s">
        <v>54</v>
      </c>
      <c r="Y257" s="7" t="s">
        <v>42</v>
      </c>
    </row>
    <row r="258" spans="1:25" x14ac:dyDescent="0.3">
      <c r="A258" s="5" t="s">
        <v>491</v>
      </c>
      <c r="B258" s="3" t="s">
        <v>492</v>
      </c>
      <c r="C258" s="3" t="s">
        <v>24</v>
      </c>
      <c r="D258" s="3">
        <v>28</v>
      </c>
      <c r="E258" s="3" t="s">
        <v>59</v>
      </c>
      <c r="F258" s="3" t="s">
        <v>72</v>
      </c>
      <c r="G258" s="3" t="s">
        <v>80</v>
      </c>
      <c r="H258" s="3" t="s">
        <v>28</v>
      </c>
      <c r="I258" s="3" t="s">
        <v>107</v>
      </c>
      <c r="J258" s="6">
        <v>43188</v>
      </c>
      <c r="K258" s="3" t="s">
        <v>30</v>
      </c>
      <c r="L258" s="3" t="s">
        <v>31</v>
      </c>
      <c r="M258" s="3">
        <v>60200</v>
      </c>
      <c r="N258" s="3">
        <v>7</v>
      </c>
      <c r="O258" s="3">
        <v>93</v>
      </c>
      <c r="P258" s="3">
        <v>1</v>
      </c>
      <c r="Q258" s="3">
        <v>12</v>
      </c>
      <c r="R258" s="3">
        <v>0</v>
      </c>
      <c r="S258" s="3">
        <v>27</v>
      </c>
      <c r="T258" s="3">
        <v>14</v>
      </c>
      <c r="U258" s="3" t="s">
        <v>32</v>
      </c>
      <c r="V258" s="3">
        <v>5017</v>
      </c>
      <c r="W258" s="3">
        <v>8.3000000000000007</v>
      </c>
      <c r="X258" s="3" t="s">
        <v>95</v>
      </c>
      <c r="Y258" s="7" t="s">
        <v>42</v>
      </c>
    </row>
    <row r="259" spans="1:25" x14ac:dyDescent="0.3">
      <c r="A259" s="5" t="s">
        <v>493</v>
      </c>
      <c r="B259" s="3" t="s">
        <v>200</v>
      </c>
      <c r="C259" s="3" t="s">
        <v>24</v>
      </c>
      <c r="D259" s="3">
        <v>25</v>
      </c>
      <c r="E259" s="3" t="s">
        <v>65</v>
      </c>
      <c r="F259" s="3" t="s">
        <v>52</v>
      </c>
      <c r="G259" s="3" t="s">
        <v>80</v>
      </c>
      <c r="H259" s="3" t="s">
        <v>28</v>
      </c>
      <c r="I259" s="3" t="s">
        <v>86</v>
      </c>
      <c r="J259" s="6">
        <v>46151</v>
      </c>
      <c r="K259" s="3" t="s">
        <v>30</v>
      </c>
      <c r="L259" s="3" t="s">
        <v>53</v>
      </c>
      <c r="M259" s="3">
        <v>47500</v>
      </c>
      <c r="N259" s="3">
        <v>4</v>
      </c>
      <c r="O259" s="3">
        <v>91.8</v>
      </c>
      <c r="P259" s="3">
        <v>2</v>
      </c>
      <c r="Q259" s="3">
        <v>2</v>
      </c>
      <c r="R259" s="3">
        <v>0</v>
      </c>
      <c r="S259" s="3">
        <v>28</v>
      </c>
      <c r="T259" s="3">
        <v>19</v>
      </c>
      <c r="U259" s="3" t="s">
        <v>41</v>
      </c>
      <c r="V259" s="3">
        <v>3958</v>
      </c>
      <c r="W259" s="3">
        <v>0.2</v>
      </c>
      <c r="X259" s="3" t="s">
        <v>95</v>
      </c>
      <c r="Y259" s="7" t="s">
        <v>55</v>
      </c>
    </row>
    <row r="260" spans="1:25" x14ac:dyDescent="0.3">
      <c r="A260" s="5" t="s">
        <v>494</v>
      </c>
      <c r="B260" s="3" t="s">
        <v>495</v>
      </c>
      <c r="C260" s="3" t="s">
        <v>58</v>
      </c>
      <c r="D260" s="3">
        <v>23</v>
      </c>
      <c r="E260" s="3" t="s">
        <v>51</v>
      </c>
      <c r="F260" s="3" t="s">
        <v>60</v>
      </c>
      <c r="G260" s="3" t="s">
        <v>80</v>
      </c>
      <c r="H260" s="3" t="s">
        <v>28</v>
      </c>
      <c r="I260" s="3" t="s">
        <v>29</v>
      </c>
      <c r="J260" s="6">
        <v>45284</v>
      </c>
      <c r="K260" s="3" t="s">
        <v>30</v>
      </c>
      <c r="L260" s="3" t="s">
        <v>31</v>
      </c>
      <c r="M260" s="3">
        <v>72700</v>
      </c>
      <c r="N260" s="3">
        <v>4</v>
      </c>
      <c r="O260" s="3">
        <v>92.2</v>
      </c>
      <c r="P260" s="3">
        <v>1</v>
      </c>
      <c r="Q260" s="3">
        <v>2</v>
      </c>
      <c r="R260" s="3">
        <v>1</v>
      </c>
      <c r="S260" s="3">
        <v>17</v>
      </c>
      <c r="T260" s="3">
        <v>9</v>
      </c>
      <c r="U260" s="3" t="s">
        <v>41</v>
      </c>
      <c r="V260" s="3">
        <v>6058</v>
      </c>
      <c r="W260" s="3">
        <v>2.6</v>
      </c>
      <c r="X260" s="3" t="s">
        <v>48</v>
      </c>
      <c r="Y260" s="7" t="s">
        <v>42</v>
      </c>
    </row>
    <row r="261" spans="1:25" x14ac:dyDescent="0.3">
      <c r="A261" s="5" t="s">
        <v>496</v>
      </c>
      <c r="B261" s="3" t="s">
        <v>497</v>
      </c>
      <c r="C261" s="3" t="s">
        <v>24</v>
      </c>
      <c r="D261" s="3">
        <v>25</v>
      </c>
      <c r="E261" s="3" t="s">
        <v>160</v>
      </c>
      <c r="F261" s="3" t="s">
        <v>66</v>
      </c>
      <c r="G261" s="3" t="s">
        <v>27</v>
      </c>
      <c r="H261" s="3" t="s">
        <v>28</v>
      </c>
      <c r="I261" s="3" t="s">
        <v>29</v>
      </c>
      <c r="J261" s="6">
        <v>45306</v>
      </c>
      <c r="K261" s="3" t="s">
        <v>30</v>
      </c>
      <c r="L261" s="3" t="s">
        <v>53</v>
      </c>
      <c r="M261" s="3">
        <v>93500</v>
      </c>
      <c r="N261" s="3">
        <v>6</v>
      </c>
      <c r="O261" s="3">
        <v>83.7</v>
      </c>
      <c r="P261" s="3">
        <v>4</v>
      </c>
      <c r="Q261" s="3">
        <v>13</v>
      </c>
      <c r="R261" s="3">
        <v>3</v>
      </c>
      <c r="S261" s="3">
        <v>8</v>
      </c>
      <c r="T261" s="3">
        <v>30</v>
      </c>
      <c r="U261" s="3" t="s">
        <v>41</v>
      </c>
      <c r="V261" s="3">
        <v>7792</v>
      </c>
      <c r="W261" s="3">
        <v>2.5</v>
      </c>
      <c r="X261" s="3" t="s">
        <v>95</v>
      </c>
      <c r="Y261" s="7" t="s">
        <v>55</v>
      </c>
    </row>
    <row r="262" spans="1:25" x14ac:dyDescent="0.3">
      <c r="A262" s="5" t="s">
        <v>498</v>
      </c>
      <c r="B262" s="3" t="s">
        <v>499</v>
      </c>
      <c r="C262" s="3" t="s">
        <v>24</v>
      </c>
      <c r="D262" s="3">
        <v>32</v>
      </c>
      <c r="E262" s="3" t="s">
        <v>137</v>
      </c>
      <c r="F262" s="3" t="s">
        <v>52</v>
      </c>
      <c r="G262" s="3" t="s">
        <v>80</v>
      </c>
      <c r="H262" s="3" t="s">
        <v>28</v>
      </c>
      <c r="I262" s="3" t="s">
        <v>68</v>
      </c>
      <c r="J262" s="6">
        <v>45942</v>
      </c>
      <c r="K262" s="3" t="s">
        <v>30</v>
      </c>
      <c r="L262" s="3" t="s">
        <v>53</v>
      </c>
      <c r="M262" s="3">
        <v>51300</v>
      </c>
      <c r="N262" s="3">
        <v>10</v>
      </c>
      <c r="O262" s="3">
        <v>100</v>
      </c>
      <c r="P262" s="3">
        <v>2</v>
      </c>
      <c r="Q262" s="3">
        <v>14</v>
      </c>
      <c r="R262" s="3">
        <v>2</v>
      </c>
      <c r="S262" s="3">
        <v>1</v>
      </c>
      <c r="T262" s="3">
        <v>22</v>
      </c>
      <c r="U262" s="3" t="s">
        <v>94</v>
      </c>
      <c r="V262" s="3">
        <v>4275</v>
      </c>
      <c r="W262" s="3">
        <v>0.8</v>
      </c>
      <c r="X262" s="3" t="s">
        <v>33</v>
      </c>
      <c r="Y262" s="7" t="s">
        <v>42</v>
      </c>
    </row>
    <row r="263" spans="1:25" x14ac:dyDescent="0.3">
      <c r="A263" s="5" t="s">
        <v>500</v>
      </c>
      <c r="B263" s="3" t="s">
        <v>350</v>
      </c>
      <c r="C263" s="3" t="s">
        <v>24</v>
      </c>
      <c r="D263" s="3">
        <v>48</v>
      </c>
      <c r="E263" s="3" t="s">
        <v>51</v>
      </c>
      <c r="F263" s="3" t="s">
        <v>72</v>
      </c>
      <c r="G263" s="3" t="s">
        <v>46</v>
      </c>
      <c r="H263" s="3" t="s">
        <v>28</v>
      </c>
      <c r="I263" s="3" t="s">
        <v>73</v>
      </c>
      <c r="J263" s="6">
        <v>46068</v>
      </c>
      <c r="K263" s="3" t="s">
        <v>30</v>
      </c>
      <c r="L263" s="3" t="s">
        <v>31</v>
      </c>
      <c r="M263" s="3">
        <v>86000</v>
      </c>
      <c r="N263" s="3">
        <v>25</v>
      </c>
      <c r="O263" s="3">
        <v>78.7</v>
      </c>
      <c r="P263" s="3">
        <v>8</v>
      </c>
      <c r="Q263" s="3">
        <v>4</v>
      </c>
      <c r="R263" s="3">
        <v>4</v>
      </c>
      <c r="S263" s="3">
        <v>21</v>
      </c>
      <c r="T263" s="3">
        <v>8</v>
      </c>
      <c r="U263" s="3" t="s">
        <v>41</v>
      </c>
      <c r="V263" s="3">
        <v>7167</v>
      </c>
      <c r="W263" s="3">
        <v>0.5</v>
      </c>
      <c r="X263" s="3" t="s">
        <v>54</v>
      </c>
      <c r="Y263" s="7" t="s">
        <v>42</v>
      </c>
    </row>
    <row r="264" spans="1:25" x14ac:dyDescent="0.3">
      <c r="A264" s="5" t="s">
        <v>501</v>
      </c>
      <c r="B264" s="3" t="s">
        <v>502</v>
      </c>
      <c r="C264" s="3" t="s">
        <v>24</v>
      </c>
      <c r="D264" s="3">
        <v>41</v>
      </c>
      <c r="E264" s="3" t="s">
        <v>78</v>
      </c>
      <c r="F264" s="3" t="s">
        <v>52</v>
      </c>
      <c r="G264" s="3" t="s">
        <v>27</v>
      </c>
      <c r="H264" s="3" t="s">
        <v>28</v>
      </c>
      <c r="I264" s="3" t="s">
        <v>73</v>
      </c>
      <c r="J264" s="6">
        <v>43255</v>
      </c>
      <c r="K264" s="3" t="s">
        <v>30</v>
      </c>
      <c r="L264" s="3" t="s">
        <v>93</v>
      </c>
      <c r="M264" s="3">
        <v>96000</v>
      </c>
      <c r="N264" s="3">
        <v>19</v>
      </c>
      <c r="O264" s="3">
        <v>95.3</v>
      </c>
      <c r="P264" s="3">
        <v>1</v>
      </c>
      <c r="Q264" s="3">
        <v>9</v>
      </c>
      <c r="R264" s="3">
        <v>1</v>
      </c>
      <c r="S264" s="3">
        <v>1</v>
      </c>
      <c r="T264" s="3">
        <v>23</v>
      </c>
      <c r="U264" s="3" t="s">
        <v>130</v>
      </c>
      <c r="V264" s="3">
        <v>8000</v>
      </c>
      <c r="W264" s="3">
        <v>8.1999999999999993</v>
      </c>
      <c r="X264" s="3" t="s">
        <v>62</v>
      </c>
      <c r="Y264" s="7" t="s">
        <v>42</v>
      </c>
    </row>
    <row r="265" spans="1:25" x14ac:dyDescent="0.3">
      <c r="A265" s="5" t="s">
        <v>503</v>
      </c>
      <c r="B265" s="3" t="s">
        <v>504</v>
      </c>
      <c r="C265" s="3" t="s">
        <v>58</v>
      </c>
      <c r="D265" s="3">
        <v>48</v>
      </c>
      <c r="E265" s="3" t="s">
        <v>118</v>
      </c>
      <c r="F265" s="3" t="s">
        <v>66</v>
      </c>
      <c r="G265" s="3" t="s">
        <v>27</v>
      </c>
      <c r="H265" s="3" t="s">
        <v>28</v>
      </c>
      <c r="I265" s="3" t="s">
        <v>68</v>
      </c>
      <c r="J265" s="6">
        <v>43320</v>
      </c>
      <c r="K265" s="3" t="s">
        <v>30</v>
      </c>
      <c r="L265" s="3" t="s">
        <v>53</v>
      </c>
      <c r="M265" s="3">
        <v>80300</v>
      </c>
      <c r="N265" s="3">
        <v>24</v>
      </c>
      <c r="O265" s="3">
        <v>87.4</v>
      </c>
      <c r="P265" s="3">
        <v>4</v>
      </c>
      <c r="Q265" s="3">
        <v>5</v>
      </c>
      <c r="R265" s="3">
        <v>2</v>
      </c>
      <c r="S265" s="3">
        <v>5</v>
      </c>
      <c r="T265" s="3">
        <v>28</v>
      </c>
      <c r="U265" s="3" t="s">
        <v>130</v>
      </c>
      <c r="V265" s="3">
        <v>6692</v>
      </c>
      <c r="W265" s="3">
        <v>8</v>
      </c>
      <c r="X265" s="3" t="s">
        <v>54</v>
      </c>
      <c r="Y265" s="7" t="s">
        <v>42</v>
      </c>
    </row>
    <row r="266" spans="1:25" x14ac:dyDescent="0.3">
      <c r="A266" s="5" t="s">
        <v>505</v>
      </c>
      <c r="B266" s="3" t="s">
        <v>323</v>
      </c>
      <c r="C266" s="3" t="s">
        <v>58</v>
      </c>
      <c r="D266" s="3">
        <v>49</v>
      </c>
      <c r="E266" s="3" t="s">
        <v>137</v>
      </c>
      <c r="F266" s="3" t="s">
        <v>26</v>
      </c>
      <c r="G266" s="3" t="s">
        <v>27</v>
      </c>
      <c r="H266" s="3" t="s">
        <v>28</v>
      </c>
      <c r="I266" s="3" t="s">
        <v>73</v>
      </c>
      <c r="J266" s="6">
        <v>44583</v>
      </c>
      <c r="K266" s="3" t="s">
        <v>30</v>
      </c>
      <c r="L266" s="3" t="s">
        <v>53</v>
      </c>
      <c r="M266" s="3">
        <v>98600</v>
      </c>
      <c r="N266" s="3">
        <v>26</v>
      </c>
      <c r="O266" s="3">
        <v>100</v>
      </c>
      <c r="P266" s="3">
        <v>4</v>
      </c>
      <c r="Q266" s="3">
        <v>2</v>
      </c>
      <c r="R266" s="3">
        <v>0</v>
      </c>
      <c r="S266" s="3">
        <v>5</v>
      </c>
      <c r="T266" s="3">
        <v>16</v>
      </c>
      <c r="U266" s="3" t="s">
        <v>104</v>
      </c>
      <c r="V266" s="3">
        <v>8217</v>
      </c>
      <c r="W266" s="3">
        <v>4.5</v>
      </c>
      <c r="X266" s="3" t="s">
        <v>54</v>
      </c>
      <c r="Y266" s="7" t="s">
        <v>75</v>
      </c>
    </row>
    <row r="267" spans="1:25" x14ac:dyDescent="0.3">
      <c r="A267" s="5" t="s">
        <v>506</v>
      </c>
      <c r="B267" s="3" t="s">
        <v>249</v>
      </c>
      <c r="C267" s="3" t="s">
        <v>58</v>
      </c>
      <c r="D267" s="3">
        <v>28</v>
      </c>
      <c r="E267" s="3" t="s">
        <v>37</v>
      </c>
      <c r="F267" s="3" t="s">
        <v>66</v>
      </c>
      <c r="G267" s="3" t="s">
        <v>80</v>
      </c>
      <c r="H267" s="3" t="s">
        <v>28</v>
      </c>
      <c r="I267" s="3" t="s">
        <v>86</v>
      </c>
      <c r="J267" s="6">
        <v>43422</v>
      </c>
      <c r="K267" s="3" t="s">
        <v>30</v>
      </c>
      <c r="L267" s="3" t="s">
        <v>53</v>
      </c>
      <c r="M267" s="3">
        <v>47300</v>
      </c>
      <c r="N267" s="3">
        <v>4</v>
      </c>
      <c r="O267" s="3">
        <v>93.2</v>
      </c>
      <c r="P267" s="3">
        <v>4</v>
      </c>
      <c r="Q267" s="3">
        <v>9</v>
      </c>
      <c r="R267" s="3">
        <v>4</v>
      </c>
      <c r="S267" s="3">
        <v>10</v>
      </c>
      <c r="T267" s="3">
        <v>3</v>
      </c>
      <c r="U267" s="3" t="s">
        <v>41</v>
      </c>
      <c r="V267" s="3">
        <v>3942</v>
      </c>
      <c r="W267" s="3">
        <v>7.7</v>
      </c>
      <c r="X267" s="3" t="s">
        <v>95</v>
      </c>
      <c r="Y267" s="7" t="s">
        <v>55</v>
      </c>
    </row>
    <row r="268" spans="1:25" x14ac:dyDescent="0.3">
      <c r="A268" s="5" t="s">
        <v>507</v>
      </c>
      <c r="B268" s="3" t="s">
        <v>114</v>
      </c>
      <c r="C268" s="3" t="s">
        <v>24</v>
      </c>
      <c r="D268" s="3">
        <v>46</v>
      </c>
      <c r="E268" s="3" t="s">
        <v>51</v>
      </c>
      <c r="F268" s="3" t="s">
        <v>72</v>
      </c>
      <c r="G268" s="3" t="s">
        <v>122</v>
      </c>
      <c r="H268" s="3" t="s">
        <v>28</v>
      </c>
      <c r="I268" s="3" t="s">
        <v>107</v>
      </c>
      <c r="J268" s="6">
        <v>45839</v>
      </c>
      <c r="K268" s="3" t="s">
        <v>30</v>
      </c>
      <c r="L268" s="3" t="s">
        <v>31</v>
      </c>
      <c r="M268" s="3">
        <v>30700</v>
      </c>
      <c r="N268" s="3">
        <v>25</v>
      </c>
      <c r="O268" s="3">
        <v>96.3</v>
      </c>
      <c r="P268" s="3">
        <v>0</v>
      </c>
      <c r="Q268" s="3">
        <v>15</v>
      </c>
      <c r="R268" s="3">
        <v>0</v>
      </c>
      <c r="S268" s="3">
        <v>22</v>
      </c>
      <c r="T268" s="3">
        <v>5</v>
      </c>
      <c r="U268" s="3" t="s">
        <v>94</v>
      </c>
      <c r="V268" s="3">
        <v>2558</v>
      </c>
      <c r="W268" s="3">
        <v>1.1000000000000001</v>
      </c>
      <c r="X268" s="3" t="s">
        <v>54</v>
      </c>
      <c r="Y268" s="7" t="s">
        <v>42</v>
      </c>
    </row>
    <row r="269" spans="1:25" x14ac:dyDescent="0.3">
      <c r="A269" s="5" t="s">
        <v>508</v>
      </c>
      <c r="B269" s="3" t="s">
        <v>509</v>
      </c>
      <c r="C269" s="3" t="s">
        <v>58</v>
      </c>
      <c r="D269" s="3">
        <v>33</v>
      </c>
      <c r="E269" s="3" t="s">
        <v>101</v>
      </c>
      <c r="F269" s="3" t="s">
        <v>60</v>
      </c>
      <c r="G269" s="3" t="s">
        <v>80</v>
      </c>
      <c r="H269" s="3" t="s">
        <v>28</v>
      </c>
      <c r="I269" s="3" t="s">
        <v>29</v>
      </c>
      <c r="J269" s="6">
        <v>43941</v>
      </c>
      <c r="K269" s="3" t="s">
        <v>30</v>
      </c>
      <c r="L269" s="3" t="s">
        <v>31</v>
      </c>
      <c r="M269" s="3">
        <v>67600</v>
      </c>
      <c r="N269" s="3">
        <v>11</v>
      </c>
      <c r="O269" s="3">
        <v>93.5</v>
      </c>
      <c r="P269" s="3">
        <v>6</v>
      </c>
      <c r="Q269" s="3">
        <v>8</v>
      </c>
      <c r="R269" s="3">
        <v>1</v>
      </c>
      <c r="S269" s="3">
        <v>9</v>
      </c>
      <c r="T269" s="3">
        <v>17</v>
      </c>
      <c r="U269" s="3" t="s">
        <v>41</v>
      </c>
      <c r="V269" s="3">
        <v>5633</v>
      </c>
      <c r="W269" s="3">
        <v>6.3</v>
      </c>
      <c r="X269" s="3" t="s">
        <v>33</v>
      </c>
      <c r="Y269" s="7" t="s">
        <v>42</v>
      </c>
    </row>
    <row r="270" spans="1:25" x14ac:dyDescent="0.3">
      <c r="A270" s="5" t="s">
        <v>510</v>
      </c>
      <c r="B270" s="3" t="s">
        <v>511</v>
      </c>
      <c r="C270" s="3" t="s">
        <v>58</v>
      </c>
      <c r="D270" s="3">
        <v>31</v>
      </c>
      <c r="E270" s="3" t="s">
        <v>101</v>
      </c>
      <c r="F270" s="3" t="s">
        <v>38</v>
      </c>
      <c r="G270" s="3" t="s">
        <v>80</v>
      </c>
      <c r="H270" s="3" t="s">
        <v>28</v>
      </c>
      <c r="I270" s="3" t="s">
        <v>29</v>
      </c>
      <c r="J270" s="6">
        <v>44686</v>
      </c>
      <c r="K270" s="3" t="s">
        <v>30</v>
      </c>
      <c r="L270" s="3" t="s">
        <v>31</v>
      </c>
      <c r="M270" s="3">
        <v>51300</v>
      </c>
      <c r="N270" s="3">
        <v>12</v>
      </c>
      <c r="O270" s="3">
        <v>78.8</v>
      </c>
      <c r="P270" s="3">
        <v>1</v>
      </c>
      <c r="Q270" s="3">
        <v>0</v>
      </c>
      <c r="R270" s="3">
        <v>4</v>
      </c>
      <c r="S270" s="3">
        <v>12</v>
      </c>
      <c r="T270" s="3">
        <v>13</v>
      </c>
      <c r="U270" s="3" t="s">
        <v>32</v>
      </c>
      <c r="V270" s="3">
        <v>4275</v>
      </c>
      <c r="W270" s="3">
        <v>4.2</v>
      </c>
      <c r="X270" s="3" t="s">
        <v>33</v>
      </c>
      <c r="Y270" s="7" t="s">
        <v>55</v>
      </c>
    </row>
    <row r="271" spans="1:25" x14ac:dyDescent="0.3">
      <c r="A271" s="5" t="s">
        <v>512</v>
      </c>
      <c r="B271" s="3" t="s">
        <v>513</v>
      </c>
      <c r="C271" s="3" t="s">
        <v>24</v>
      </c>
      <c r="D271" s="3">
        <v>23</v>
      </c>
      <c r="E271" s="3" t="s">
        <v>71</v>
      </c>
      <c r="F271" s="3" t="s">
        <v>26</v>
      </c>
      <c r="G271" s="3" t="s">
        <v>27</v>
      </c>
      <c r="H271" s="3" t="s">
        <v>28</v>
      </c>
      <c r="I271" s="3" t="s">
        <v>107</v>
      </c>
      <c r="J271" s="6">
        <v>44937</v>
      </c>
      <c r="K271" s="3" t="s">
        <v>30</v>
      </c>
      <c r="L271" s="3" t="s">
        <v>53</v>
      </c>
      <c r="M271" s="3">
        <v>83900</v>
      </c>
      <c r="N271" s="3">
        <v>1</v>
      </c>
      <c r="O271" s="3">
        <v>91.6</v>
      </c>
      <c r="P271" s="3">
        <v>1</v>
      </c>
      <c r="Q271" s="3">
        <v>6</v>
      </c>
      <c r="R271" s="3">
        <v>4</v>
      </c>
      <c r="S271" s="3">
        <v>20</v>
      </c>
      <c r="T271" s="3">
        <v>17</v>
      </c>
      <c r="U271" s="3" t="s">
        <v>41</v>
      </c>
      <c r="V271" s="3">
        <v>6992</v>
      </c>
      <c r="W271" s="3">
        <v>3.6</v>
      </c>
      <c r="X271" s="3" t="s">
        <v>48</v>
      </c>
      <c r="Y271" s="7" t="s">
        <v>75</v>
      </c>
    </row>
    <row r="272" spans="1:25" x14ac:dyDescent="0.3">
      <c r="A272" s="5" t="s">
        <v>514</v>
      </c>
      <c r="B272" s="3" t="s">
        <v>515</v>
      </c>
      <c r="C272" s="3" t="s">
        <v>24</v>
      </c>
      <c r="D272" s="3">
        <v>27</v>
      </c>
      <c r="E272" s="3" t="s">
        <v>137</v>
      </c>
      <c r="F272" s="3" t="s">
        <v>38</v>
      </c>
      <c r="G272" s="3" t="s">
        <v>46</v>
      </c>
      <c r="H272" s="3" t="s">
        <v>28</v>
      </c>
      <c r="I272" s="3" t="s">
        <v>107</v>
      </c>
      <c r="J272" s="6">
        <v>45660</v>
      </c>
      <c r="K272" s="3" t="s">
        <v>30</v>
      </c>
      <c r="L272" s="3" t="s">
        <v>31</v>
      </c>
      <c r="M272" s="3">
        <v>69700</v>
      </c>
      <c r="N272" s="3">
        <v>7</v>
      </c>
      <c r="O272" s="3">
        <v>92.8</v>
      </c>
      <c r="P272" s="3">
        <v>8</v>
      </c>
      <c r="Q272" s="3">
        <v>10</v>
      </c>
      <c r="R272" s="3">
        <v>1</v>
      </c>
      <c r="S272" s="3">
        <v>27</v>
      </c>
      <c r="T272" s="3">
        <v>26</v>
      </c>
      <c r="U272" s="3" t="s">
        <v>94</v>
      </c>
      <c r="V272" s="3">
        <v>5808</v>
      </c>
      <c r="W272" s="3">
        <v>1.6</v>
      </c>
      <c r="X272" s="3" t="s">
        <v>95</v>
      </c>
      <c r="Y272" s="7" t="s">
        <v>55</v>
      </c>
    </row>
    <row r="273" spans="1:25" x14ac:dyDescent="0.3">
      <c r="A273" s="5" t="s">
        <v>516</v>
      </c>
      <c r="B273" s="3" t="s">
        <v>100</v>
      </c>
      <c r="C273" s="3" t="s">
        <v>24</v>
      </c>
      <c r="D273" s="3">
        <v>36</v>
      </c>
      <c r="E273" s="3" t="s">
        <v>37</v>
      </c>
      <c r="F273" s="3" t="s">
        <v>66</v>
      </c>
      <c r="G273" s="3" t="s">
        <v>39</v>
      </c>
      <c r="H273" s="3" t="s">
        <v>28</v>
      </c>
      <c r="I273" s="3" t="s">
        <v>92</v>
      </c>
      <c r="J273" s="6">
        <v>45235</v>
      </c>
      <c r="K273" s="3" t="s">
        <v>30</v>
      </c>
      <c r="L273" s="3" t="s">
        <v>53</v>
      </c>
      <c r="M273" s="3">
        <v>33700</v>
      </c>
      <c r="N273" s="3">
        <v>13</v>
      </c>
      <c r="O273" s="3">
        <v>93.4</v>
      </c>
      <c r="P273" s="3">
        <v>0</v>
      </c>
      <c r="Q273" s="3">
        <v>8</v>
      </c>
      <c r="R273" s="3">
        <v>0</v>
      </c>
      <c r="S273" s="3">
        <v>18</v>
      </c>
      <c r="T273" s="3">
        <v>24</v>
      </c>
      <c r="U273" s="3" t="s">
        <v>123</v>
      </c>
      <c r="V273" s="3">
        <v>2808</v>
      </c>
      <c r="W273" s="3">
        <v>2.7</v>
      </c>
      <c r="X273" s="3" t="s">
        <v>108</v>
      </c>
      <c r="Y273" s="7" t="s">
        <v>42</v>
      </c>
    </row>
    <row r="274" spans="1:25" x14ac:dyDescent="0.3">
      <c r="A274" s="5" t="s">
        <v>517</v>
      </c>
      <c r="B274" s="3" t="s">
        <v>136</v>
      </c>
      <c r="C274" s="3" t="s">
        <v>24</v>
      </c>
      <c r="D274" s="3">
        <v>41</v>
      </c>
      <c r="E274" s="3" t="s">
        <v>59</v>
      </c>
      <c r="F274" s="3" t="s">
        <v>91</v>
      </c>
      <c r="G274" s="3" t="s">
        <v>39</v>
      </c>
      <c r="H274" s="3" t="s">
        <v>28</v>
      </c>
      <c r="I274" s="3" t="s">
        <v>68</v>
      </c>
      <c r="J274" s="6">
        <v>44669</v>
      </c>
      <c r="K274" s="3" t="s">
        <v>30</v>
      </c>
      <c r="L274" s="3" t="s">
        <v>53</v>
      </c>
      <c r="M274" s="3">
        <v>23900</v>
      </c>
      <c r="N274" s="3">
        <v>20</v>
      </c>
      <c r="O274" s="3">
        <v>96.9</v>
      </c>
      <c r="P274" s="3">
        <v>8</v>
      </c>
      <c r="Q274" s="3">
        <v>4</v>
      </c>
      <c r="R274" s="3">
        <v>4</v>
      </c>
      <c r="S274" s="3">
        <v>27</v>
      </c>
      <c r="T274" s="3">
        <v>18</v>
      </c>
      <c r="U274" s="3" t="s">
        <v>94</v>
      </c>
      <c r="V274" s="3">
        <v>1992</v>
      </c>
      <c r="W274" s="3">
        <v>4.3</v>
      </c>
      <c r="X274" s="3" t="s">
        <v>62</v>
      </c>
      <c r="Y274" s="7" t="s">
        <v>42</v>
      </c>
    </row>
    <row r="275" spans="1:25" x14ac:dyDescent="0.3">
      <c r="A275" s="5" t="s">
        <v>518</v>
      </c>
      <c r="B275" s="3" t="s">
        <v>439</v>
      </c>
      <c r="C275" s="3" t="s">
        <v>58</v>
      </c>
      <c r="D275" s="3">
        <v>24</v>
      </c>
      <c r="E275" s="3" t="s">
        <v>83</v>
      </c>
      <c r="F275" s="3" t="s">
        <v>60</v>
      </c>
      <c r="G275" s="3" t="s">
        <v>39</v>
      </c>
      <c r="H275" s="3" t="s">
        <v>122</v>
      </c>
      <c r="I275" s="3" t="s">
        <v>92</v>
      </c>
      <c r="J275" s="6">
        <v>45423</v>
      </c>
      <c r="K275" s="3" t="s">
        <v>30</v>
      </c>
      <c r="L275" s="3" t="s">
        <v>53</v>
      </c>
      <c r="M275" s="3">
        <v>41400</v>
      </c>
      <c r="N275" s="3">
        <v>4</v>
      </c>
      <c r="O275" s="3">
        <v>92.1</v>
      </c>
      <c r="P275" s="3">
        <v>5</v>
      </c>
      <c r="Q275" s="3">
        <v>2</v>
      </c>
      <c r="R275" s="3">
        <v>3</v>
      </c>
      <c r="S275" s="3">
        <v>30</v>
      </c>
      <c r="T275" s="3">
        <v>30</v>
      </c>
      <c r="U275" s="3" t="s">
        <v>94</v>
      </c>
      <c r="V275" s="3">
        <v>3450</v>
      </c>
      <c r="W275" s="3">
        <v>2.2000000000000002</v>
      </c>
      <c r="X275" s="3" t="s">
        <v>48</v>
      </c>
      <c r="Y275" s="7" t="s">
        <v>55</v>
      </c>
    </row>
    <row r="276" spans="1:25" x14ac:dyDescent="0.3">
      <c r="A276" s="5" t="s">
        <v>519</v>
      </c>
      <c r="B276" s="3" t="s">
        <v>452</v>
      </c>
      <c r="C276" s="3" t="s">
        <v>58</v>
      </c>
      <c r="D276" s="3">
        <v>22</v>
      </c>
      <c r="E276" s="3" t="s">
        <v>83</v>
      </c>
      <c r="F276" s="3" t="s">
        <v>38</v>
      </c>
      <c r="G276" s="3" t="s">
        <v>46</v>
      </c>
      <c r="H276" s="3" t="s">
        <v>28</v>
      </c>
      <c r="I276" s="3" t="s">
        <v>73</v>
      </c>
      <c r="J276" s="6">
        <v>45289</v>
      </c>
      <c r="K276" s="3" t="s">
        <v>30</v>
      </c>
      <c r="L276" s="3" t="s">
        <v>53</v>
      </c>
      <c r="M276" s="3">
        <v>62000</v>
      </c>
      <c r="N276" s="3">
        <v>2</v>
      </c>
      <c r="O276" s="3">
        <v>95</v>
      </c>
      <c r="P276" s="3">
        <v>4</v>
      </c>
      <c r="Q276" s="3">
        <v>12</v>
      </c>
      <c r="R276" s="3">
        <v>3</v>
      </c>
      <c r="S276" s="3">
        <v>1</v>
      </c>
      <c r="T276" s="3">
        <v>30</v>
      </c>
      <c r="U276" s="3" t="s">
        <v>104</v>
      </c>
      <c r="V276" s="3">
        <v>5167</v>
      </c>
      <c r="W276" s="3">
        <v>2.6</v>
      </c>
      <c r="X276" s="3" t="s">
        <v>48</v>
      </c>
      <c r="Y276" s="7" t="s">
        <v>42</v>
      </c>
    </row>
    <row r="277" spans="1:25" x14ac:dyDescent="0.3">
      <c r="A277" s="5" t="s">
        <v>520</v>
      </c>
      <c r="B277" s="3" t="s">
        <v>164</v>
      </c>
      <c r="C277" s="3" t="s">
        <v>58</v>
      </c>
      <c r="D277" s="3">
        <v>23</v>
      </c>
      <c r="E277" s="3" t="s">
        <v>90</v>
      </c>
      <c r="F277" s="3" t="s">
        <v>60</v>
      </c>
      <c r="G277" s="3" t="s">
        <v>46</v>
      </c>
      <c r="H277" s="3" t="s">
        <v>28</v>
      </c>
      <c r="I277" s="3" t="s">
        <v>73</v>
      </c>
      <c r="J277" s="6">
        <v>44860</v>
      </c>
      <c r="K277" s="3" t="s">
        <v>30</v>
      </c>
      <c r="L277" s="3" t="s">
        <v>93</v>
      </c>
      <c r="M277" s="3">
        <v>88800</v>
      </c>
      <c r="N277" s="3">
        <v>1</v>
      </c>
      <c r="O277" s="3">
        <v>87.2</v>
      </c>
      <c r="P277" s="3">
        <v>4</v>
      </c>
      <c r="Q277" s="3">
        <v>14</v>
      </c>
      <c r="R277" s="3">
        <v>0</v>
      </c>
      <c r="S277" s="3">
        <v>28</v>
      </c>
      <c r="T277" s="3">
        <v>21</v>
      </c>
      <c r="U277" s="3" t="s">
        <v>123</v>
      </c>
      <c r="V277" s="3">
        <v>7400</v>
      </c>
      <c r="W277" s="3">
        <v>3.8</v>
      </c>
      <c r="X277" s="3" t="s">
        <v>48</v>
      </c>
      <c r="Y277" s="7" t="s">
        <v>75</v>
      </c>
    </row>
    <row r="278" spans="1:25" x14ac:dyDescent="0.3">
      <c r="A278" s="5" t="s">
        <v>521</v>
      </c>
      <c r="B278" s="3" t="s">
        <v>196</v>
      </c>
      <c r="C278" s="3" t="s">
        <v>58</v>
      </c>
      <c r="D278" s="3">
        <v>27</v>
      </c>
      <c r="E278" s="3" t="s">
        <v>83</v>
      </c>
      <c r="F278" s="3" t="s">
        <v>79</v>
      </c>
      <c r="G278" s="3" t="s">
        <v>27</v>
      </c>
      <c r="H278" s="3" t="s">
        <v>28</v>
      </c>
      <c r="I278" s="3" t="s">
        <v>92</v>
      </c>
      <c r="J278" s="6">
        <v>43725</v>
      </c>
      <c r="K278" s="3" t="s">
        <v>87</v>
      </c>
      <c r="L278" s="3" t="s">
        <v>93</v>
      </c>
      <c r="M278" s="3">
        <v>108700</v>
      </c>
      <c r="N278" s="3">
        <v>4</v>
      </c>
      <c r="O278" s="3">
        <v>82.2</v>
      </c>
      <c r="P278" s="3">
        <v>4</v>
      </c>
      <c r="Q278" s="3">
        <v>9</v>
      </c>
      <c r="R278" s="3">
        <v>4</v>
      </c>
      <c r="S278" s="3">
        <v>19</v>
      </c>
      <c r="T278" s="3">
        <v>11</v>
      </c>
      <c r="U278" s="3" t="s">
        <v>123</v>
      </c>
      <c r="V278" s="3">
        <v>9058</v>
      </c>
      <c r="W278" s="3">
        <v>6.9</v>
      </c>
      <c r="X278" s="3" t="s">
        <v>95</v>
      </c>
      <c r="Y278" s="7" t="s">
        <v>75</v>
      </c>
    </row>
    <row r="279" spans="1:25" x14ac:dyDescent="0.3">
      <c r="A279" s="5" t="s">
        <v>522</v>
      </c>
      <c r="B279" s="3" t="s">
        <v>100</v>
      </c>
      <c r="C279" s="3" t="s">
        <v>58</v>
      </c>
      <c r="D279" s="3">
        <v>35</v>
      </c>
      <c r="E279" s="3" t="s">
        <v>59</v>
      </c>
      <c r="F279" s="3" t="s">
        <v>72</v>
      </c>
      <c r="G279" s="3" t="s">
        <v>171</v>
      </c>
      <c r="H279" s="3" t="s">
        <v>115</v>
      </c>
      <c r="I279" s="3" t="s">
        <v>47</v>
      </c>
      <c r="J279" s="6">
        <v>46064</v>
      </c>
      <c r="K279" s="3" t="s">
        <v>30</v>
      </c>
      <c r="L279" s="3" t="s">
        <v>53</v>
      </c>
      <c r="M279" s="3">
        <v>144200</v>
      </c>
      <c r="N279" s="3">
        <v>13</v>
      </c>
      <c r="O279" s="3">
        <v>86.4</v>
      </c>
      <c r="P279" s="3">
        <v>5</v>
      </c>
      <c r="Q279" s="3">
        <v>3</v>
      </c>
      <c r="R279" s="3">
        <v>0</v>
      </c>
      <c r="S279" s="3">
        <v>28</v>
      </c>
      <c r="T279" s="3">
        <v>16</v>
      </c>
      <c r="U279" s="3" t="s">
        <v>41</v>
      </c>
      <c r="V279" s="3">
        <v>12017</v>
      </c>
      <c r="W279" s="3">
        <v>0.5</v>
      </c>
      <c r="X279" s="3" t="s">
        <v>108</v>
      </c>
      <c r="Y279" s="7" t="s">
        <v>42</v>
      </c>
    </row>
    <row r="280" spans="1:25" x14ac:dyDescent="0.3">
      <c r="A280" s="5" t="s">
        <v>523</v>
      </c>
      <c r="B280" s="3" t="s">
        <v>231</v>
      </c>
      <c r="C280" s="3" t="s">
        <v>24</v>
      </c>
      <c r="D280" s="3">
        <v>30</v>
      </c>
      <c r="E280" s="3" t="s">
        <v>78</v>
      </c>
      <c r="F280" s="3" t="s">
        <v>52</v>
      </c>
      <c r="G280" s="3" t="s">
        <v>39</v>
      </c>
      <c r="H280" s="3" t="s">
        <v>122</v>
      </c>
      <c r="I280" s="3" t="s">
        <v>92</v>
      </c>
      <c r="J280" s="6">
        <v>43453</v>
      </c>
      <c r="K280" s="3" t="s">
        <v>30</v>
      </c>
      <c r="L280" s="3" t="s">
        <v>31</v>
      </c>
      <c r="M280" s="3">
        <v>33700</v>
      </c>
      <c r="N280" s="3">
        <v>7</v>
      </c>
      <c r="O280" s="3">
        <v>87.3</v>
      </c>
      <c r="P280" s="3">
        <v>6</v>
      </c>
      <c r="Q280" s="3">
        <v>7</v>
      </c>
      <c r="R280" s="3">
        <v>3</v>
      </c>
      <c r="S280" s="3">
        <v>13</v>
      </c>
      <c r="T280" s="3">
        <v>20</v>
      </c>
      <c r="U280" s="3" t="s">
        <v>94</v>
      </c>
      <c r="V280" s="3">
        <v>2808</v>
      </c>
      <c r="W280" s="3">
        <v>7.6</v>
      </c>
      <c r="X280" s="3" t="s">
        <v>33</v>
      </c>
      <c r="Y280" s="7" t="s">
        <v>42</v>
      </c>
    </row>
    <row r="281" spans="1:25" x14ac:dyDescent="0.3">
      <c r="A281" s="5" t="s">
        <v>524</v>
      </c>
      <c r="B281" s="3" t="s">
        <v>525</v>
      </c>
      <c r="C281" s="3" t="s">
        <v>58</v>
      </c>
      <c r="D281" s="3">
        <v>46</v>
      </c>
      <c r="E281" s="3" t="s">
        <v>51</v>
      </c>
      <c r="F281" s="3" t="s">
        <v>79</v>
      </c>
      <c r="G281" s="3" t="s">
        <v>80</v>
      </c>
      <c r="H281" s="3" t="s">
        <v>28</v>
      </c>
      <c r="I281" s="3" t="s">
        <v>107</v>
      </c>
      <c r="J281" s="6">
        <v>44129</v>
      </c>
      <c r="K281" s="3" t="s">
        <v>30</v>
      </c>
      <c r="L281" s="3" t="s">
        <v>31</v>
      </c>
      <c r="M281" s="3">
        <v>54800</v>
      </c>
      <c r="N281" s="3">
        <v>26</v>
      </c>
      <c r="O281" s="3">
        <v>86.4</v>
      </c>
      <c r="P281" s="3">
        <v>8</v>
      </c>
      <c r="Q281" s="3">
        <v>11</v>
      </c>
      <c r="R281" s="3">
        <v>4</v>
      </c>
      <c r="S281" s="3">
        <v>27</v>
      </c>
      <c r="T281" s="3">
        <v>15</v>
      </c>
      <c r="U281" s="3" t="s">
        <v>41</v>
      </c>
      <c r="V281" s="3">
        <v>4567</v>
      </c>
      <c r="W281" s="3">
        <v>5.8</v>
      </c>
      <c r="X281" s="3" t="s">
        <v>54</v>
      </c>
      <c r="Y281" s="7" t="s">
        <v>42</v>
      </c>
    </row>
    <row r="282" spans="1:25" x14ac:dyDescent="0.3">
      <c r="A282" s="5" t="s">
        <v>526</v>
      </c>
      <c r="B282" s="3" t="s">
        <v>304</v>
      </c>
      <c r="C282" s="3" t="s">
        <v>58</v>
      </c>
      <c r="D282" s="3">
        <v>45</v>
      </c>
      <c r="E282" s="3" t="s">
        <v>160</v>
      </c>
      <c r="F282" s="3" t="s">
        <v>52</v>
      </c>
      <c r="G282" s="3" t="s">
        <v>39</v>
      </c>
      <c r="H282" s="3" t="s">
        <v>28</v>
      </c>
      <c r="I282" s="3" t="s">
        <v>68</v>
      </c>
      <c r="J282" s="6">
        <v>45530</v>
      </c>
      <c r="K282" s="3" t="s">
        <v>30</v>
      </c>
      <c r="L282" s="3" t="s">
        <v>31</v>
      </c>
      <c r="M282" s="3">
        <v>28100</v>
      </c>
      <c r="N282" s="3">
        <v>21</v>
      </c>
      <c r="O282" s="3">
        <v>84.9</v>
      </c>
      <c r="P282" s="3">
        <v>1</v>
      </c>
      <c r="Q282" s="3">
        <v>13</v>
      </c>
      <c r="R282" s="3">
        <v>4</v>
      </c>
      <c r="S282" s="3">
        <v>0</v>
      </c>
      <c r="T282" s="3">
        <v>2</v>
      </c>
      <c r="U282" s="3" t="s">
        <v>74</v>
      </c>
      <c r="V282" s="3">
        <v>2342</v>
      </c>
      <c r="W282" s="3">
        <v>1.9</v>
      </c>
      <c r="X282" s="3" t="s">
        <v>54</v>
      </c>
      <c r="Y282" s="7" t="s">
        <v>75</v>
      </c>
    </row>
    <row r="283" spans="1:25" x14ac:dyDescent="0.3">
      <c r="A283" s="5" t="s">
        <v>527</v>
      </c>
      <c r="B283" s="3" t="s">
        <v>528</v>
      </c>
      <c r="C283" s="3" t="s">
        <v>24</v>
      </c>
      <c r="D283" s="3">
        <v>46</v>
      </c>
      <c r="E283" s="3" t="s">
        <v>25</v>
      </c>
      <c r="F283" s="3" t="s">
        <v>60</v>
      </c>
      <c r="G283" s="3" t="s">
        <v>80</v>
      </c>
      <c r="H283" s="3" t="s">
        <v>28</v>
      </c>
      <c r="I283" s="3" t="s">
        <v>92</v>
      </c>
      <c r="J283" s="6">
        <v>44458</v>
      </c>
      <c r="K283" s="3" t="s">
        <v>30</v>
      </c>
      <c r="L283" s="3" t="s">
        <v>31</v>
      </c>
      <c r="M283" s="3">
        <v>71100</v>
      </c>
      <c r="N283" s="3">
        <v>25</v>
      </c>
      <c r="O283" s="3">
        <v>86.2</v>
      </c>
      <c r="P283" s="3">
        <v>3</v>
      </c>
      <c r="Q283" s="3">
        <v>14</v>
      </c>
      <c r="R283" s="3">
        <v>0</v>
      </c>
      <c r="S283" s="3">
        <v>26</v>
      </c>
      <c r="T283" s="3">
        <v>22</v>
      </c>
      <c r="U283" s="3" t="s">
        <v>123</v>
      </c>
      <c r="V283" s="3">
        <v>5925</v>
      </c>
      <c r="W283" s="3">
        <v>4.9000000000000004</v>
      </c>
      <c r="X283" s="3" t="s">
        <v>54</v>
      </c>
      <c r="Y283" s="7" t="s">
        <v>42</v>
      </c>
    </row>
    <row r="284" spans="1:25" x14ac:dyDescent="0.3">
      <c r="A284" s="5" t="s">
        <v>529</v>
      </c>
      <c r="B284" s="3" t="s">
        <v>450</v>
      </c>
      <c r="C284" s="3" t="s">
        <v>24</v>
      </c>
      <c r="D284" s="3">
        <v>49</v>
      </c>
      <c r="E284" s="3" t="s">
        <v>160</v>
      </c>
      <c r="F284" s="3" t="s">
        <v>38</v>
      </c>
      <c r="G284" s="3" t="s">
        <v>27</v>
      </c>
      <c r="H284" s="3" t="s">
        <v>28</v>
      </c>
      <c r="I284" s="3" t="s">
        <v>73</v>
      </c>
      <c r="J284" s="6">
        <v>43575</v>
      </c>
      <c r="K284" s="3" t="s">
        <v>30</v>
      </c>
      <c r="L284" s="3" t="s">
        <v>53</v>
      </c>
      <c r="M284" s="3">
        <v>86800</v>
      </c>
      <c r="N284" s="3">
        <v>29</v>
      </c>
      <c r="O284" s="3">
        <v>88.8</v>
      </c>
      <c r="P284" s="3">
        <v>4</v>
      </c>
      <c r="Q284" s="3">
        <v>2</v>
      </c>
      <c r="R284" s="3">
        <v>4</v>
      </c>
      <c r="S284" s="3">
        <v>11</v>
      </c>
      <c r="T284" s="3">
        <v>26</v>
      </c>
      <c r="U284" s="3" t="s">
        <v>94</v>
      </c>
      <c r="V284" s="3">
        <v>7233</v>
      </c>
      <c r="W284" s="3">
        <v>7.3</v>
      </c>
      <c r="X284" s="3" t="s">
        <v>54</v>
      </c>
      <c r="Y284" s="7" t="s">
        <v>34</v>
      </c>
    </row>
    <row r="285" spans="1:25" x14ac:dyDescent="0.3">
      <c r="A285" s="5" t="s">
        <v>530</v>
      </c>
      <c r="B285" s="3" t="s">
        <v>50</v>
      </c>
      <c r="C285" s="3" t="s">
        <v>58</v>
      </c>
      <c r="D285" s="3">
        <v>50</v>
      </c>
      <c r="E285" s="3" t="s">
        <v>160</v>
      </c>
      <c r="F285" s="3" t="s">
        <v>60</v>
      </c>
      <c r="G285" s="3" t="s">
        <v>46</v>
      </c>
      <c r="H285" s="3" t="s">
        <v>28</v>
      </c>
      <c r="I285" s="3" t="s">
        <v>40</v>
      </c>
      <c r="J285" s="6">
        <v>45110</v>
      </c>
      <c r="K285" s="3" t="s">
        <v>30</v>
      </c>
      <c r="L285" s="3" t="s">
        <v>31</v>
      </c>
      <c r="M285" s="3">
        <v>102200</v>
      </c>
      <c r="N285" s="3">
        <v>28</v>
      </c>
      <c r="O285" s="3">
        <v>85.9</v>
      </c>
      <c r="P285" s="3">
        <v>5</v>
      </c>
      <c r="Q285" s="3">
        <v>14</v>
      </c>
      <c r="R285" s="3">
        <v>0</v>
      </c>
      <c r="S285" s="3">
        <v>17</v>
      </c>
      <c r="T285" s="3">
        <v>5</v>
      </c>
      <c r="U285" s="3" t="s">
        <v>94</v>
      </c>
      <c r="V285" s="3">
        <v>8517</v>
      </c>
      <c r="W285" s="3">
        <v>3.1</v>
      </c>
      <c r="X285" s="3" t="s">
        <v>54</v>
      </c>
      <c r="Y285" s="7" t="s">
        <v>55</v>
      </c>
    </row>
    <row r="286" spans="1:25" x14ac:dyDescent="0.3">
      <c r="A286" s="5" t="s">
        <v>531</v>
      </c>
      <c r="B286" s="3" t="s">
        <v>196</v>
      </c>
      <c r="C286" s="3" t="s">
        <v>24</v>
      </c>
      <c r="D286" s="3">
        <v>21</v>
      </c>
      <c r="E286" s="3" t="s">
        <v>51</v>
      </c>
      <c r="F286" s="3" t="s">
        <v>91</v>
      </c>
      <c r="G286" s="3" t="s">
        <v>46</v>
      </c>
      <c r="H286" s="3" t="s">
        <v>115</v>
      </c>
      <c r="I286" s="3" t="s">
        <v>47</v>
      </c>
      <c r="J286" s="6">
        <v>44028</v>
      </c>
      <c r="K286" s="3" t="s">
        <v>30</v>
      </c>
      <c r="L286" s="3" t="s">
        <v>31</v>
      </c>
      <c r="M286" s="3">
        <v>45000</v>
      </c>
      <c r="N286" s="3">
        <v>0</v>
      </c>
      <c r="O286" s="3">
        <v>100</v>
      </c>
      <c r="P286" s="3">
        <v>6</v>
      </c>
      <c r="Q286" s="3">
        <v>4</v>
      </c>
      <c r="R286" s="3">
        <v>2</v>
      </c>
      <c r="S286" s="3">
        <v>23</v>
      </c>
      <c r="T286" s="3">
        <v>3</v>
      </c>
      <c r="U286" s="3" t="s">
        <v>104</v>
      </c>
      <c r="V286" s="3">
        <v>3750</v>
      </c>
      <c r="W286" s="3">
        <v>6</v>
      </c>
      <c r="X286" s="3" t="s">
        <v>48</v>
      </c>
      <c r="Y286" s="7" t="s">
        <v>42</v>
      </c>
    </row>
    <row r="287" spans="1:25" x14ac:dyDescent="0.3">
      <c r="A287" s="5" t="s">
        <v>532</v>
      </c>
      <c r="B287" s="3" t="s">
        <v>64</v>
      </c>
      <c r="C287" s="3" t="s">
        <v>24</v>
      </c>
      <c r="D287" s="3">
        <v>27</v>
      </c>
      <c r="E287" s="3" t="s">
        <v>83</v>
      </c>
      <c r="F287" s="3" t="s">
        <v>38</v>
      </c>
      <c r="G287" s="3" t="s">
        <v>80</v>
      </c>
      <c r="H287" s="3" t="s">
        <v>28</v>
      </c>
      <c r="I287" s="3" t="s">
        <v>68</v>
      </c>
      <c r="J287" s="6">
        <v>43130</v>
      </c>
      <c r="K287" s="3" t="s">
        <v>61</v>
      </c>
      <c r="L287" s="3" t="s">
        <v>93</v>
      </c>
      <c r="M287" s="3">
        <v>43100</v>
      </c>
      <c r="N287" s="3">
        <v>7</v>
      </c>
      <c r="O287" s="3">
        <v>84</v>
      </c>
      <c r="P287" s="3">
        <v>2</v>
      </c>
      <c r="Q287" s="3">
        <v>11</v>
      </c>
      <c r="R287" s="3">
        <v>2</v>
      </c>
      <c r="S287" s="3">
        <v>15</v>
      </c>
      <c r="T287" s="3">
        <v>24</v>
      </c>
      <c r="U287" s="3" t="s">
        <v>41</v>
      </c>
      <c r="V287" s="3">
        <v>3592</v>
      </c>
      <c r="W287" s="3">
        <v>8.5</v>
      </c>
      <c r="X287" s="3" t="s">
        <v>95</v>
      </c>
      <c r="Y287" s="7" t="s">
        <v>42</v>
      </c>
    </row>
    <row r="288" spans="1:25" x14ac:dyDescent="0.3">
      <c r="A288" s="5" t="s">
        <v>533</v>
      </c>
      <c r="B288" s="3" t="s">
        <v>534</v>
      </c>
      <c r="C288" s="3" t="s">
        <v>24</v>
      </c>
      <c r="D288" s="3">
        <v>26</v>
      </c>
      <c r="E288" s="3" t="s">
        <v>90</v>
      </c>
      <c r="F288" s="3" t="s">
        <v>52</v>
      </c>
      <c r="G288" s="3" t="s">
        <v>122</v>
      </c>
      <c r="H288" s="3" t="s">
        <v>28</v>
      </c>
      <c r="I288" s="3" t="s">
        <v>92</v>
      </c>
      <c r="J288" s="6">
        <v>46070</v>
      </c>
      <c r="K288" s="3" t="s">
        <v>30</v>
      </c>
      <c r="L288" s="3" t="s">
        <v>31</v>
      </c>
      <c r="M288" s="3">
        <v>20200</v>
      </c>
      <c r="N288" s="3">
        <v>3</v>
      </c>
      <c r="O288" s="3">
        <v>93.2</v>
      </c>
      <c r="P288" s="3">
        <v>2</v>
      </c>
      <c r="Q288" s="3">
        <v>2</v>
      </c>
      <c r="R288" s="3">
        <v>3</v>
      </c>
      <c r="S288" s="3">
        <v>4</v>
      </c>
      <c r="T288" s="3">
        <v>29</v>
      </c>
      <c r="U288" s="3" t="s">
        <v>32</v>
      </c>
      <c r="V288" s="3">
        <v>1683</v>
      </c>
      <c r="W288" s="3">
        <v>0.5</v>
      </c>
      <c r="X288" s="3" t="s">
        <v>95</v>
      </c>
      <c r="Y288" s="7" t="s">
        <v>42</v>
      </c>
    </row>
    <row r="289" spans="1:25" x14ac:dyDescent="0.3">
      <c r="A289" s="5" t="s">
        <v>535</v>
      </c>
      <c r="B289" s="3" t="s">
        <v>129</v>
      </c>
      <c r="C289" s="3" t="s">
        <v>58</v>
      </c>
      <c r="D289" s="3">
        <v>20</v>
      </c>
      <c r="E289" s="3" t="s">
        <v>37</v>
      </c>
      <c r="F289" s="3" t="s">
        <v>66</v>
      </c>
      <c r="G289" s="3" t="s">
        <v>39</v>
      </c>
      <c r="H289" s="3" t="s">
        <v>28</v>
      </c>
      <c r="I289" s="3" t="s">
        <v>107</v>
      </c>
      <c r="J289" s="6">
        <v>45742</v>
      </c>
      <c r="K289" s="3" t="s">
        <v>30</v>
      </c>
      <c r="L289" s="3" t="s">
        <v>53</v>
      </c>
      <c r="M289" s="3">
        <v>30400</v>
      </c>
      <c r="N289" s="3">
        <v>0</v>
      </c>
      <c r="O289" s="3">
        <v>88.3</v>
      </c>
      <c r="P289" s="3">
        <v>8</v>
      </c>
      <c r="Q289" s="3">
        <v>14</v>
      </c>
      <c r="R289" s="3">
        <v>3</v>
      </c>
      <c r="S289" s="3">
        <v>20</v>
      </c>
      <c r="T289" s="3">
        <v>9</v>
      </c>
      <c r="U289" s="3" t="s">
        <v>123</v>
      </c>
      <c r="V289" s="3">
        <v>2533</v>
      </c>
      <c r="W289" s="3">
        <v>1.3</v>
      </c>
      <c r="X289" s="3" t="s">
        <v>48</v>
      </c>
      <c r="Y289" s="7" t="s">
        <v>42</v>
      </c>
    </row>
    <row r="290" spans="1:25" x14ac:dyDescent="0.3">
      <c r="A290" s="5" t="s">
        <v>536</v>
      </c>
      <c r="B290" s="3" t="s">
        <v>537</v>
      </c>
      <c r="C290" s="3" t="s">
        <v>58</v>
      </c>
      <c r="D290" s="3">
        <v>48</v>
      </c>
      <c r="E290" s="3" t="s">
        <v>51</v>
      </c>
      <c r="F290" s="3" t="s">
        <v>60</v>
      </c>
      <c r="G290" s="3" t="s">
        <v>80</v>
      </c>
      <c r="H290" s="3" t="s">
        <v>28</v>
      </c>
      <c r="I290" s="3" t="s">
        <v>86</v>
      </c>
      <c r="J290" s="6">
        <v>45641</v>
      </c>
      <c r="K290" s="3" t="s">
        <v>30</v>
      </c>
      <c r="L290" s="3" t="s">
        <v>93</v>
      </c>
      <c r="M290" s="3">
        <v>70000</v>
      </c>
      <c r="N290" s="3">
        <v>28</v>
      </c>
      <c r="O290" s="3">
        <v>93.7</v>
      </c>
      <c r="P290" s="3">
        <v>8</v>
      </c>
      <c r="Q290" s="3">
        <v>13</v>
      </c>
      <c r="R290" s="3">
        <v>1</v>
      </c>
      <c r="S290" s="3">
        <v>18</v>
      </c>
      <c r="T290" s="3">
        <v>28</v>
      </c>
      <c r="U290" s="3" t="s">
        <v>41</v>
      </c>
      <c r="V290" s="3">
        <v>5833</v>
      </c>
      <c r="W290" s="3">
        <v>1.6</v>
      </c>
      <c r="X290" s="3" t="s">
        <v>54</v>
      </c>
      <c r="Y290" s="7" t="s">
        <v>55</v>
      </c>
    </row>
    <row r="291" spans="1:25" x14ac:dyDescent="0.3">
      <c r="A291" s="5" t="s">
        <v>538</v>
      </c>
      <c r="B291" s="3" t="s">
        <v>268</v>
      </c>
      <c r="C291" s="3" t="s">
        <v>58</v>
      </c>
      <c r="D291" s="3">
        <v>21</v>
      </c>
      <c r="E291" s="3" t="s">
        <v>90</v>
      </c>
      <c r="F291" s="3" t="s">
        <v>52</v>
      </c>
      <c r="G291" s="3" t="s">
        <v>46</v>
      </c>
      <c r="H291" s="3" t="s">
        <v>28</v>
      </c>
      <c r="I291" s="3" t="s">
        <v>40</v>
      </c>
      <c r="J291" s="6">
        <v>43595</v>
      </c>
      <c r="K291" s="3" t="s">
        <v>30</v>
      </c>
      <c r="L291" s="3" t="s">
        <v>31</v>
      </c>
      <c r="M291" s="3">
        <v>58200</v>
      </c>
      <c r="N291" s="3">
        <v>0</v>
      </c>
      <c r="O291" s="3">
        <v>89.8</v>
      </c>
      <c r="P291" s="3">
        <v>1</v>
      </c>
      <c r="Q291" s="3">
        <v>14</v>
      </c>
      <c r="R291" s="3">
        <v>2</v>
      </c>
      <c r="S291" s="3">
        <v>13</v>
      </c>
      <c r="T291" s="3">
        <v>3</v>
      </c>
      <c r="U291" s="3" t="s">
        <v>123</v>
      </c>
      <c r="V291" s="3">
        <v>4850</v>
      </c>
      <c r="W291" s="3">
        <v>7.2</v>
      </c>
      <c r="X291" s="3" t="s">
        <v>48</v>
      </c>
      <c r="Y291" s="7" t="s">
        <v>42</v>
      </c>
    </row>
    <row r="292" spans="1:25" x14ac:dyDescent="0.3">
      <c r="A292" s="5" t="s">
        <v>539</v>
      </c>
      <c r="B292" s="3" t="s">
        <v>156</v>
      </c>
      <c r="C292" s="3" t="s">
        <v>58</v>
      </c>
      <c r="D292" s="3">
        <v>42</v>
      </c>
      <c r="E292" s="3" t="s">
        <v>101</v>
      </c>
      <c r="F292" s="3" t="s">
        <v>72</v>
      </c>
      <c r="G292" s="3" t="s">
        <v>39</v>
      </c>
      <c r="H292" s="3" t="s">
        <v>28</v>
      </c>
      <c r="I292" s="3" t="s">
        <v>73</v>
      </c>
      <c r="J292" s="6">
        <v>43488</v>
      </c>
      <c r="K292" s="3" t="s">
        <v>30</v>
      </c>
      <c r="L292" s="3" t="s">
        <v>93</v>
      </c>
      <c r="M292" s="3">
        <v>48300</v>
      </c>
      <c r="N292" s="3">
        <v>19</v>
      </c>
      <c r="O292" s="3">
        <v>95.3</v>
      </c>
      <c r="P292" s="3">
        <v>3</v>
      </c>
      <c r="Q292" s="3">
        <v>11</v>
      </c>
      <c r="R292" s="3">
        <v>2</v>
      </c>
      <c r="S292" s="3">
        <v>10</v>
      </c>
      <c r="T292" s="3">
        <v>12</v>
      </c>
      <c r="U292" s="3" t="s">
        <v>74</v>
      </c>
      <c r="V292" s="3">
        <v>4025</v>
      </c>
      <c r="W292" s="3">
        <v>7.5</v>
      </c>
      <c r="X292" s="3" t="s">
        <v>62</v>
      </c>
      <c r="Y292" s="7" t="s">
        <v>42</v>
      </c>
    </row>
    <row r="293" spans="1:25" x14ac:dyDescent="0.3">
      <c r="A293" s="5" t="s">
        <v>540</v>
      </c>
      <c r="B293" s="3" t="s">
        <v>541</v>
      </c>
      <c r="C293" s="3" t="s">
        <v>58</v>
      </c>
      <c r="D293" s="3">
        <v>46</v>
      </c>
      <c r="E293" s="3" t="s">
        <v>51</v>
      </c>
      <c r="F293" s="3" t="s">
        <v>66</v>
      </c>
      <c r="G293" s="3" t="s">
        <v>46</v>
      </c>
      <c r="H293" s="3" t="s">
        <v>28</v>
      </c>
      <c r="I293" s="3" t="s">
        <v>40</v>
      </c>
      <c r="J293" s="6">
        <v>43973</v>
      </c>
      <c r="K293" s="3" t="s">
        <v>61</v>
      </c>
      <c r="L293" s="3" t="s">
        <v>93</v>
      </c>
      <c r="M293" s="3">
        <v>58300</v>
      </c>
      <c r="N293" s="3">
        <v>23</v>
      </c>
      <c r="O293" s="3">
        <v>89</v>
      </c>
      <c r="P293" s="3">
        <v>3</v>
      </c>
      <c r="Q293" s="3">
        <v>14</v>
      </c>
      <c r="R293" s="3">
        <v>1</v>
      </c>
      <c r="S293" s="3">
        <v>16</v>
      </c>
      <c r="T293" s="3">
        <v>28</v>
      </c>
      <c r="U293" s="3" t="s">
        <v>94</v>
      </c>
      <c r="V293" s="3">
        <v>4858</v>
      </c>
      <c r="W293" s="3">
        <v>6.2</v>
      </c>
      <c r="X293" s="3" t="s">
        <v>54</v>
      </c>
      <c r="Y293" s="7" t="s">
        <v>55</v>
      </c>
    </row>
    <row r="294" spans="1:25" x14ac:dyDescent="0.3">
      <c r="A294" s="5" t="s">
        <v>542</v>
      </c>
      <c r="B294" s="3" t="s">
        <v>487</v>
      </c>
      <c r="C294" s="3" t="s">
        <v>24</v>
      </c>
      <c r="D294" s="3">
        <v>32</v>
      </c>
      <c r="E294" s="3" t="s">
        <v>83</v>
      </c>
      <c r="F294" s="3" t="s">
        <v>52</v>
      </c>
      <c r="G294" s="3" t="s">
        <v>27</v>
      </c>
      <c r="H294" s="3" t="s">
        <v>28</v>
      </c>
      <c r="I294" s="3" t="s">
        <v>107</v>
      </c>
      <c r="J294" s="6">
        <v>43935</v>
      </c>
      <c r="K294" s="3" t="s">
        <v>30</v>
      </c>
      <c r="L294" s="3" t="s">
        <v>53</v>
      </c>
      <c r="M294" s="3">
        <v>97500</v>
      </c>
      <c r="N294" s="3">
        <v>11</v>
      </c>
      <c r="O294" s="3">
        <v>91.4</v>
      </c>
      <c r="P294" s="3">
        <v>4</v>
      </c>
      <c r="Q294" s="3">
        <v>5</v>
      </c>
      <c r="R294" s="3">
        <v>0</v>
      </c>
      <c r="S294" s="3">
        <v>21</v>
      </c>
      <c r="T294" s="3">
        <v>11</v>
      </c>
      <c r="U294" s="3" t="s">
        <v>41</v>
      </c>
      <c r="V294" s="3">
        <v>8125</v>
      </c>
      <c r="W294" s="3">
        <v>6.3</v>
      </c>
      <c r="X294" s="3" t="s">
        <v>33</v>
      </c>
      <c r="Y294" s="7" t="s">
        <v>42</v>
      </c>
    </row>
    <row r="295" spans="1:25" x14ac:dyDescent="0.3">
      <c r="A295" s="5" t="s">
        <v>543</v>
      </c>
      <c r="B295" s="3" t="s">
        <v>264</v>
      </c>
      <c r="C295" s="3" t="s">
        <v>24</v>
      </c>
      <c r="D295" s="3">
        <v>30</v>
      </c>
      <c r="E295" s="3" t="s">
        <v>101</v>
      </c>
      <c r="F295" s="3" t="s">
        <v>72</v>
      </c>
      <c r="G295" s="3" t="s">
        <v>80</v>
      </c>
      <c r="H295" s="3" t="s">
        <v>28</v>
      </c>
      <c r="I295" s="3" t="s">
        <v>92</v>
      </c>
      <c r="J295" s="6">
        <v>43730</v>
      </c>
      <c r="K295" s="3" t="s">
        <v>30</v>
      </c>
      <c r="L295" s="3" t="s">
        <v>31</v>
      </c>
      <c r="M295" s="3">
        <v>72000</v>
      </c>
      <c r="N295" s="3">
        <v>8</v>
      </c>
      <c r="O295" s="3">
        <v>80</v>
      </c>
      <c r="P295" s="3">
        <v>1</v>
      </c>
      <c r="Q295" s="3">
        <v>11</v>
      </c>
      <c r="R295" s="3">
        <v>2</v>
      </c>
      <c r="S295" s="3">
        <v>14</v>
      </c>
      <c r="T295" s="3">
        <v>12</v>
      </c>
      <c r="U295" s="3" t="s">
        <v>123</v>
      </c>
      <c r="V295" s="3">
        <v>6000</v>
      </c>
      <c r="W295" s="3">
        <v>6.9</v>
      </c>
      <c r="X295" s="3" t="s">
        <v>33</v>
      </c>
      <c r="Y295" s="7" t="s">
        <v>55</v>
      </c>
    </row>
    <row r="296" spans="1:25" x14ac:dyDescent="0.3">
      <c r="A296" s="5" t="s">
        <v>544</v>
      </c>
      <c r="B296" s="3" t="s">
        <v>432</v>
      </c>
      <c r="C296" s="3" t="s">
        <v>58</v>
      </c>
      <c r="D296" s="3">
        <v>22</v>
      </c>
      <c r="E296" s="3" t="s">
        <v>90</v>
      </c>
      <c r="F296" s="3" t="s">
        <v>72</v>
      </c>
      <c r="G296" s="3" t="s">
        <v>46</v>
      </c>
      <c r="H296" s="3" t="s">
        <v>67</v>
      </c>
      <c r="I296" s="3" t="s">
        <v>107</v>
      </c>
      <c r="J296" s="6">
        <v>46087</v>
      </c>
      <c r="K296" s="3" t="s">
        <v>30</v>
      </c>
      <c r="L296" s="3" t="s">
        <v>31</v>
      </c>
      <c r="M296" s="3">
        <v>95700</v>
      </c>
      <c r="N296" s="3">
        <v>0</v>
      </c>
      <c r="O296" s="3">
        <v>84.1</v>
      </c>
      <c r="P296" s="3">
        <v>3</v>
      </c>
      <c r="Q296" s="3">
        <v>0</v>
      </c>
      <c r="R296" s="3">
        <v>2</v>
      </c>
      <c r="S296" s="3">
        <v>15</v>
      </c>
      <c r="T296" s="3">
        <v>10</v>
      </c>
      <c r="U296" s="3" t="s">
        <v>41</v>
      </c>
      <c r="V296" s="3">
        <v>7975</v>
      </c>
      <c r="W296" s="3">
        <v>0.4</v>
      </c>
      <c r="X296" s="3" t="s">
        <v>48</v>
      </c>
      <c r="Y296" s="7" t="s">
        <v>75</v>
      </c>
    </row>
    <row r="297" spans="1:25" x14ac:dyDescent="0.3">
      <c r="A297" s="5" t="s">
        <v>545</v>
      </c>
      <c r="B297" s="3" t="s">
        <v>546</v>
      </c>
      <c r="C297" s="3" t="s">
        <v>58</v>
      </c>
      <c r="D297" s="3">
        <v>21</v>
      </c>
      <c r="E297" s="3" t="s">
        <v>51</v>
      </c>
      <c r="F297" s="3" t="s">
        <v>38</v>
      </c>
      <c r="G297" s="3" t="s">
        <v>80</v>
      </c>
      <c r="H297" s="3" t="s">
        <v>28</v>
      </c>
      <c r="I297" s="3" t="s">
        <v>40</v>
      </c>
      <c r="J297" s="6">
        <v>43130</v>
      </c>
      <c r="K297" s="3" t="s">
        <v>30</v>
      </c>
      <c r="L297" s="3" t="s">
        <v>53</v>
      </c>
      <c r="M297" s="3">
        <v>44200</v>
      </c>
      <c r="N297" s="3">
        <v>1</v>
      </c>
      <c r="O297" s="3">
        <v>83.2</v>
      </c>
      <c r="P297" s="3">
        <v>2</v>
      </c>
      <c r="Q297" s="3">
        <v>6</v>
      </c>
      <c r="R297" s="3">
        <v>3</v>
      </c>
      <c r="S297" s="3">
        <v>30</v>
      </c>
      <c r="T297" s="3">
        <v>30</v>
      </c>
      <c r="U297" s="3" t="s">
        <v>32</v>
      </c>
      <c r="V297" s="3">
        <v>3683</v>
      </c>
      <c r="W297" s="3">
        <v>8.5</v>
      </c>
      <c r="X297" s="3" t="s">
        <v>48</v>
      </c>
      <c r="Y297" s="7" t="s">
        <v>42</v>
      </c>
    </row>
    <row r="298" spans="1:25" x14ac:dyDescent="0.3">
      <c r="A298" s="5" t="s">
        <v>547</v>
      </c>
      <c r="B298" s="3" t="s">
        <v>548</v>
      </c>
      <c r="C298" s="3" t="s">
        <v>24</v>
      </c>
      <c r="D298" s="3">
        <v>35</v>
      </c>
      <c r="E298" s="3" t="s">
        <v>37</v>
      </c>
      <c r="F298" s="3" t="s">
        <v>66</v>
      </c>
      <c r="G298" s="3" t="s">
        <v>46</v>
      </c>
      <c r="H298" s="3" t="s">
        <v>28</v>
      </c>
      <c r="I298" s="3" t="s">
        <v>47</v>
      </c>
      <c r="J298" s="6">
        <v>45771</v>
      </c>
      <c r="K298" s="3" t="s">
        <v>30</v>
      </c>
      <c r="L298" s="3" t="s">
        <v>53</v>
      </c>
      <c r="M298" s="3">
        <v>69100</v>
      </c>
      <c r="N298" s="3">
        <v>12</v>
      </c>
      <c r="O298" s="3">
        <v>98.6</v>
      </c>
      <c r="P298" s="3">
        <v>5</v>
      </c>
      <c r="Q298" s="3">
        <v>14</v>
      </c>
      <c r="R298" s="3">
        <v>1</v>
      </c>
      <c r="S298" s="3">
        <v>13</v>
      </c>
      <c r="T298" s="3">
        <v>27</v>
      </c>
      <c r="U298" s="3" t="s">
        <v>130</v>
      </c>
      <c r="V298" s="3">
        <v>5758</v>
      </c>
      <c r="W298" s="3">
        <v>1.3</v>
      </c>
      <c r="X298" s="3" t="s">
        <v>108</v>
      </c>
      <c r="Y298" s="7" t="s">
        <v>42</v>
      </c>
    </row>
    <row r="299" spans="1:25" x14ac:dyDescent="0.3">
      <c r="A299" s="5" t="s">
        <v>549</v>
      </c>
      <c r="B299" s="3" t="s">
        <v>550</v>
      </c>
      <c r="C299" s="3" t="s">
        <v>24</v>
      </c>
      <c r="D299" s="3">
        <v>20</v>
      </c>
      <c r="E299" s="3" t="s">
        <v>118</v>
      </c>
      <c r="F299" s="3" t="s">
        <v>38</v>
      </c>
      <c r="G299" s="3" t="s">
        <v>46</v>
      </c>
      <c r="H299" s="3" t="s">
        <v>28</v>
      </c>
      <c r="I299" s="3" t="s">
        <v>40</v>
      </c>
      <c r="J299" s="6">
        <v>43907</v>
      </c>
      <c r="K299" s="3" t="s">
        <v>30</v>
      </c>
      <c r="L299" s="3" t="s">
        <v>31</v>
      </c>
      <c r="M299" s="3">
        <v>62700</v>
      </c>
      <c r="N299" s="3">
        <v>0</v>
      </c>
      <c r="O299" s="3">
        <v>95.7</v>
      </c>
      <c r="P299" s="3">
        <v>3</v>
      </c>
      <c r="Q299" s="3">
        <v>14</v>
      </c>
      <c r="R299" s="3">
        <v>1</v>
      </c>
      <c r="S299" s="3">
        <v>27</v>
      </c>
      <c r="T299" s="3">
        <v>25</v>
      </c>
      <c r="U299" s="3" t="s">
        <v>123</v>
      </c>
      <c r="V299" s="3">
        <v>5225</v>
      </c>
      <c r="W299" s="3">
        <v>6.4</v>
      </c>
      <c r="X299" s="3" t="s">
        <v>48</v>
      </c>
      <c r="Y299" s="7" t="s">
        <v>55</v>
      </c>
    </row>
    <row r="300" spans="1:25" x14ac:dyDescent="0.3">
      <c r="A300" s="5" t="s">
        <v>551</v>
      </c>
      <c r="B300" s="3" t="s">
        <v>170</v>
      </c>
      <c r="C300" s="3" t="s">
        <v>24</v>
      </c>
      <c r="D300" s="3">
        <v>26</v>
      </c>
      <c r="E300" s="3" t="s">
        <v>45</v>
      </c>
      <c r="F300" s="3" t="s">
        <v>26</v>
      </c>
      <c r="G300" s="3" t="s">
        <v>171</v>
      </c>
      <c r="H300" s="3" t="s">
        <v>28</v>
      </c>
      <c r="I300" s="3" t="s">
        <v>107</v>
      </c>
      <c r="J300" s="6">
        <v>45490</v>
      </c>
      <c r="K300" s="3" t="s">
        <v>61</v>
      </c>
      <c r="L300" s="3" t="s">
        <v>93</v>
      </c>
      <c r="M300" s="3">
        <v>111500</v>
      </c>
      <c r="N300" s="3">
        <v>7</v>
      </c>
      <c r="O300" s="3">
        <v>92</v>
      </c>
      <c r="P300" s="3">
        <v>0</v>
      </c>
      <c r="Q300" s="3">
        <v>10</v>
      </c>
      <c r="R300" s="3">
        <v>3</v>
      </c>
      <c r="S300" s="3">
        <v>16</v>
      </c>
      <c r="T300" s="3">
        <v>5</v>
      </c>
      <c r="U300" s="3" t="s">
        <v>94</v>
      </c>
      <c r="V300" s="3">
        <v>9292</v>
      </c>
      <c r="W300" s="3">
        <v>2</v>
      </c>
      <c r="X300" s="3" t="s">
        <v>95</v>
      </c>
      <c r="Y300" s="7" t="s">
        <v>55</v>
      </c>
    </row>
    <row r="301" spans="1:25" x14ac:dyDescent="0.3">
      <c r="A301" s="5" t="s">
        <v>552</v>
      </c>
      <c r="B301" s="3" t="s">
        <v>413</v>
      </c>
      <c r="C301" s="3" t="s">
        <v>58</v>
      </c>
      <c r="D301" s="3">
        <v>22</v>
      </c>
      <c r="E301" s="3" t="s">
        <v>59</v>
      </c>
      <c r="F301" s="3" t="s">
        <v>72</v>
      </c>
      <c r="G301" s="3" t="s">
        <v>80</v>
      </c>
      <c r="H301" s="3" t="s">
        <v>122</v>
      </c>
      <c r="I301" s="3" t="s">
        <v>92</v>
      </c>
      <c r="J301" s="6">
        <v>44933</v>
      </c>
      <c r="K301" s="3" t="s">
        <v>30</v>
      </c>
      <c r="L301" s="3" t="s">
        <v>31</v>
      </c>
      <c r="M301" s="3">
        <v>68700</v>
      </c>
      <c r="N301" s="3">
        <v>3</v>
      </c>
      <c r="O301" s="3">
        <v>96.2</v>
      </c>
      <c r="P301" s="3">
        <v>2</v>
      </c>
      <c r="Q301" s="3">
        <v>13</v>
      </c>
      <c r="R301" s="3">
        <v>2</v>
      </c>
      <c r="S301" s="3">
        <v>3</v>
      </c>
      <c r="T301" s="3">
        <v>29</v>
      </c>
      <c r="U301" s="3" t="s">
        <v>130</v>
      </c>
      <c r="V301" s="3">
        <v>5725</v>
      </c>
      <c r="W301" s="3">
        <v>3.6</v>
      </c>
      <c r="X301" s="3" t="s">
        <v>48</v>
      </c>
      <c r="Y301" s="7" t="s">
        <v>42</v>
      </c>
    </row>
    <row r="302" spans="1:25" x14ac:dyDescent="0.3">
      <c r="A302" s="5" t="s">
        <v>553</v>
      </c>
      <c r="B302" s="3" t="s">
        <v>320</v>
      </c>
      <c r="C302" s="3" t="s">
        <v>24</v>
      </c>
      <c r="D302" s="3">
        <v>41</v>
      </c>
      <c r="E302" s="3" t="s">
        <v>90</v>
      </c>
      <c r="F302" s="3" t="s">
        <v>52</v>
      </c>
      <c r="G302" s="3" t="s">
        <v>80</v>
      </c>
      <c r="H302" s="3" t="s">
        <v>115</v>
      </c>
      <c r="I302" s="3" t="s">
        <v>47</v>
      </c>
      <c r="J302" s="6">
        <v>44411</v>
      </c>
      <c r="K302" s="3" t="s">
        <v>30</v>
      </c>
      <c r="L302" s="3" t="s">
        <v>53</v>
      </c>
      <c r="M302" s="3">
        <v>55300</v>
      </c>
      <c r="N302" s="3">
        <v>20</v>
      </c>
      <c r="O302" s="3">
        <v>85.9</v>
      </c>
      <c r="P302" s="3">
        <v>7</v>
      </c>
      <c r="Q302" s="3">
        <v>5</v>
      </c>
      <c r="R302" s="3">
        <v>4</v>
      </c>
      <c r="S302" s="3">
        <v>13</v>
      </c>
      <c r="T302" s="3">
        <v>30</v>
      </c>
      <c r="U302" s="3" t="s">
        <v>74</v>
      </c>
      <c r="V302" s="3">
        <v>4608</v>
      </c>
      <c r="W302" s="3">
        <v>5</v>
      </c>
      <c r="X302" s="3" t="s">
        <v>62</v>
      </c>
      <c r="Y302" s="7" t="s">
        <v>42</v>
      </c>
    </row>
    <row r="303" spans="1:25" x14ac:dyDescent="0.3">
      <c r="A303" s="5" t="s">
        <v>554</v>
      </c>
      <c r="B303" s="3" t="s">
        <v>420</v>
      </c>
      <c r="C303" s="3" t="s">
        <v>24</v>
      </c>
      <c r="D303" s="3">
        <v>35</v>
      </c>
      <c r="E303" s="3" t="s">
        <v>78</v>
      </c>
      <c r="F303" s="3" t="s">
        <v>79</v>
      </c>
      <c r="G303" s="3" t="s">
        <v>39</v>
      </c>
      <c r="H303" s="3" t="s">
        <v>28</v>
      </c>
      <c r="I303" s="3" t="s">
        <v>73</v>
      </c>
      <c r="J303" s="6">
        <v>45069</v>
      </c>
      <c r="K303" s="3" t="s">
        <v>30</v>
      </c>
      <c r="L303" s="3" t="s">
        <v>53</v>
      </c>
      <c r="M303" s="3">
        <v>40000</v>
      </c>
      <c r="N303" s="3">
        <v>12</v>
      </c>
      <c r="O303" s="3">
        <v>98.4</v>
      </c>
      <c r="P303" s="3">
        <v>2</v>
      </c>
      <c r="Q303" s="3">
        <v>11</v>
      </c>
      <c r="R303" s="3">
        <v>1</v>
      </c>
      <c r="S303" s="3">
        <v>3</v>
      </c>
      <c r="T303" s="3">
        <v>5</v>
      </c>
      <c r="U303" s="3" t="s">
        <v>130</v>
      </c>
      <c r="V303" s="3">
        <v>3333</v>
      </c>
      <c r="W303" s="3">
        <v>3.2</v>
      </c>
      <c r="X303" s="3" t="s">
        <v>108</v>
      </c>
      <c r="Y303" s="7" t="s">
        <v>42</v>
      </c>
    </row>
    <row r="304" spans="1:25" x14ac:dyDescent="0.3">
      <c r="A304" s="5" t="s">
        <v>555</v>
      </c>
      <c r="B304" s="3" t="s">
        <v>218</v>
      </c>
      <c r="C304" s="3" t="s">
        <v>58</v>
      </c>
      <c r="D304" s="3">
        <v>45</v>
      </c>
      <c r="E304" s="3" t="s">
        <v>101</v>
      </c>
      <c r="F304" s="3" t="s">
        <v>26</v>
      </c>
      <c r="G304" s="3" t="s">
        <v>39</v>
      </c>
      <c r="H304" s="3" t="s">
        <v>28</v>
      </c>
      <c r="I304" s="3" t="s">
        <v>68</v>
      </c>
      <c r="J304" s="6">
        <v>46149</v>
      </c>
      <c r="K304" s="3" t="s">
        <v>30</v>
      </c>
      <c r="L304" s="3" t="s">
        <v>31</v>
      </c>
      <c r="M304" s="3">
        <v>38100</v>
      </c>
      <c r="N304" s="3">
        <v>25</v>
      </c>
      <c r="O304" s="3">
        <v>91.5</v>
      </c>
      <c r="P304" s="3">
        <v>6</v>
      </c>
      <c r="Q304" s="3">
        <v>5</v>
      </c>
      <c r="R304" s="3">
        <v>2</v>
      </c>
      <c r="S304" s="3">
        <v>26</v>
      </c>
      <c r="T304" s="3">
        <v>22</v>
      </c>
      <c r="U304" s="3" t="s">
        <v>104</v>
      </c>
      <c r="V304" s="3">
        <v>3175</v>
      </c>
      <c r="W304" s="3">
        <v>0.2</v>
      </c>
      <c r="X304" s="3" t="s">
        <v>54</v>
      </c>
      <c r="Y304" s="7" t="s">
        <v>42</v>
      </c>
    </row>
    <row r="305" spans="1:25" x14ac:dyDescent="0.3">
      <c r="A305" s="5" t="s">
        <v>556</v>
      </c>
      <c r="B305" s="3" t="s">
        <v>450</v>
      </c>
      <c r="C305" s="3" t="s">
        <v>24</v>
      </c>
      <c r="D305" s="3">
        <v>43</v>
      </c>
      <c r="E305" s="3" t="s">
        <v>90</v>
      </c>
      <c r="F305" s="3" t="s">
        <v>66</v>
      </c>
      <c r="G305" s="3" t="s">
        <v>46</v>
      </c>
      <c r="H305" s="3" t="s">
        <v>28</v>
      </c>
      <c r="I305" s="3" t="s">
        <v>92</v>
      </c>
      <c r="J305" s="6">
        <v>45061</v>
      </c>
      <c r="K305" s="3" t="s">
        <v>61</v>
      </c>
      <c r="L305" s="3" t="s">
        <v>53</v>
      </c>
      <c r="M305" s="3">
        <v>67100</v>
      </c>
      <c r="N305" s="3">
        <v>21</v>
      </c>
      <c r="O305" s="3">
        <v>89.8</v>
      </c>
      <c r="P305" s="3">
        <v>1</v>
      </c>
      <c r="Q305" s="3">
        <v>2</v>
      </c>
      <c r="R305" s="3">
        <v>0</v>
      </c>
      <c r="S305" s="3">
        <v>2</v>
      </c>
      <c r="T305" s="3">
        <v>2</v>
      </c>
      <c r="U305" s="3" t="s">
        <v>130</v>
      </c>
      <c r="V305" s="3">
        <v>5592</v>
      </c>
      <c r="W305" s="3">
        <v>3.2</v>
      </c>
      <c r="X305" s="3" t="s">
        <v>62</v>
      </c>
      <c r="Y305" s="7" t="s">
        <v>55</v>
      </c>
    </row>
    <row r="306" spans="1:25" x14ac:dyDescent="0.3">
      <c r="A306" s="5" t="s">
        <v>557</v>
      </c>
      <c r="B306" s="3" t="s">
        <v>57</v>
      </c>
      <c r="C306" s="3" t="s">
        <v>24</v>
      </c>
      <c r="D306" s="3">
        <v>25</v>
      </c>
      <c r="E306" s="3" t="s">
        <v>118</v>
      </c>
      <c r="F306" s="3" t="s">
        <v>52</v>
      </c>
      <c r="G306" s="3" t="s">
        <v>27</v>
      </c>
      <c r="H306" s="3" t="s">
        <v>122</v>
      </c>
      <c r="I306" s="3" t="s">
        <v>29</v>
      </c>
      <c r="J306" s="6">
        <v>43344</v>
      </c>
      <c r="K306" s="3" t="s">
        <v>30</v>
      </c>
      <c r="L306" s="3" t="s">
        <v>31</v>
      </c>
      <c r="M306" s="3">
        <v>102600</v>
      </c>
      <c r="N306" s="3">
        <v>2</v>
      </c>
      <c r="O306" s="3">
        <v>96.1</v>
      </c>
      <c r="P306" s="3">
        <v>4</v>
      </c>
      <c r="Q306" s="3">
        <v>15</v>
      </c>
      <c r="R306" s="3">
        <v>1</v>
      </c>
      <c r="S306" s="3">
        <v>3</v>
      </c>
      <c r="T306" s="3">
        <v>24</v>
      </c>
      <c r="U306" s="3" t="s">
        <v>41</v>
      </c>
      <c r="V306" s="3">
        <v>8550</v>
      </c>
      <c r="W306" s="3">
        <v>7.9</v>
      </c>
      <c r="X306" s="3" t="s">
        <v>95</v>
      </c>
      <c r="Y306" s="7" t="s">
        <v>42</v>
      </c>
    </row>
    <row r="307" spans="1:25" x14ac:dyDescent="0.3">
      <c r="A307" s="5" t="s">
        <v>558</v>
      </c>
      <c r="B307" s="3" t="s">
        <v>386</v>
      </c>
      <c r="C307" s="3" t="s">
        <v>58</v>
      </c>
      <c r="D307" s="3">
        <v>33</v>
      </c>
      <c r="E307" s="3" t="s">
        <v>78</v>
      </c>
      <c r="F307" s="3" t="s">
        <v>72</v>
      </c>
      <c r="G307" s="3" t="s">
        <v>80</v>
      </c>
      <c r="H307" s="3" t="s">
        <v>28</v>
      </c>
      <c r="I307" s="3" t="s">
        <v>29</v>
      </c>
      <c r="J307" s="6">
        <v>43321</v>
      </c>
      <c r="K307" s="3" t="s">
        <v>30</v>
      </c>
      <c r="L307" s="3" t="s">
        <v>31</v>
      </c>
      <c r="M307" s="3">
        <v>67000</v>
      </c>
      <c r="N307" s="3">
        <v>12</v>
      </c>
      <c r="O307" s="3">
        <v>95.8</v>
      </c>
      <c r="P307" s="3">
        <v>6</v>
      </c>
      <c r="Q307" s="3">
        <v>0</v>
      </c>
      <c r="R307" s="3">
        <v>3</v>
      </c>
      <c r="S307" s="3">
        <v>29</v>
      </c>
      <c r="T307" s="3">
        <v>29</v>
      </c>
      <c r="U307" s="3" t="s">
        <v>130</v>
      </c>
      <c r="V307" s="3">
        <v>5583</v>
      </c>
      <c r="W307" s="3">
        <v>8</v>
      </c>
      <c r="X307" s="3" t="s">
        <v>33</v>
      </c>
      <c r="Y307" s="7" t="s">
        <v>42</v>
      </c>
    </row>
    <row r="308" spans="1:25" x14ac:dyDescent="0.3">
      <c r="A308" s="5" t="s">
        <v>559</v>
      </c>
      <c r="B308" s="3" t="s">
        <v>251</v>
      </c>
      <c r="C308" s="3" t="s">
        <v>58</v>
      </c>
      <c r="D308" s="3">
        <v>42</v>
      </c>
      <c r="E308" s="3" t="s">
        <v>65</v>
      </c>
      <c r="F308" s="3" t="s">
        <v>72</v>
      </c>
      <c r="G308" s="3" t="s">
        <v>39</v>
      </c>
      <c r="H308" s="3" t="s">
        <v>28</v>
      </c>
      <c r="I308" s="3" t="s">
        <v>92</v>
      </c>
      <c r="J308" s="6">
        <v>44280</v>
      </c>
      <c r="K308" s="3" t="s">
        <v>30</v>
      </c>
      <c r="L308" s="3" t="s">
        <v>31</v>
      </c>
      <c r="M308" s="3">
        <v>45000</v>
      </c>
      <c r="N308" s="3">
        <v>18</v>
      </c>
      <c r="O308" s="3">
        <v>83.9</v>
      </c>
      <c r="P308" s="3">
        <v>0</v>
      </c>
      <c r="Q308" s="3">
        <v>15</v>
      </c>
      <c r="R308" s="3">
        <v>1</v>
      </c>
      <c r="S308" s="3">
        <v>21</v>
      </c>
      <c r="T308" s="3">
        <v>5</v>
      </c>
      <c r="U308" s="3" t="s">
        <v>130</v>
      </c>
      <c r="V308" s="3">
        <v>3750</v>
      </c>
      <c r="W308" s="3">
        <v>5.4</v>
      </c>
      <c r="X308" s="3" t="s">
        <v>62</v>
      </c>
      <c r="Y308" s="7" t="s">
        <v>42</v>
      </c>
    </row>
    <row r="309" spans="1:25" x14ac:dyDescent="0.3">
      <c r="A309" s="5" t="s">
        <v>560</v>
      </c>
      <c r="B309" s="3" t="s">
        <v>561</v>
      </c>
      <c r="C309" s="3" t="s">
        <v>24</v>
      </c>
      <c r="D309" s="3">
        <v>30</v>
      </c>
      <c r="E309" s="3" t="s">
        <v>45</v>
      </c>
      <c r="F309" s="3" t="s">
        <v>72</v>
      </c>
      <c r="G309" s="3" t="s">
        <v>80</v>
      </c>
      <c r="H309" s="3" t="s">
        <v>28</v>
      </c>
      <c r="I309" s="3" t="s">
        <v>92</v>
      </c>
      <c r="J309" s="6">
        <v>44507</v>
      </c>
      <c r="K309" s="3" t="s">
        <v>30</v>
      </c>
      <c r="L309" s="3" t="s">
        <v>31</v>
      </c>
      <c r="M309" s="3">
        <v>74800</v>
      </c>
      <c r="N309" s="3">
        <v>11</v>
      </c>
      <c r="O309" s="3">
        <v>95.3</v>
      </c>
      <c r="P309" s="3">
        <v>0</v>
      </c>
      <c r="Q309" s="3">
        <v>10</v>
      </c>
      <c r="R309" s="3">
        <v>3</v>
      </c>
      <c r="S309" s="3">
        <v>5</v>
      </c>
      <c r="T309" s="3">
        <v>2</v>
      </c>
      <c r="U309" s="3" t="s">
        <v>32</v>
      </c>
      <c r="V309" s="3">
        <v>6233</v>
      </c>
      <c r="W309" s="3">
        <v>4.7</v>
      </c>
      <c r="X309" s="3" t="s">
        <v>33</v>
      </c>
      <c r="Y309" s="7" t="s">
        <v>42</v>
      </c>
    </row>
    <row r="310" spans="1:25" x14ac:dyDescent="0.3">
      <c r="A310" s="5" t="s">
        <v>562</v>
      </c>
      <c r="B310" s="3" t="s">
        <v>212</v>
      </c>
      <c r="C310" s="3" t="s">
        <v>24</v>
      </c>
      <c r="D310" s="3">
        <v>50</v>
      </c>
      <c r="E310" s="3" t="s">
        <v>83</v>
      </c>
      <c r="F310" s="3" t="s">
        <v>91</v>
      </c>
      <c r="G310" s="3" t="s">
        <v>80</v>
      </c>
      <c r="H310" s="3" t="s">
        <v>67</v>
      </c>
      <c r="I310" s="3" t="s">
        <v>29</v>
      </c>
      <c r="J310" s="6">
        <v>44872</v>
      </c>
      <c r="K310" s="3" t="s">
        <v>30</v>
      </c>
      <c r="L310" s="3" t="s">
        <v>31</v>
      </c>
      <c r="M310" s="3">
        <v>33400</v>
      </c>
      <c r="N310" s="3">
        <v>30</v>
      </c>
      <c r="O310" s="3">
        <v>90.1</v>
      </c>
      <c r="P310" s="3">
        <v>7</v>
      </c>
      <c r="Q310" s="3">
        <v>14</v>
      </c>
      <c r="R310" s="3">
        <v>0</v>
      </c>
      <c r="S310" s="3">
        <v>29</v>
      </c>
      <c r="T310" s="3">
        <v>5</v>
      </c>
      <c r="U310" s="3" t="s">
        <v>94</v>
      </c>
      <c r="V310" s="3">
        <v>2783</v>
      </c>
      <c r="W310" s="3">
        <v>3.7</v>
      </c>
      <c r="X310" s="3" t="s">
        <v>54</v>
      </c>
      <c r="Y310" s="7" t="s">
        <v>42</v>
      </c>
    </row>
    <row r="311" spans="1:25" x14ac:dyDescent="0.3">
      <c r="A311" s="5" t="s">
        <v>563</v>
      </c>
      <c r="B311" s="3" t="s">
        <v>361</v>
      </c>
      <c r="C311" s="3" t="s">
        <v>24</v>
      </c>
      <c r="D311" s="3">
        <v>41</v>
      </c>
      <c r="E311" s="3" t="s">
        <v>160</v>
      </c>
      <c r="F311" s="3" t="s">
        <v>91</v>
      </c>
      <c r="G311" s="3" t="s">
        <v>80</v>
      </c>
      <c r="H311" s="3" t="s">
        <v>28</v>
      </c>
      <c r="I311" s="3" t="s">
        <v>68</v>
      </c>
      <c r="J311" s="6">
        <v>44444</v>
      </c>
      <c r="K311" s="3" t="s">
        <v>30</v>
      </c>
      <c r="L311" s="3" t="s">
        <v>31</v>
      </c>
      <c r="M311" s="3">
        <v>31800</v>
      </c>
      <c r="N311" s="3">
        <v>22</v>
      </c>
      <c r="O311" s="3">
        <v>92.4</v>
      </c>
      <c r="P311" s="3">
        <v>1</v>
      </c>
      <c r="Q311" s="3">
        <v>0</v>
      </c>
      <c r="R311" s="3">
        <v>2</v>
      </c>
      <c r="S311" s="3">
        <v>26</v>
      </c>
      <c r="T311" s="3">
        <v>5</v>
      </c>
      <c r="U311" s="3" t="s">
        <v>74</v>
      </c>
      <c r="V311" s="3">
        <v>2650</v>
      </c>
      <c r="W311" s="3">
        <v>4.9000000000000004</v>
      </c>
      <c r="X311" s="3" t="s">
        <v>62</v>
      </c>
      <c r="Y311" s="7" t="s">
        <v>42</v>
      </c>
    </row>
    <row r="312" spans="1:25" x14ac:dyDescent="0.3">
      <c r="A312" s="5" t="s">
        <v>564</v>
      </c>
      <c r="B312" s="3" t="s">
        <v>565</v>
      </c>
      <c r="C312" s="3" t="s">
        <v>58</v>
      </c>
      <c r="D312" s="3">
        <v>42</v>
      </c>
      <c r="E312" s="3" t="s">
        <v>90</v>
      </c>
      <c r="F312" s="3" t="s">
        <v>91</v>
      </c>
      <c r="G312" s="3" t="s">
        <v>39</v>
      </c>
      <c r="H312" s="3" t="s">
        <v>28</v>
      </c>
      <c r="I312" s="3" t="s">
        <v>73</v>
      </c>
      <c r="J312" s="6">
        <v>45521</v>
      </c>
      <c r="K312" s="3" t="s">
        <v>61</v>
      </c>
      <c r="L312" s="3" t="s">
        <v>53</v>
      </c>
      <c r="M312" s="3">
        <v>26700</v>
      </c>
      <c r="N312" s="3">
        <v>19</v>
      </c>
      <c r="O312" s="3">
        <v>88.9</v>
      </c>
      <c r="P312" s="3">
        <v>3</v>
      </c>
      <c r="Q312" s="3">
        <v>6</v>
      </c>
      <c r="R312" s="3">
        <v>3</v>
      </c>
      <c r="S312" s="3">
        <v>21</v>
      </c>
      <c r="T312" s="3">
        <v>2</v>
      </c>
      <c r="U312" s="3" t="s">
        <v>130</v>
      </c>
      <c r="V312" s="3">
        <v>2225</v>
      </c>
      <c r="W312" s="3">
        <v>2</v>
      </c>
      <c r="X312" s="3" t="s">
        <v>62</v>
      </c>
      <c r="Y312" s="7" t="s">
        <v>75</v>
      </c>
    </row>
    <row r="313" spans="1:25" x14ac:dyDescent="0.3">
      <c r="A313" s="5" t="s">
        <v>566</v>
      </c>
      <c r="B313" s="3" t="s">
        <v>567</v>
      </c>
      <c r="C313" s="3" t="s">
        <v>24</v>
      </c>
      <c r="D313" s="3">
        <v>40</v>
      </c>
      <c r="E313" s="3" t="s">
        <v>101</v>
      </c>
      <c r="F313" s="3" t="s">
        <v>52</v>
      </c>
      <c r="G313" s="3" t="s">
        <v>46</v>
      </c>
      <c r="H313" s="3" t="s">
        <v>28</v>
      </c>
      <c r="I313" s="3" t="s">
        <v>68</v>
      </c>
      <c r="J313" s="6">
        <v>43631</v>
      </c>
      <c r="K313" s="3" t="s">
        <v>30</v>
      </c>
      <c r="L313" s="3" t="s">
        <v>31</v>
      </c>
      <c r="M313" s="3">
        <v>60100</v>
      </c>
      <c r="N313" s="3">
        <v>17</v>
      </c>
      <c r="O313" s="3">
        <v>85.5</v>
      </c>
      <c r="P313" s="3">
        <v>2</v>
      </c>
      <c r="Q313" s="3">
        <v>3</v>
      </c>
      <c r="R313" s="3">
        <v>3</v>
      </c>
      <c r="S313" s="3">
        <v>21</v>
      </c>
      <c r="T313" s="3">
        <v>15</v>
      </c>
      <c r="U313" s="3" t="s">
        <v>104</v>
      </c>
      <c r="V313" s="3">
        <v>5008</v>
      </c>
      <c r="W313" s="3">
        <v>7.1</v>
      </c>
      <c r="X313" s="3" t="s">
        <v>62</v>
      </c>
      <c r="Y313" s="7" t="s">
        <v>42</v>
      </c>
    </row>
    <row r="314" spans="1:25" x14ac:dyDescent="0.3">
      <c r="A314" s="5" t="s">
        <v>568</v>
      </c>
      <c r="B314" s="3" t="s">
        <v>569</v>
      </c>
      <c r="C314" s="3" t="s">
        <v>24</v>
      </c>
      <c r="D314" s="3">
        <v>44</v>
      </c>
      <c r="E314" s="3" t="s">
        <v>83</v>
      </c>
      <c r="F314" s="3" t="s">
        <v>52</v>
      </c>
      <c r="G314" s="3" t="s">
        <v>122</v>
      </c>
      <c r="H314" s="3" t="s">
        <v>115</v>
      </c>
      <c r="I314" s="3" t="s">
        <v>40</v>
      </c>
      <c r="J314" s="6">
        <v>45363</v>
      </c>
      <c r="K314" s="3" t="s">
        <v>61</v>
      </c>
      <c r="L314" s="3" t="s">
        <v>53</v>
      </c>
      <c r="M314" s="3">
        <v>20600</v>
      </c>
      <c r="N314" s="3">
        <v>20</v>
      </c>
      <c r="O314" s="3">
        <v>84.2</v>
      </c>
      <c r="P314" s="3">
        <v>4</v>
      </c>
      <c r="Q314" s="3">
        <v>13</v>
      </c>
      <c r="R314" s="3">
        <v>0</v>
      </c>
      <c r="S314" s="3">
        <v>3</v>
      </c>
      <c r="T314" s="3">
        <v>17</v>
      </c>
      <c r="U314" s="3" t="s">
        <v>123</v>
      </c>
      <c r="V314" s="3">
        <v>1717</v>
      </c>
      <c r="W314" s="3">
        <v>2.4</v>
      </c>
      <c r="X314" s="3" t="s">
        <v>62</v>
      </c>
      <c r="Y314" s="7" t="s">
        <v>42</v>
      </c>
    </row>
    <row r="315" spans="1:25" x14ac:dyDescent="0.3">
      <c r="A315" s="5" t="s">
        <v>570</v>
      </c>
      <c r="B315" s="3" t="s">
        <v>571</v>
      </c>
      <c r="C315" s="3" t="s">
        <v>58</v>
      </c>
      <c r="D315" s="3">
        <v>38</v>
      </c>
      <c r="E315" s="3" t="s">
        <v>25</v>
      </c>
      <c r="F315" s="3" t="s">
        <v>38</v>
      </c>
      <c r="G315" s="3" t="s">
        <v>80</v>
      </c>
      <c r="H315" s="3" t="s">
        <v>28</v>
      </c>
      <c r="I315" s="3" t="s">
        <v>86</v>
      </c>
      <c r="J315" s="6">
        <v>45515</v>
      </c>
      <c r="K315" s="3" t="s">
        <v>30</v>
      </c>
      <c r="L315" s="3" t="s">
        <v>31</v>
      </c>
      <c r="M315" s="3">
        <v>47500</v>
      </c>
      <c r="N315" s="3">
        <v>16</v>
      </c>
      <c r="O315" s="3">
        <v>87.9</v>
      </c>
      <c r="P315" s="3">
        <v>1</v>
      </c>
      <c r="Q315" s="3">
        <v>5</v>
      </c>
      <c r="R315" s="3">
        <v>4</v>
      </c>
      <c r="S315" s="3">
        <v>26</v>
      </c>
      <c r="T315" s="3">
        <v>10</v>
      </c>
      <c r="U315" s="3" t="s">
        <v>32</v>
      </c>
      <c r="V315" s="3">
        <v>3958</v>
      </c>
      <c r="W315" s="3">
        <v>2</v>
      </c>
      <c r="X315" s="3" t="s">
        <v>108</v>
      </c>
      <c r="Y315" s="7" t="s">
        <v>42</v>
      </c>
    </row>
    <row r="316" spans="1:25" x14ac:dyDescent="0.3">
      <c r="A316" s="5" t="s">
        <v>572</v>
      </c>
      <c r="B316" s="3" t="s">
        <v>573</v>
      </c>
      <c r="C316" s="3" t="s">
        <v>58</v>
      </c>
      <c r="D316" s="3">
        <v>41</v>
      </c>
      <c r="E316" s="3" t="s">
        <v>45</v>
      </c>
      <c r="F316" s="3" t="s">
        <v>52</v>
      </c>
      <c r="G316" s="3" t="s">
        <v>46</v>
      </c>
      <c r="H316" s="3" t="s">
        <v>115</v>
      </c>
      <c r="I316" s="3" t="s">
        <v>68</v>
      </c>
      <c r="J316" s="6">
        <v>45262</v>
      </c>
      <c r="K316" s="3" t="s">
        <v>61</v>
      </c>
      <c r="L316" s="3" t="s">
        <v>53</v>
      </c>
      <c r="M316" s="3">
        <v>70200</v>
      </c>
      <c r="N316" s="3">
        <v>17</v>
      </c>
      <c r="O316" s="3">
        <v>93.2</v>
      </c>
      <c r="P316" s="3">
        <v>5</v>
      </c>
      <c r="Q316" s="3">
        <v>3</v>
      </c>
      <c r="R316" s="3">
        <v>1</v>
      </c>
      <c r="S316" s="3">
        <v>6</v>
      </c>
      <c r="T316" s="3">
        <v>25</v>
      </c>
      <c r="U316" s="3" t="s">
        <v>130</v>
      </c>
      <c r="V316" s="3">
        <v>5850</v>
      </c>
      <c r="W316" s="3">
        <v>2.7</v>
      </c>
      <c r="X316" s="3" t="s">
        <v>62</v>
      </c>
      <c r="Y316" s="7" t="s">
        <v>75</v>
      </c>
    </row>
    <row r="317" spans="1:25" x14ac:dyDescent="0.3">
      <c r="A317" s="5" t="s">
        <v>574</v>
      </c>
      <c r="B317" s="3" t="s">
        <v>295</v>
      </c>
      <c r="C317" s="3" t="s">
        <v>58</v>
      </c>
      <c r="D317" s="3">
        <v>44</v>
      </c>
      <c r="E317" s="3" t="s">
        <v>137</v>
      </c>
      <c r="F317" s="3" t="s">
        <v>72</v>
      </c>
      <c r="G317" s="3" t="s">
        <v>80</v>
      </c>
      <c r="H317" s="3" t="s">
        <v>28</v>
      </c>
      <c r="I317" s="3" t="s">
        <v>68</v>
      </c>
      <c r="J317" s="6">
        <v>43125</v>
      </c>
      <c r="K317" s="3" t="s">
        <v>30</v>
      </c>
      <c r="L317" s="3" t="s">
        <v>53</v>
      </c>
      <c r="M317" s="3">
        <v>76500</v>
      </c>
      <c r="N317" s="3">
        <v>22</v>
      </c>
      <c r="O317" s="3">
        <v>92.3</v>
      </c>
      <c r="P317" s="3">
        <v>7</v>
      </c>
      <c r="Q317" s="3">
        <v>7</v>
      </c>
      <c r="R317" s="3">
        <v>4</v>
      </c>
      <c r="S317" s="3">
        <v>6</v>
      </c>
      <c r="T317" s="3">
        <v>26</v>
      </c>
      <c r="U317" s="3" t="s">
        <v>123</v>
      </c>
      <c r="V317" s="3">
        <v>6375</v>
      </c>
      <c r="W317" s="3">
        <v>8.5</v>
      </c>
      <c r="X317" s="3" t="s">
        <v>62</v>
      </c>
      <c r="Y317" s="7" t="s">
        <v>42</v>
      </c>
    </row>
    <row r="318" spans="1:25" x14ac:dyDescent="0.3">
      <c r="A318" s="5" t="s">
        <v>575</v>
      </c>
      <c r="B318" s="3" t="s">
        <v>275</v>
      </c>
      <c r="C318" s="3" t="s">
        <v>58</v>
      </c>
      <c r="D318" s="3">
        <v>50</v>
      </c>
      <c r="E318" s="3" t="s">
        <v>83</v>
      </c>
      <c r="F318" s="3" t="s">
        <v>52</v>
      </c>
      <c r="G318" s="3" t="s">
        <v>46</v>
      </c>
      <c r="H318" s="3" t="s">
        <v>28</v>
      </c>
      <c r="I318" s="3" t="s">
        <v>107</v>
      </c>
      <c r="J318" s="6">
        <v>46082</v>
      </c>
      <c r="K318" s="3" t="s">
        <v>30</v>
      </c>
      <c r="L318" s="3" t="s">
        <v>31</v>
      </c>
      <c r="M318" s="3">
        <v>62900</v>
      </c>
      <c r="N318" s="3">
        <v>27</v>
      </c>
      <c r="O318" s="3">
        <v>92</v>
      </c>
      <c r="P318" s="3">
        <v>4</v>
      </c>
      <c r="Q318" s="3">
        <v>11</v>
      </c>
      <c r="R318" s="3">
        <v>1</v>
      </c>
      <c r="S318" s="3">
        <v>17</v>
      </c>
      <c r="T318" s="3">
        <v>8</v>
      </c>
      <c r="U318" s="3" t="s">
        <v>123</v>
      </c>
      <c r="V318" s="3">
        <v>5242</v>
      </c>
      <c r="W318" s="3">
        <v>0.4</v>
      </c>
      <c r="X318" s="3" t="s">
        <v>54</v>
      </c>
      <c r="Y318" s="7" t="s">
        <v>42</v>
      </c>
    </row>
    <row r="319" spans="1:25" x14ac:dyDescent="0.3">
      <c r="A319" s="5" t="s">
        <v>576</v>
      </c>
      <c r="B319" s="3" t="s">
        <v>180</v>
      </c>
      <c r="C319" s="3" t="s">
        <v>24</v>
      </c>
      <c r="D319" s="3">
        <v>20</v>
      </c>
      <c r="E319" s="3" t="s">
        <v>160</v>
      </c>
      <c r="F319" s="3" t="s">
        <v>91</v>
      </c>
      <c r="G319" s="3" t="s">
        <v>46</v>
      </c>
      <c r="H319" s="3" t="s">
        <v>122</v>
      </c>
      <c r="I319" s="3" t="s">
        <v>68</v>
      </c>
      <c r="J319" s="6">
        <v>44245</v>
      </c>
      <c r="K319" s="3" t="s">
        <v>30</v>
      </c>
      <c r="L319" s="3" t="s">
        <v>53</v>
      </c>
      <c r="M319" s="3">
        <v>50800</v>
      </c>
      <c r="N319" s="3">
        <v>0</v>
      </c>
      <c r="O319" s="3">
        <v>95</v>
      </c>
      <c r="P319" s="3">
        <v>6</v>
      </c>
      <c r="Q319" s="3">
        <v>8</v>
      </c>
      <c r="R319" s="3">
        <v>0</v>
      </c>
      <c r="S319" s="3">
        <v>11</v>
      </c>
      <c r="T319" s="3">
        <v>15</v>
      </c>
      <c r="U319" s="3" t="s">
        <v>123</v>
      </c>
      <c r="V319" s="3">
        <v>4233</v>
      </c>
      <c r="W319" s="3">
        <v>5.4</v>
      </c>
      <c r="X319" s="3" t="s">
        <v>48</v>
      </c>
      <c r="Y319" s="7" t="s">
        <v>42</v>
      </c>
    </row>
    <row r="320" spans="1:25" x14ac:dyDescent="0.3">
      <c r="A320" s="5" t="s">
        <v>577</v>
      </c>
      <c r="B320" s="3" t="s">
        <v>114</v>
      </c>
      <c r="C320" s="3" t="s">
        <v>24</v>
      </c>
      <c r="D320" s="3">
        <v>40</v>
      </c>
      <c r="E320" s="3" t="s">
        <v>51</v>
      </c>
      <c r="F320" s="3" t="s">
        <v>79</v>
      </c>
      <c r="G320" s="3" t="s">
        <v>46</v>
      </c>
      <c r="H320" s="3" t="s">
        <v>122</v>
      </c>
      <c r="I320" s="3" t="s">
        <v>107</v>
      </c>
      <c r="J320" s="6">
        <v>44866</v>
      </c>
      <c r="K320" s="3" t="s">
        <v>30</v>
      </c>
      <c r="L320" s="3" t="s">
        <v>31</v>
      </c>
      <c r="M320" s="3">
        <v>64800</v>
      </c>
      <c r="N320" s="3">
        <v>21</v>
      </c>
      <c r="O320" s="3">
        <v>90.7</v>
      </c>
      <c r="P320" s="3">
        <v>4</v>
      </c>
      <c r="Q320" s="3">
        <v>1</v>
      </c>
      <c r="R320" s="3">
        <v>0</v>
      </c>
      <c r="S320" s="3">
        <v>15</v>
      </c>
      <c r="T320" s="3">
        <v>29</v>
      </c>
      <c r="U320" s="3" t="s">
        <v>32</v>
      </c>
      <c r="V320" s="3">
        <v>5400</v>
      </c>
      <c r="W320" s="3">
        <v>3.7</v>
      </c>
      <c r="X320" s="3" t="s">
        <v>62</v>
      </c>
      <c r="Y320" s="7" t="s">
        <v>42</v>
      </c>
    </row>
    <row r="321" spans="1:25" x14ac:dyDescent="0.3">
      <c r="A321" s="5" t="s">
        <v>578</v>
      </c>
      <c r="B321" s="3" t="s">
        <v>366</v>
      </c>
      <c r="C321" s="3" t="s">
        <v>24</v>
      </c>
      <c r="D321" s="3">
        <v>32</v>
      </c>
      <c r="E321" s="3" t="s">
        <v>51</v>
      </c>
      <c r="F321" s="3" t="s">
        <v>66</v>
      </c>
      <c r="G321" s="3" t="s">
        <v>80</v>
      </c>
      <c r="H321" s="3" t="s">
        <v>28</v>
      </c>
      <c r="I321" s="3" t="s">
        <v>40</v>
      </c>
      <c r="J321" s="6">
        <v>45759</v>
      </c>
      <c r="K321" s="3" t="s">
        <v>30</v>
      </c>
      <c r="L321" s="3" t="s">
        <v>53</v>
      </c>
      <c r="M321" s="3">
        <v>47300</v>
      </c>
      <c r="N321" s="3">
        <v>13</v>
      </c>
      <c r="O321" s="3">
        <v>100</v>
      </c>
      <c r="P321" s="3">
        <v>5</v>
      </c>
      <c r="Q321" s="3">
        <v>0</v>
      </c>
      <c r="R321" s="3">
        <v>4</v>
      </c>
      <c r="S321" s="3">
        <v>5</v>
      </c>
      <c r="T321" s="3">
        <v>6</v>
      </c>
      <c r="U321" s="3" t="s">
        <v>130</v>
      </c>
      <c r="V321" s="3">
        <v>3942</v>
      </c>
      <c r="W321" s="3">
        <v>1.3</v>
      </c>
      <c r="X321" s="3" t="s">
        <v>33</v>
      </c>
      <c r="Y321" s="7" t="s">
        <v>42</v>
      </c>
    </row>
    <row r="322" spans="1:25" x14ac:dyDescent="0.3">
      <c r="A322" s="5" t="s">
        <v>579</v>
      </c>
      <c r="B322" s="3" t="s">
        <v>249</v>
      </c>
      <c r="C322" s="3" t="s">
        <v>24</v>
      </c>
      <c r="D322" s="3">
        <v>39</v>
      </c>
      <c r="E322" s="3" t="s">
        <v>71</v>
      </c>
      <c r="F322" s="3" t="s">
        <v>26</v>
      </c>
      <c r="G322" s="3" t="s">
        <v>80</v>
      </c>
      <c r="H322" s="3" t="s">
        <v>28</v>
      </c>
      <c r="I322" s="3" t="s">
        <v>29</v>
      </c>
      <c r="J322" s="6">
        <v>43958</v>
      </c>
      <c r="K322" s="3" t="s">
        <v>30</v>
      </c>
      <c r="L322" s="3" t="s">
        <v>31</v>
      </c>
      <c r="M322" s="3">
        <v>56700</v>
      </c>
      <c r="N322" s="3">
        <v>16</v>
      </c>
      <c r="O322" s="3">
        <v>92.9</v>
      </c>
      <c r="P322" s="3">
        <v>8</v>
      </c>
      <c r="Q322" s="3">
        <v>0</v>
      </c>
      <c r="R322" s="3">
        <v>0</v>
      </c>
      <c r="S322" s="3">
        <v>4</v>
      </c>
      <c r="T322" s="3">
        <v>15</v>
      </c>
      <c r="U322" s="3" t="s">
        <v>94</v>
      </c>
      <c r="V322" s="3">
        <v>4725</v>
      </c>
      <c r="W322" s="3">
        <v>6.2</v>
      </c>
      <c r="X322" s="3" t="s">
        <v>108</v>
      </c>
      <c r="Y322" s="7" t="s">
        <v>55</v>
      </c>
    </row>
    <row r="323" spans="1:25" x14ac:dyDescent="0.3">
      <c r="A323" s="5" t="s">
        <v>580</v>
      </c>
      <c r="B323" s="3" t="s">
        <v>237</v>
      </c>
      <c r="C323" s="3" t="s">
        <v>58</v>
      </c>
      <c r="D323" s="3">
        <v>28</v>
      </c>
      <c r="E323" s="3" t="s">
        <v>160</v>
      </c>
      <c r="F323" s="3" t="s">
        <v>52</v>
      </c>
      <c r="G323" s="3" t="s">
        <v>27</v>
      </c>
      <c r="H323" s="3" t="s">
        <v>28</v>
      </c>
      <c r="I323" s="3" t="s">
        <v>86</v>
      </c>
      <c r="J323" s="6">
        <v>44127</v>
      </c>
      <c r="K323" s="3" t="s">
        <v>30</v>
      </c>
      <c r="L323" s="3" t="s">
        <v>31</v>
      </c>
      <c r="M323" s="3">
        <v>87700</v>
      </c>
      <c r="N323" s="3">
        <v>4</v>
      </c>
      <c r="O323" s="3">
        <v>86.1</v>
      </c>
      <c r="P323" s="3">
        <v>0</v>
      </c>
      <c r="Q323" s="3">
        <v>14</v>
      </c>
      <c r="R323" s="3">
        <v>2</v>
      </c>
      <c r="S323" s="3">
        <v>9</v>
      </c>
      <c r="T323" s="3">
        <v>14</v>
      </c>
      <c r="U323" s="3" t="s">
        <v>130</v>
      </c>
      <c r="V323" s="3">
        <v>7308</v>
      </c>
      <c r="W323" s="3">
        <v>5.8</v>
      </c>
      <c r="X323" s="3" t="s">
        <v>95</v>
      </c>
      <c r="Y323" s="7" t="s">
        <v>42</v>
      </c>
    </row>
    <row r="324" spans="1:25" x14ac:dyDescent="0.3">
      <c r="A324" s="5" t="s">
        <v>581</v>
      </c>
      <c r="B324" s="3" t="s">
        <v>295</v>
      </c>
      <c r="C324" s="3" t="s">
        <v>58</v>
      </c>
      <c r="D324" s="3">
        <v>46</v>
      </c>
      <c r="E324" s="3" t="s">
        <v>45</v>
      </c>
      <c r="F324" s="3" t="s">
        <v>52</v>
      </c>
      <c r="G324" s="3" t="s">
        <v>46</v>
      </c>
      <c r="H324" s="3" t="s">
        <v>28</v>
      </c>
      <c r="I324" s="3" t="s">
        <v>92</v>
      </c>
      <c r="J324" s="6">
        <v>43998</v>
      </c>
      <c r="K324" s="3" t="s">
        <v>30</v>
      </c>
      <c r="L324" s="3" t="s">
        <v>31</v>
      </c>
      <c r="M324" s="3">
        <v>63500</v>
      </c>
      <c r="N324" s="3">
        <v>23</v>
      </c>
      <c r="O324" s="3">
        <v>84.3</v>
      </c>
      <c r="P324" s="3">
        <v>8</v>
      </c>
      <c r="Q324" s="3">
        <v>13</v>
      </c>
      <c r="R324" s="3">
        <v>4</v>
      </c>
      <c r="S324" s="3">
        <v>16</v>
      </c>
      <c r="T324" s="3">
        <v>24</v>
      </c>
      <c r="U324" s="3" t="s">
        <v>32</v>
      </c>
      <c r="V324" s="3">
        <v>5292</v>
      </c>
      <c r="W324" s="3">
        <v>6.1</v>
      </c>
      <c r="X324" s="3" t="s">
        <v>54</v>
      </c>
      <c r="Y324" s="7" t="s">
        <v>42</v>
      </c>
    </row>
    <row r="325" spans="1:25" x14ac:dyDescent="0.3">
      <c r="A325" s="5" t="s">
        <v>582</v>
      </c>
      <c r="B325" s="3" t="s">
        <v>583</v>
      </c>
      <c r="C325" s="3" t="s">
        <v>24</v>
      </c>
      <c r="D325" s="3">
        <v>48</v>
      </c>
      <c r="E325" s="3" t="s">
        <v>101</v>
      </c>
      <c r="F325" s="3" t="s">
        <v>60</v>
      </c>
      <c r="G325" s="3" t="s">
        <v>80</v>
      </c>
      <c r="H325" s="3" t="s">
        <v>28</v>
      </c>
      <c r="I325" s="3" t="s">
        <v>92</v>
      </c>
      <c r="J325" s="6">
        <v>43873</v>
      </c>
      <c r="K325" s="3" t="s">
        <v>30</v>
      </c>
      <c r="L325" s="3" t="s">
        <v>31</v>
      </c>
      <c r="M325" s="3">
        <v>65400</v>
      </c>
      <c r="N325" s="3">
        <v>29</v>
      </c>
      <c r="O325" s="3">
        <v>92.7</v>
      </c>
      <c r="P325" s="3">
        <v>2</v>
      </c>
      <c r="Q325" s="3">
        <v>12</v>
      </c>
      <c r="R325" s="3">
        <v>3</v>
      </c>
      <c r="S325" s="3">
        <v>29</v>
      </c>
      <c r="T325" s="3">
        <v>3</v>
      </c>
      <c r="U325" s="3" t="s">
        <v>130</v>
      </c>
      <c r="V325" s="3">
        <v>5450</v>
      </c>
      <c r="W325" s="3">
        <v>6.5</v>
      </c>
      <c r="X325" s="3" t="s">
        <v>54</v>
      </c>
      <c r="Y325" s="7" t="s">
        <v>42</v>
      </c>
    </row>
    <row r="326" spans="1:25" x14ac:dyDescent="0.3">
      <c r="A326" s="5" t="s">
        <v>584</v>
      </c>
      <c r="B326" s="3" t="s">
        <v>227</v>
      </c>
      <c r="C326" s="3" t="s">
        <v>58</v>
      </c>
      <c r="D326" s="3">
        <v>30</v>
      </c>
      <c r="E326" s="3" t="s">
        <v>71</v>
      </c>
      <c r="F326" s="3" t="s">
        <v>66</v>
      </c>
      <c r="G326" s="3" t="s">
        <v>39</v>
      </c>
      <c r="H326" s="3" t="s">
        <v>28</v>
      </c>
      <c r="I326" s="3" t="s">
        <v>47</v>
      </c>
      <c r="J326" s="6">
        <v>45593</v>
      </c>
      <c r="K326" s="3" t="s">
        <v>30</v>
      </c>
      <c r="L326" s="3" t="s">
        <v>31</v>
      </c>
      <c r="M326" s="3">
        <v>32400</v>
      </c>
      <c r="N326" s="3">
        <v>11</v>
      </c>
      <c r="O326" s="3">
        <v>89.9</v>
      </c>
      <c r="P326" s="3">
        <v>2</v>
      </c>
      <c r="Q326" s="3">
        <v>11</v>
      </c>
      <c r="R326" s="3">
        <v>3</v>
      </c>
      <c r="S326" s="3">
        <v>2</v>
      </c>
      <c r="T326" s="3">
        <v>27</v>
      </c>
      <c r="U326" s="3" t="s">
        <v>94</v>
      </c>
      <c r="V326" s="3">
        <v>2700</v>
      </c>
      <c r="W326" s="3">
        <v>1.8</v>
      </c>
      <c r="X326" s="3" t="s">
        <v>33</v>
      </c>
      <c r="Y326" s="7" t="s">
        <v>55</v>
      </c>
    </row>
    <row r="327" spans="1:25" x14ac:dyDescent="0.3">
      <c r="A327" s="5" t="s">
        <v>585</v>
      </c>
      <c r="B327" s="3" t="s">
        <v>479</v>
      </c>
      <c r="C327" s="3" t="s">
        <v>24</v>
      </c>
      <c r="D327" s="3">
        <v>20</v>
      </c>
      <c r="E327" s="3" t="s">
        <v>98</v>
      </c>
      <c r="F327" s="3" t="s">
        <v>91</v>
      </c>
      <c r="G327" s="3" t="s">
        <v>39</v>
      </c>
      <c r="H327" s="3" t="s">
        <v>28</v>
      </c>
      <c r="I327" s="3" t="s">
        <v>29</v>
      </c>
      <c r="J327" s="6">
        <v>43120</v>
      </c>
      <c r="K327" s="3" t="s">
        <v>30</v>
      </c>
      <c r="L327" s="3" t="s">
        <v>93</v>
      </c>
      <c r="M327" s="3">
        <v>22800</v>
      </c>
      <c r="N327" s="3">
        <v>0</v>
      </c>
      <c r="O327" s="3">
        <v>85.2</v>
      </c>
      <c r="P327" s="3">
        <v>3</v>
      </c>
      <c r="Q327" s="3">
        <v>11</v>
      </c>
      <c r="R327" s="3">
        <v>0</v>
      </c>
      <c r="S327" s="3">
        <v>8</v>
      </c>
      <c r="T327" s="3">
        <v>24</v>
      </c>
      <c r="U327" s="3" t="s">
        <v>74</v>
      </c>
      <c r="V327" s="3">
        <v>1900</v>
      </c>
      <c r="W327" s="3">
        <v>8.5</v>
      </c>
      <c r="X327" s="3" t="s">
        <v>48</v>
      </c>
      <c r="Y327" s="7" t="s">
        <v>42</v>
      </c>
    </row>
    <row r="328" spans="1:25" x14ac:dyDescent="0.3">
      <c r="A328" s="5" t="s">
        <v>586</v>
      </c>
      <c r="B328" s="3" t="s">
        <v>485</v>
      </c>
      <c r="C328" s="3" t="s">
        <v>24</v>
      </c>
      <c r="D328" s="3">
        <v>32</v>
      </c>
      <c r="E328" s="3" t="s">
        <v>160</v>
      </c>
      <c r="F328" s="3" t="s">
        <v>79</v>
      </c>
      <c r="G328" s="3" t="s">
        <v>39</v>
      </c>
      <c r="H328" s="3" t="s">
        <v>28</v>
      </c>
      <c r="I328" s="3" t="s">
        <v>73</v>
      </c>
      <c r="J328" s="6">
        <v>44328</v>
      </c>
      <c r="K328" s="3" t="s">
        <v>61</v>
      </c>
      <c r="L328" s="3" t="s">
        <v>53</v>
      </c>
      <c r="M328" s="3">
        <v>34400</v>
      </c>
      <c r="N328" s="3">
        <v>9</v>
      </c>
      <c r="O328" s="3">
        <v>90.2</v>
      </c>
      <c r="P328" s="3">
        <v>7</v>
      </c>
      <c r="Q328" s="3">
        <v>15</v>
      </c>
      <c r="R328" s="3">
        <v>0</v>
      </c>
      <c r="S328" s="3">
        <v>28</v>
      </c>
      <c r="T328" s="3">
        <v>21</v>
      </c>
      <c r="U328" s="3" t="s">
        <v>32</v>
      </c>
      <c r="V328" s="3">
        <v>2867</v>
      </c>
      <c r="W328" s="3">
        <v>5.2</v>
      </c>
      <c r="X328" s="3" t="s">
        <v>33</v>
      </c>
      <c r="Y328" s="7" t="s">
        <v>55</v>
      </c>
    </row>
    <row r="329" spans="1:25" x14ac:dyDescent="0.3">
      <c r="A329" s="5" t="s">
        <v>587</v>
      </c>
      <c r="B329" s="3" t="s">
        <v>479</v>
      </c>
      <c r="C329" s="3" t="s">
        <v>24</v>
      </c>
      <c r="D329" s="3">
        <v>39</v>
      </c>
      <c r="E329" s="3" t="s">
        <v>25</v>
      </c>
      <c r="F329" s="3" t="s">
        <v>60</v>
      </c>
      <c r="G329" s="3" t="s">
        <v>46</v>
      </c>
      <c r="H329" s="3" t="s">
        <v>28</v>
      </c>
      <c r="I329" s="3" t="s">
        <v>40</v>
      </c>
      <c r="J329" s="6">
        <v>43906</v>
      </c>
      <c r="K329" s="3" t="s">
        <v>30</v>
      </c>
      <c r="L329" s="3" t="s">
        <v>53</v>
      </c>
      <c r="M329" s="3">
        <v>89300</v>
      </c>
      <c r="N329" s="3">
        <v>18</v>
      </c>
      <c r="O329" s="3">
        <v>88.2</v>
      </c>
      <c r="P329" s="3">
        <v>0</v>
      </c>
      <c r="Q329" s="3">
        <v>6</v>
      </c>
      <c r="R329" s="3">
        <v>1</v>
      </c>
      <c r="S329" s="3">
        <v>26</v>
      </c>
      <c r="T329" s="3">
        <v>13</v>
      </c>
      <c r="U329" s="3" t="s">
        <v>32</v>
      </c>
      <c r="V329" s="3">
        <v>7442</v>
      </c>
      <c r="W329" s="3">
        <v>6.4</v>
      </c>
      <c r="X329" s="3" t="s">
        <v>108</v>
      </c>
      <c r="Y329" s="7" t="s">
        <v>42</v>
      </c>
    </row>
    <row r="330" spans="1:25" x14ac:dyDescent="0.3">
      <c r="A330" s="5" t="s">
        <v>588</v>
      </c>
      <c r="B330" s="3" t="s">
        <v>534</v>
      </c>
      <c r="C330" s="3" t="s">
        <v>58</v>
      </c>
      <c r="D330" s="3">
        <v>20</v>
      </c>
      <c r="E330" s="3" t="s">
        <v>65</v>
      </c>
      <c r="F330" s="3" t="s">
        <v>79</v>
      </c>
      <c r="G330" s="3" t="s">
        <v>39</v>
      </c>
      <c r="H330" s="3" t="s">
        <v>28</v>
      </c>
      <c r="I330" s="3" t="s">
        <v>47</v>
      </c>
      <c r="J330" s="6">
        <v>44481</v>
      </c>
      <c r="K330" s="3" t="s">
        <v>30</v>
      </c>
      <c r="L330" s="3" t="s">
        <v>93</v>
      </c>
      <c r="M330" s="3">
        <v>41100</v>
      </c>
      <c r="N330" s="3">
        <v>0</v>
      </c>
      <c r="O330" s="3">
        <v>88.8</v>
      </c>
      <c r="P330" s="3">
        <v>3</v>
      </c>
      <c r="Q330" s="3">
        <v>12</v>
      </c>
      <c r="R330" s="3">
        <v>4</v>
      </c>
      <c r="S330" s="3">
        <v>24</v>
      </c>
      <c r="T330" s="3">
        <v>22</v>
      </c>
      <c r="U330" s="3" t="s">
        <v>32</v>
      </c>
      <c r="V330" s="3">
        <v>3425</v>
      </c>
      <c r="W330" s="3">
        <v>4.8</v>
      </c>
      <c r="X330" s="3" t="s">
        <v>48</v>
      </c>
      <c r="Y330" s="7" t="s">
        <v>42</v>
      </c>
    </row>
    <row r="331" spans="1:25" x14ac:dyDescent="0.3">
      <c r="A331" s="5" t="s">
        <v>589</v>
      </c>
      <c r="B331" s="3" t="s">
        <v>492</v>
      </c>
      <c r="C331" s="3" t="s">
        <v>24</v>
      </c>
      <c r="D331" s="3">
        <v>22</v>
      </c>
      <c r="E331" s="3" t="s">
        <v>25</v>
      </c>
      <c r="F331" s="3" t="s">
        <v>79</v>
      </c>
      <c r="G331" s="3" t="s">
        <v>80</v>
      </c>
      <c r="H331" s="3" t="s">
        <v>28</v>
      </c>
      <c r="I331" s="3" t="s">
        <v>29</v>
      </c>
      <c r="J331" s="6">
        <v>45276</v>
      </c>
      <c r="K331" s="3" t="s">
        <v>30</v>
      </c>
      <c r="L331" s="3" t="s">
        <v>31</v>
      </c>
      <c r="M331" s="3">
        <v>56500</v>
      </c>
      <c r="N331" s="3">
        <v>1</v>
      </c>
      <c r="O331" s="3">
        <v>97.8</v>
      </c>
      <c r="P331" s="3">
        <v>6</v>
      </c>
      <c r="Q331" s="3">
        <v>13</v>
      </c>
      <c r="R331" s="3">
        <v>4</v>
      </c>
      <c r="S331" s="3">
        <v>9</v>
      </c>
      <c r="T331" s="3">
        <v>28</v>
      </c>
      <c r="U331" s="3" t="s">
        <v>32</v>
      </c>
      <c r="V331" s="3">
        <v>4708</v>
      </c>
      <c r="W331" s="3">
        <v>2.6</v>
      </c>
      <c r="X331" s="3" t="s">
        <v>48</v>
      </c>
      <c r="Y331" s="7" t="s">
        <v>42</v>
      </c>
    </row>
    <row r="332" spans="1:25" x14ac:dyDescent="0.3">
      <c r="A332" s="5" t="s">
        <v>590</v>
      </c>
      <c r="B332" s="3" t="s">
        <v>591</v>
      </c>
      <c r="C332" s="3" t="s">
        <v>58</v>
      </c>
      <c r="D332" s="3">
        <v>39</v>
      </c>
      <c r="E332" s="3" t="s">
        <v>25</v>
      </c>
      <c r="F332" s="3" t="s">
        <v>79</v>
      </c>
      <c r="G332" s="3" t="s">
        <v>46</v>
      </c>
      <c r="H332" s="3" t="s">
        <v>28</v>
      </c>
      <c r="I332" s="3" t="s">
        <v>40</v>
      </c>
      <c r="J332" s="6">
        <v>45506</v>
      </c>
      <c r="K332" s="3" t="s">
        <v>30</v>
      </c>
      <c r="L332" s="3" t="s">
        <v>31</v>
      </c>
      <c r="M332" s="3">
        <v>79200</v>
      </c>
      <c r="N332" s="3">
        <v>16</v>
      </c>
      <c r="O332" s="3">
        <v>94.6</v>
      </c>
      <c r="P332" s="3">
        <v>2</v>
      </c>
      <c r="Q332" s="3">
        <v>1</v>
      </c>
      <c r="R332" s="3">
        <v>2</v>
      </c>
      <c r="S332" s="3">
        <v>24</v>
      </c>
      <c r="T332" s="3">
        <v>8</v>
      </c>
      <c r="U332" s="3" t="s">
        <v>94</v>
      </c>
      <c r="V332" s="3">
        <v>6600</v>
      </c>
      <c r="W332" s="3">
        <v>2</v>
      </c>
      <c r="X332" s="3" t="s">
        <v>108</v>
      </c>
      <c r="Y332" s="7" t="s">
        <v>42</v>
      </c>
    </row>
    <row r="333" spans="1:25" x14ac:dyDescent="0.3">
      <c r="A333" s="5" t="s">
        <v>592</v>
      </c>
      <c r="B333" s="3" t="s">
        <v>565</v>
      </c>
      <c r="C333" s="3" t="s">
        <v>24</v>
      </c>
      <c r="D333" s="3">
        <v>36</v>
      </c>
      <c r="E333" s="3" t="s">
        <v>90</v>
      </c>
      <c r="F333" s="3" t="s">
        <v>91</v>
      </c>
      <c r="G333" s="3" t="s">
        <v>80</v>
      </c>
      <c r="H333" s="3" t="s">
        <v>28</v>
      </c>
      <c r="I333" s="3" t="s">
        <v>40</v>
      </c>
      <c r="J333" s="6">
        <v>43981</v>
      </c>
      <c r="K333" s="3" t="s">
        <v>30</v>
      </c>
      <c r="L333" s="3" t="s">
        <v>31</v>
      </c>
      <c r="M333" s="3">
        <v>41200</v>
      </c>
      <c r="N333" s="3">
        <v>16</v>
      </c>
      <c r="O333" s="3">
        <v>96.2</v>
      </c>
      <c r="P333" s="3">
        <v>6</v>
      </c>
      <c r="Q333" s="3">
        <v>2</v>
      </c>
      <c r="R333" s="3">
        <v>3</v>
      </c>
      <c r="S333" s="3">
        <v>26</v>
      </c>
      <c r="T333" s="3">
        <v>3</v>
      </c>
      <c r="U333" s="3" t="s">
        <v>32</v>
      </c>
      <c r="V333" s="3">
        <v>3433</v>
      </c>
      <c r="W333" s="3">
        <v>6.2</v>
      </c>
      <c r="X333" s="3" t="s">
        <v>108</v>
      </c>
      <c r="Y333" s="7" t="s">
        <v>55</v>
      </c>
    </row>
    <row r="334" spans="1:25" x14ac:dyDescent="0.3">
      <c r="A334" s="5" t="s">
        <v>593</v>
      </c>
      <c r="B334" s="3" t="s">
        <v>205</v>
      </c>
      <c r="C334" s="3" t="s">
        <v>24</v>
      </c>
      <c r="D334" s="3">
        <v>24</v>
      </c>
      <c r="E334" s="3" t="s">
        <v>101</v>
      </c>
      <c r="F334" s="3" t="s">
        <v>60</v>
      </c>
      <c r="G334" s="3" t="s">
        <v>46</v>
      </c>
      <c r="H334" s="3" t="s">
        <v>28</v>
      </c>
      <c r="I334" s="3" t="s">
        <v>107</v>
      </c>
      <c r="J334" s="6">
        <v>46209</v>
      </c>
      <c r="K334" s="3" t="s">
        <v>30</v>
      </c>
      <c r="L334" s="3" t="s">
        <v>53</v>
      </c>
      <c r="M334" s="3">
        <v>98200</v>
      </c>
      <c r="N334" s="3">
        <v>5</v>
      </c>
      <c r="O334" s="3">
        <v>99.6</v>
      </c>
      <c r="P334" s="3">
        <v>4</v>
      </c>
      <c r="Q334" s="3">
        <v>11</v>
      </c>
      <c r="R334" s="3">
        <v>3</v>
      </c>
      <c r="S334" s="3">
        <v>9</v>
      </c>
      <c r="T334" s="3">
        <v>22</v>
      </c>
      <c r="U334" s="3" t="s">
        <v>130</v>
      </c>
      <c r="V334" s="3">
        <v>8183</v>
      </c>
      <c r="W334" s="3">
        <v>0.1</v>
      </c>
      <c r="X334" s="3" t="s">
        <v>48</v>
      </c>
      <c r="Y334" s="7" t="s">
        <v>42</v>
      </c>
    </row>
    <row r="335" spans="1:25" x14ac:dyDescent="0.3">
      <c r="A335" s="5" t="s">
        <v>594</v>
      </c>
      <c r="B335" s="3" t="s">
        <v>251</v>
      </c>
      <c r="C335" s="3" t="s">
        <v>24</v>
      </c>
      <c r="D335" s="3">
        <v>25</v>
      </c>
      <c r="E335" s="3" t="s">
        <v>98</v>
      </c>
      <c r="F335" s="3" t="s">
        <v>72</v>
      </c>
      <c r="G335" s="3" t="s">
        <v>46</v>
      </c>
      <c r="H335" s="3" t="s">
        <v>28</v>
      </c>
      <c r="I335" s="3" t="s">
        <v>68</v>
      </c>
      <c r="J335" s="6">
        <v>44434</v>
      </c>
      <c r="K335" s="3" t="s">
        <v>30</v>
      </c>
      <c r="L335" s="3" t="s">
        <v>93</v>
      </c>
      <c r="M335" s="3">
        <v>108200</v>
      </c>
      <c r="N335" s="3">
        <v>3</v>
      </c>
      <c r="O335" s="3">
        <v>91.6</v>
      </c>
      <c r="P335" s="3">
        <v>8</v>
      </c>
      <c r="Q335" s="3">
        <v>3</v>
      </c>
      <c r="R335" s="3">
        <v>2</v>
      </c>
      <c r="S335" s="3">
        <v>20</v>
      </c>
      <c r="T335" s="3">
        <v>29</v>
      </c>
      <c r="U335" s="3" t="s">
        <v>32</v>
      </c>
      <c r="V335" s="3">
        <v>9017</v>
      </c>
      <c r="W335" s="3">
        <v>4.9000000000000004</v>
      </c>
      <c r="X335" s="3" t="s">
        <v>95</v>
      </c>
      <c r="Y335" s="7" t="s">
        <v>42</v>
      </c>
    </row>
    <row r="336" spans="1:25" x14ac:dyDescent="0.3">
      <c r="A336" s="5" t="s">
        <v>595</v>
      </c>
      <c r="B336" s="3" t="s">
        <v>110</v>
      </c>
      <c r="C336" s="3" t="s">
        <v>58</v>
      </c>
      <c r="D336" s="3">
        <v>36</v>
      </c>
      <c r="E336" s="3" t="s">
        <v>37</v>
      </c>
      <c r="F336" s="3" t="s">
        <v>72</v>
      </c>
      <c r="G336" s="3" t="s">
        <v>39</v>
      </c>
      <c r="H336" s="3" t="s">
        <v>28</v>
      </c>
      <c r="I336" s="3" t="s">
        <v>107</v>
      </c>
      <c r="J336" s="6">
        <v>44785</v>
      </c>
      <c r="K336" s="3" t="s">
        <v>30</v>
      </c>
      <c r="L336" s="3" t="s">
        <v>53</v>
      </c>
      <c r="M336" s="3">
        <v>39500</v>
      </c>
      <c r="N336" s="3">
        <v>12</v>
      </c>
      <c r="O336" s="3">
        <v>92.3</v>
      </c>
      <c r="P336" s="3">
        <v>7</v>
      </c>
      <c r="Q336" s="3">
        <v>8</v>
      </c>
      <c r="R336" s="3">
        <v>1</v>
      </c>
      <c r="S336" s="3">
        <v>5</v>
      </c>
      <c r="T336" s="3">
        <v>19</v>
      </c>
      <c r="U336" s="3" t="s">
        <v>32</v>
      </c>
      <c r="V336" s="3">
        <v>3292</v>
      </c>
      <c r="W336" s="3">
        <v>4</v>
      </c>
      <c r="X336" s="3" t="s">
        <v>108</v>
      </c>
      <c r="Y336" s="7" t="s">
        <v>55</v>
      </c>
    </row>
    <row r="337" spans="1:25" x14ac:dyDescent="0.3">
      <c r="A337" s="5" t="s">
        <v>596</v>
      </c>
      <c r="B337" s="3" t="s">
        <v>597</v>
      </c>
      <c r="C337" s="3" t="s">
        <v>24</v>
      </c>
      <c r="D337" s="3">
        <v>29</v>
      </c>
      <c r="E337" s="3" t="s">
        <v>25</v>
      </c>
      <c r="F337" s="3" t="s">
        <v>60</v>
      </c>
      <c r="G337" s="3" t="s">
        <v>46</v>
      </c>
      <c r="H337" s="3" t="s">
        <v>28</v>
      </c>
      <c r="I337" s="3" t="s">
        <v>107</v>
      </c>
      <c r="J337" s="6">
        <v>46065</v>
      </c>
      <c r="K337" s="3" t="s">
        <v>30</v>
      </c>
      <c r="L337" s="3" t="s">
        <v>53</v>
      </c>
      <c r="M337" s="3">
        <v>89900</v>
      </c>
      <c r="N337" s="3">
        <v>5</v>
      </c>
      <c r="O337" s="3">
        <v>92.6</v>
      </c>
      <c r="P337" s="3">
        <v>2</v>
      </c>
      <c r="Q337" s="3">
        <v>9</v>
      </c>
      <c r="R337" s="3">
        <v>2</v>
      </c>
      <c r="S337" s="3">
        <v>24</v>
      </c>
      <c r="T337" s="3">
        <v>11</v>
      </c>
      <c r="U337" s="3" t="s">
        <v>130</v>
      </c>
      <c r="V337" s="3">
        <v>7492</v>
      </c>
      <c r="W337" s="3">
        <v>0.5</v>
      </c>
      <c r="X337" s="3" t="s">
        <v>95</v>
      </c>
      <c r="Y337" s="7" t="s">
        <v>42</v>
      </c>
    </row>
    <row r="338" spans="1:25" x14ac:dyDescent="0.3">
      <c r="A338" s="5" t="s">
        <v>598</v>
      </c>
      <c r="B338" s="3" t="s">
        <v>599</v>
      </c>
      <c r="C338" s="3" t="s">
        <v>58</v>
      </c>
      <c r="D338" s="3">
        <v>30</v>
      </c>
      <c r="E338" s="3" t="s">
        <v>45</v>
      </c>
      <c r="F338" s="3" t="s">
        <v>79</v>
      </c>
      <c r="G338" s="3" t="s">
        <v>46</v>
      </c>
      <c r="H338" s="3" t="s">
        <v>28</v>
      </c>
      <c r="I338" s="3" t="s">
        <v>29</v>
      </c>
      <c r="J338" s="6">
        <v>44706</v>
      </c>
      <c r="K338" s="3" t="s">
        <v>30</v>
      </c>
      <c r="L338" s="3" t="s">
        <v>53</v>
      </c>
      <c r="M338" s="3">
        <v>79500</v>
      </c>
      <c r="N338" s="3">
        <v>11</v>
      </c>
      <c r="O338" s="3">
        <v>96.5</v>
      </c>
      <c r="P338" s="3">
        <v>3</v>
      </c>
      <c r="Q338" s="3">
        <v>1</v>
      </c>
      <c r="R338" s="3">
        <v>1</v>
      </c>
      <c r="S338" s="3">
        <v>3</v>
      </c>
      <c r="T338" s="3">
        <v>7</v>
      </c>
      <c r="U338" s="3" t="s">
        <v>94</v>
      </c>
      <c r="V338" s="3">
        <v>6625</v>
      </c>
      <c r="W338" s="3">
        <v>4.2</v>
      </c>
      <c r="X338" s="3" t="s">
        <v>33</v>
      </c>
      <c r="Y338" s="7" t="s">
        <v>55</v>
      </c>
    </row>
    <row r="339" spans="1:25" x14ac:dyDescent="0.3">
      <c r="A339" s="5" t="s">
        <v>600</v>
      </c>
      <c r="B339" s="3" t="s">
        <v>601</v>
      </c>
      <c r="C339" s="3" t="s">
        <v>24</v>
      </c>
      <c r="D339" s="3">
        <v>32</v>
      </c>
      <c r="E339" s="3" t="s">
        <v>101</v>
      </c>
      <c r="F339" s="3" t="s">
        <v>52</v>
      </c>
      <c r="G339" s="3" t="s">
        <v>80</v>
      </c>
      <c r="H339" s="3" t="s">
        <v>28</v>
      </c>
      <c r="I339" s="3" t="s">
        <v>86</v>
      </c>
      <c r="J339" s="6">
        <v>44208</v>
      </c>
      <c r="K339" s="3" t="s">
        <v>30</v>
      </c>
      <c r="L339" s="3" t="s">
        <v>53</v>
      </c>
      <c r="M339" s="3">
        <v>49000</v>
      </c>
      <c r="N339" s="3">
        <v>10</v>
      </c>
      <c r="O339" s="3">
        <v>96.3</v>
      </c>
      <c r="P339" s="3">
        <v>6</v>
      </c>
      <c r="Q339" s="3">
        <v>15</v>
      </c>
      <c r="R339" s="3">
        <v>1</v>
      </c>
      <c r="S339" s="3">
        <v>10</v>
      </c>
      <c r="T339" s="3">
        <v>27</v>
      </c>
      <c r="U339" s="3" t="s">
        <v>32</v>
      </c>
      <c r="V339" s="3">
        <v>4083</v>
      </c>
      <c r="W339" s="3">
        <v>5.5</v>
      </c>
      <c r="X339" s="3" t="s">
        <v>33</v>
      </c>
      <c r="Y339" s="7" t="s">
        <v>42</v>
      </c>
    </row>
    <row r="340" spans="1:25" x14ac:dyDescent="0.3">
      <c r="A340" s="5" t="s">
        <v>602</v>
      </c>
      <c r="B340" s="3" t="s">
        <v>224</v>
      </c>
      <c r="C340" s="3" t="s">
        <v>58</v>
      </c>
      <c r="D340" s="3">
        <v>48</v>
      </c>
      <c r="E340" s="3" t="s">
        <v>90</v>
      </c>
      <c r="F340" s="3" t="s">
        <v>38</v>
      </c>
      <c r="G340" s="3" t="s">
        <v>39</v>
      </c>
      <c r="H340" s="3" t="s">
        <v>28</v>
      </c>
      <c r="I340" s="3" t="s">
        <v>40</v>
      </c>
      <c r="J340" s="6">
        <v>45658</v>
      </c>
      <c r="K340" s="3" t="s">
        <v>30</v>
      </c>
      <c r="L340" s="3" t="s">
        <v>31</v>
      </c>
      <c r="M340" s="3">
        <v>30500</v>
      </c>
      <c r="N340" s="3">
        <v>27</v>
      </c>
      <c r="O340" s="3">
        <v>88.1</v>
      </c>
      <c r="P340" s="3">
        <v>1</v>
      </c>
      <c r="Q340" s="3">
        <v>15</v>
      </c>
      <c r="R340" s="3">
        <v>1</v>
      </c>
      <c r="S340" s="3">
        <v>19</v>
      </c>
      <c r="T340" s="3">
        <v>25</v>
      </c>
      <c r="U340" s="3" t="s">
        <v>104</v>
      </c>
      <c r="V340" s="3">
        <v>2542</v>
      </c>
      <c r="W340" s="3">
        <v>1.6</v>
      </c>
      <c r="X340" s="3" t="s">
        <v>54</v>
      </c>
      <c r="Y340" s="7" t="s">
        <v>75</v>
      </c>
    </row>
    <row r="341" spans="1:25" x14ac:dyDescent="0.3">
      <c r="A341" s="5" t="s">
        <v>603</v>
      </c>
      <c r="B341" s="3" t="s">
        <v>487</v>
      </c>
      <c r="C341" s="3" t="s">
        <v>24</v>
      </c>
      <c r="D341" s="3">
        <v>29</v>
      </c>
      <c r="E341" s="3" t="s">
        <v>45</v>
      </c>
      <c r="F341" s="3" t="s">
        <v>72</v>
      </c>
      <c r="G341" s="3" t="s">
        <v>80</v>
      </c>
      <c r="H341" s="3" t="s">
        <v>28</v>
      </c>
      <c r="I341" s="3" t="s">
        <v>92</v>
      </c>
      <c r="J341" s="6">
        <v>43544</v>
      </c>
      <c r="K341" s="3" t="s">
        <v>30</v>
      </c>
      <c r="L341" s="3" t="s">
        <v>53</v>
      </c>
      <c r="M341" s="3">
        <v>62600</v>
      </c>
      <c r="N341" s="3">
        <v>7</v>
      </c>
      <c r="O341" s="3">
        <v>85.3</v>
      </c>
      <c r="P341" s="3">
        <v>5</v>
      </c>
      <c r="Q341" s="3">
        <v>13</v>
      </c>
      <c r="R341" s="3">
        <v>0</v>
      </c>
      <c r="S341" s="3">
        <v>27</v>
      </c>
      <c r="T341" s="3">
        <v>8</v>
      </c>
      <c r="U341" s="3" t="s">
        <v>41</v>
      </c>
      <c r="V341" s="3">
        <v>5217</v>
      </c>
      <c r="W341" s="3">
        <v>7.4</v>
      </c>
      <c r="X341" s="3" t="s">
        <v>95</v>
      </c>
      <c r="Y341" s="7" t="s">
        <v>55</v>
      </c>
    </row>
    <row r="342" spans="1:25" x14ac:dyDescent="0.3">
      <c r="A342" s="5" t="s">
        <v>604</v>
      </c>
      <c r="B342" s="3" t="s">
        <v>605</v>
      </c>
      <c r="C342" s="3" t="s">
        <v>58</v>
      </c>
      <c r="D342" s="3">
        <v>33</v>
      </c>
      <c r="E342" s="3" t="s">
        <v>78</v>
      </c>
      <c r="F342" s="3" t="s">
        <v>91</v>
      </c>
      <c r="G342" s="3" t="s">
        <v>27</v>
      </c>
      <c r="H342" s="3" t="s">
        <v>122</v>
      </c>
      <c r="I342" s="3" t="s">
        <v>68</v>
      </c>
      <c r="J342" s="6">
        <v>45143</v>
      </c>
      <c r="K342" s="3" t="s">
        <v>30</v>
      </c>
      <c r="L342" s="3" t="s">
        <v>31</v>
      </c>
      <c r="M342" s="3">
        <v>63600</v>
      </c>
      <c r="N342" s="3">
        <v>13</v>
      </c>
      <c r="O342" s="3">
        <v>85.6</v>
      </c>
      <c r="P342" s="3">
        <v>8</v>
      </c>
      <c r="Q342" s="3">
        <v>9</v>
      </c>
      <c r="R342" s="3">
        <v>0</v>
      </c>
      <c r="S342" s="3">
        <v>8</v>
      </c>
      <c r="T342" s="3">
        <v>13</v>
      </c>
      <c r="U342" s="3" t="s">
        <v>94</v>
      </c>
      <c r="V342" s="3">
        <v>5300</v>
      </c>
      <c r="W342" s="3">
        <v>3</v>
      </c>
      <c r="X342" s="3" t="s">
        <v>33</v>
      </c>
      <c r="Y342" s="7" t="s">
        <v>55</v>
      </c>
    </row>
    <row r="343" spans="1:25" x14ac:dyDescent="0.3">
      <c r="A343" s="5" t="s">
        <v>606</v>
      </c>
      <c r="B343" s="3" t="s">
        <v>567</v>
      </c>
      <c r="C343" s="3" t="s">
        <v>24</v>
      </c>
      <c r="D343" s="3">
        <v>47</v>
      </c>
      <c r="E343" s="3" t="s">
        <v>90</v>
      </c>
      <c r="F343" s="3" t="s">
        <v>91</v>
      </c>
      <c r="G343" s="3" t="s">
        <v>46</v>
      </c>
      <c r="H343" s="3" t="s">
        <v>28</v>
      </c>
      <c r="I343" s="3" t="s">
        <v>40</v>
      </c>
      <c r="J343" s="6">
        <v>44329</v>
      </c>
      <c r="K343" s="3" t="s">
        <v>30</v>
      </c>
      <c r="L343" s="3" t="s">
        <v>53</v>
      </c>
      <c r="M343" s="3">
        <v>48900</v>
      </c>
      <c r="N343" s="3">
        <v>24</v>
      </c>
      <c r="O343" s="3">
        <v>91.3</v>
      </c>
      <c r="P343" s="3">
        <v>8</v>
      </c>
      <c r="Q343" s="3">
        <v>1</v>
      </c>
      <c r="R343" s="3">
        <v>1</v>
      </c>
      <c r="S343" s="3">
        <v>11</v>
      </c>
      <c r="T343" s="3">
        <v>22</v>
      </c>
      <c r="U343" s="3" t="s">
        <v>41</v>
      </c>
      <c r="V343" s="3">
        <v>4075</v>
      </c>
      <c r="W343" s="3">
        <v>5.2</v>
      </c>
      <c r="X343" s="3" t="s">
        <v>54</v>
      </c>
      <c r="Y343" s="7" t="s">
        <v>42</v>
      </c>
    </row>
    <row r="344" spans="1:25" x14ac:dyDescent="0.3">
      <c r="A344" s="5" t="s">
        <v>607</v>
      </c>
      <c r="B344" s="3" t="s">
        <v>426</v>
      </c>
      <c r="C344" s="3" t="s">
        <v>24</v>
      </c>
      <c r="D344" s="3">
        <v>32</v>
      </c>
      <c r="E344" s="3" t="s">
        <v>65</v>
      </c>
      <c r="F344" s="3" t="s">
        <v>66</v>
      </c>
      <c r="G344" s="3" t="s">
        <v>39</v>
      </c>
      <c r="H344" s="3" t="s">
        <v>115</v>
      </c>
      <c r="I344" s="3" t="s">
        <v>47</v>
      </c>
      <c r="J344" s="6">
        <v>44612</v>
      </c>
      <c r="K344" s="3" t="s">
        <v>61</v>
      </c>
      <c r="L344" s="3" t="s">
        <v>53</v>
      </c>
      <c r="M344" s="3">
        <v>30300</v>
      </c>
      <c r="N344" s="3">
        <v>10</v>
      </c>
      <c r="O344" s="3">
        <v>84.8</v>
      </c>
      <c r="P344" s="3">
        <v>5</v>
      </c>
      <c r="Q344" s="3">
        <v>12</v>
      </c>
      <c r="R344" s="3">
        <v>2</v>
      </c>
      <c r="S344" s="3">
        <v>22</v>
      </c>
      <c r="T344" s="3">
        <v>17</v>
      </c>
      <c r="U344" s="3" t="s">
        <v>123</v>
      </c>
      <c r="V344" s="3">
        <v>2525</v>
      </c>
      <c r="W344" s="3">
        <v>4.4000000000000004</v>
      </c>
      <c r="X344" s="3" t="s">
        <v>33</v>
      </c>
      <c r="Y344" s="7" t="s">
        <v>42</v>
      </c>
    </row>
    <row r="345" spans="1:25" x14ac:dyDescent="0.3">
      <c r="A345" s="5" t="s">
        <v>608</v>
      </c>
      <c r="B345" s="3" t="s">
        <v>168</v>
      </c>
      <c r="C345" s="3" t="s">
        <v>24</v>
      </c>
      <c r="D345" s="3">
        <v>50</v>
      </c>
      <c r="E345" s="3" t="s">
        <v>51</v>
      </c>
      <c r="F345" s="3" t="s">
        <v>66</v>
      </c>
      <c r="G345" s="3" t="s">
        <v>46</v>
      </c>
      <c r="H345" s="3" t="s">
        <v>28</v>
      </c>
      <c r="I345" s="3" t="s">
        <v>29</v>
      </c>
      <c r="J345" s="6">
        <v>43879</v>
      </c>
      <c r="K345" s="3" t="s">
        <v>30</v>
      </c>
      <c r="L345" s="3" t="s">
        <v>53</v>
      </c>
      <c r="M345" s="3">
        <v>66500</v>
      </c>
      <c r="N345" s="3">
        <v>28</v>
      </c>
      <c r="O345" s="3">
        <v>92.8</v>
      </c>
      <c r="P345" s="3">
        <v>5</v>
      </c>
      <c r="Q345" s="3">
        <v>0</v>
      </c>
      <c r="R345" s="3">
        <v>2</v>
      </c>
      <c r="S345" s="3">
        <v>21</v>
      </c>
      <c r="T345" s="3">
        <v>20</v>
      </c>
      <c r="U345" s="3" t="s">
        <v>94</v>
      </c>
      <c r="V345" s="3">
        <v>5542</v>
      </c>
      <c r="W345" s="3">
        <v>6.5</v>
      </c>
      <c r="X345" s="3" t="s">
        <v>54</v>
      </c>
      <c r="Y345" s="7" t="s">
        <v>42</v>
      </c>
    </row>
    <row r="346" spans="1:25" x14ac:dyDescent="0.3">
      <c r="A346" s="5" t="s">
        <v>609</v>
      </c>
      <c r="B346" s="3" t="s">
        <v>610</v>
      </c>
      <c r="C346" s="3" t="s">
        <v>24</v>
      </c>
      <c r="D346" s="3">
        <v>47</v>
      </c>
      <c r="E346" s="3" t="s">
        <v>78</v>
      </c>
      <c r="F346" s="3" t="s">
        <v>91</v>
      </c>
      <c r="G346" s="3" t="s">
        <v>80</v>
      </c>
      <c r="H346" s="3" t="s">
        <v>28</v>
      </c>
      <c r="I346" s="3" t="s">
        <v>107</v>
      </c>
      <c r="J346" s="6">
        <v>45400</v>
      </c>
      <c r="K346" s="3" t="s">
        <v>30</v>
      </c>
      <c r="L346" s="3" t="s">
        <v>53</v>
      </c>
      <c r="M346" s="3">
        <v>40800</v>
      </c>
      <c r="N346" s="3">
        <v>24</v>
      </c>
      <c r="O346" s="3">
        <v>80.400000000000006</v>
      </c>
      <c r="P346" s="3">
        <v>5</v>
      </c>
      <c r="Q346" s="3">
        <v>15</v>
      </c>
      <c r="R346" s="3">
        <v>2</v>
      </c>
      <c r="S346" s="3">
        <v>9</v>
      </c>
      <c r="T346" s="3">
        <v>21</v>
      </c>
      <c r="U346" s="3" t="s">
        <v>104</v>
      </c>
      <c r="V346" s="3">
        <v>3400</v>
      </c>
      <c r="W346" s="3">
        <v>2.2999999999999998</v>
      </c>
      <c r="X346" s="3" t="s">
        <v>54</v>
      </c>
      <c r="Y346" s="7" t="s">
        <v>42</v>
      </c>
    </row>
    <row r="347" spans="1:25" x14ac:dyDescent="0.3">
      <c r="A347" s="5" t="s">
        <v>611</v>
      </c>
      <c r="B347" s="3" t="s">
        <v>249</v>
      </c>
      <c r="C347" s="3" t="s">
        <v>24</v>
      </c>
      <c r="D347" s="3">
        <v>23</v>
      </c>
      <c r="E347" s="3" t="s">
        <v>118</v>
      </c>
      <c r="F347" s="3" t="s">
        <v>72</v>
      </c>
      <c r="G347" s="3" t="s">
        <v>46</v>
      </c>
      <c r="H347" s="3" t="s">
        <v>28</v>
      </c>
      <c r="I347" s="3" t="s">
        <v>68</v>
      </c>
      <c r="J347" s="6">
        <v>44847</v>
      </c>
      <c r="K347" s="3" t="s">
        <v>30</v>
      </c>
      <c r="L347" s="3" t="s">
        <v>31</v>
      </c>
      <c r="M347" s="3">
        <v>103200</v>
      </c>
      <c r="N347" s="3">
        <v>4</v>
      </c>
      <c r="O347" s="3">
        <v>100</v>
      </c>
      <c r="P347" s="3">
        <v>5</v>
      </c>
      <c r="Q347" s="3">
        <v>14</v>
      </c>
      <c r="R347" s="3">
        <v>0</v>
      </c>
      <c r="S347" s="3">
        <v>5</v>
      </c>
      <c r="T347" s="3">
        <v>19</v>
      </c>
      <c r="U347" s="3" t="s">
        <v>32</v>
      </c>
      <c r="V347" s="3">
        <v>8600</v>
      </c>
      <c r="W347" s="3">
        <v>3.8</v>
      </c>
      <c r="X347" s="3" t="s">
        <v>48</v>
      </c>
      <c r="Y347" s="7" t="s">
        <v>42</v>
      </c>
    </row>
    <row r="348" spans="1:25" x14ac:dyDescent="0.3">
      <c r="A348" s="5" t="s">
        <v>612</v>
      </c>
      <c r="B348" s="3" t="s">
        <v>613</v>
      </c>
      <c r="C348" s="3" t="s">
        <v>58</v>
      </c>
      <c r="D348" s="3">
        <v>39</v>
      </c>
      <c r="E348" s="3" t="s">
        <v>51</v>
      </c>
      <c r="F348" s="3" t="s">
        <v>60</v>
      </c>
      <c r="G348" s="3" t="s">
        <v>46</v>
      </c>
      <c r="H348" s="3" t="s">
        <v>28</v>
      </c>
      <c r="I348" s="3" t="s">
        <v>86</v>
      </c>
      <c r="J348" s="6">
        <v>44979</v>
      </c>
      <c r="K348" s="3" t="s">
        <v>30</v>
      </c>
      <c r="L348" s="3" t="s">
        <v>53</v>
      </c>
      <c r="M348" s="3">
        <v>101200</v>
      </c>
      <c r="N348" s="3">
        <v>15</v>
      </c>
      <c r="O348" s="3">
        <v>84.1</v>
      </c>
      <c r="P348" s="3">
        <v>2</v>
      </c>
      <c r="Q348" s="3">
        <v>7</v>
      </c>
      <c r="R348" s="3">
        <v>1</v>
      </c>
      <c r="S348" s="3">
        <v>12</v>
      </c>
      <c r="T348" s="3">
        <v>23</v>
      </c>
      <c r="U348" s="3" t="s">
        <v>123</v>
      </c>
      <c r="V348" s="3">
        <v>8433</v>
      </c>
      <c r="W348" s="3">
        <v>3.4</v>
      </c>
      <c r="X348" s="3" t="s">
        <v>108</v>
      </c>
      <c r="Y348" s="7" t="s">
        <v>42</v>
      </c>
    </row>
    <row r="349" spans="1:25" x14ac:dyDescent="0.3">
      <c r="A349" s="5" t="s">
        <v>614</v>
      </c>
      <c r="B349" s="3" t="s">
        <v>200</v>
      </c>
      <c r="C349" s="3" t="s">
        <v>24</v>
      </c>
      <c r="D349" s="3">
        <v>49</v>
      </c>
      <c r="E349" s="3" t="s">
        <v>160</v>
      </c>
      <c r="F349" s="3" t="s">
        <v>26</v>
      </c>
      <c r="G349" s="3" t="s">
        <v>80</v>
      </c>
      <c r="H349" s="3" t="s">
        <v>115</v>
      </c>
      <c r="I349" s="3" t="s">
        <v>92</v>
      </c>
      <c r="J349" s="6">
        <v>44155</v>
      </c>
      <c r="K349" s="3" t="s">
        <v>30</v>
      </c>
      <c r="L349" s="3" t="s">
        <v>53</v>
      </c>
      <c r="M349" s="3">
        <v>59400</v>
      </c>
      <c r="N349" s="3">
        <v>30</v>
      </c>
      <c r="O349" s="3">
        <v>87.7</v>
      </c>
      <c r="P349" s="3">
        <v>3</v>
      </c>
      <c r="Q349" s="3">
        <v>13</v>
      </c>
      <c r="R349" s="3">
        <v>3</v>
      </c>
      <c r="S349" s="3">
        <v>30</v>
      </c>
      <c r="T349" s="3">
        <v>15</v>
      </c>
      <c r="U349" s="3" t="s">
        <v>41</v>
      </c>
      <c r="V349" s="3">
        <v>4950</v>
      </c>
      <c r="W349" s="3">
        <v>5.7</v>
      </c>
      <c r="X349" s="3" t="s">
        <v>54</v>
      </c>
      <c r="Y349" s="7" t="s">
        <v>55</v>
      </c>
    </row>
    <row r="350" spans="1:25" x14ac:dyDescent="0.3">
      <c r="A350" s="5" t="s">
        <v>615</v>
      </c>
      <c r="B350" s="3" t="s">
        <v>194</v>
      </c>
      <c r="C350" s="3" t="s">
        <v>58</v>
      </c>
      <c r="D350" s="3">
        <v>36</v>
      </c>
      <c r="E350" s="3" t="s">
        <v>90</v>
      </c>
      <c r="F350" s="3" t="s">
        <v>52</v>
      </c>
      <c r="G350" s="3" t="s">
        <v>27</v>
      </c>
      <c r="H350" s="3" t="s">
        <v>28</v>
      </c>
      <c r="I350" s="3" t="s">
        <v>73</v>
      </c>
      <c r="J350" s="6">
        <v>43521</v>
      </c>
      <c r="K350" s="3" t="s">
        <v>30</v>
      </c>
      <c r="L350" s="3" t="s">
        <v>31</v>
      </c>
      <c r="M350" s="3">
        <v>85800</v>
      </c>
      <c r="N350" s="3">
        <v>16</v>
      </c>
      <c r="O350" s="3">
        <v>88.1</v>
      </c>
      <c r="P350" s="3">
        <v>5</v>
      </c>
      <c r="Q350" s="3">
        <v>14</v>
      </c>
      <c r="R350" s="3">
        <v>2</v>
      </c>
      <c r="S350" s="3">
        <v>4</v>
      </c>
      <c r="T350" s="3">
        <v>16</v>
      </c>
      <c r="U350" s="3" t="s">
        <v>130</v>
      </c>
      <c r="V350" s="3">
        <v>7150</v>
      </c>
      <c r="W350" s="3">
        <v>7.4</v>
      </c>
      <c r="X350" s="3" t="s">
        <v>108</v>
      </c>
      <c r="Y350" s="7" t="s">
        <v>75</v>
      </c>
    </row>
    <row r="351" spans="1:25" x14ac:dyDescent="0.3">
      <c r="A351" s="5" t="s">
        <v>616</v>
      </c>
      <c r="B351" s="3" t="s">
        <v>227</v>
      </c>
      <c r="C351" s="3" t="s">
        <v>24</v>
      </c>
      <c r="D351" s="3">
        <v>37</v>
      </c>
      <c r="E351" s="3" t="s">
        <v>59</v>
      </c>
      <c r="F351" s="3" t="s">
        <v>60</v>
      </c>
      <c r="G351" s="3" t="s">
        <v>46</v>
      </c>
      <c r="H351" s="3" t="s">
        <v>28</v>
      </c>
      <c r="I351" s="3" t="s">
        <v>68</v>
      </c>
      <c r="J351" s="6">
        <v>44952</v>
      </c>
      <c r="K351" s="3" t="s">
        <v>30</v>
      </c>
      <c r="L351" s="3" t="s">
        <v>53</v>
      </c>
      <c r="M351" s="3">
        <v>86700</v>
      </c>
      <c r="N351" s="3">
        <v>18</v>
      </c>
      <c r="O351" s="3">
        <v>98.3</v>
      </c>
      <c r="P351" s="3">
        <v>0</v>
      </c>
      <c r="Q351" s="3">
        <v>12</v>
      </c>
      <c r="R351" s="3">
        <v>0</v>
      </c>
      <c r="S351" s="3">
        <v>27</v>
      </c>
      <c r="T351" s="3">
        <v>9</v>
      </c>
      <c r="U351" s="3" t="s">
        <v>74</v>
      </c>
      <c r="V351" s="3">
        <v>7225</v>
      </c>
      <c r="W351" s="3">
        <v>3.5</v>
      </c>
      <c r="X351" s="3" t="s">
        <v>108</v>
      </c>
      <c r="Y351" s="7" t="s">
        <v>42</v>
      </c>
    </row>
    <row r="352" spans="1:25" x14ac:dyDescent="0.3">
      <c r="A352" s="5" t="s">
        <v>617</v>
      </c>
      <c r="B352" s="3" t="s">
        <v>359</v>
      </c>
      <c r="C352" s="3" t="s">
        <v>24</v>
      </c>
      <c r="D352" s="3">
        <v>30</v>
      </c>
      <c r="E352" s="3" t="s">
        <v>65</v>
      </c>
      <c r="F352" s="3" t="s">
        <v>52</v>
      </c>
      <c r="G352" s="3" t="s">
        <v>46</v>
      </c>
      <c r="H352" s="3" t="s">
        <v>28</v>
      </c>
      <c r="I352" s="3" t="s">
        <v>68</v>
      </c>
      <c r="J352" s="6">
        <v>45209</v>
      </c>
      <c r="K352" s="3" t="s">
        <v>30</v>
      </c>
      <c r="L352" s="3" t="s">
        <v>93</v>
      </c>
      <c r="M352" s="3">
        <v>59200</v>
      </c>
      <c r="N352" s="3">
        <v>8</v>
      </c>
      <c r="O352" s="3">
        <v>91</v>
      </c>
      <c r="P352" s="3">
        <v>0</v>
      </c>
      <c r="Q352" s="3">
        <v>7</v>
      </c>
      <c r="R352" s="3">
        <v>4</v>
      </c>
      <c r="S352" s="3">
        <v>26</v>
      </c>
      <c r="T352" s="3">
        <v>25</v>
      </c>
      <c r="U352" s="3" t="s">
        <v>94</v>
      </c>
      <c r="V352" s="3">
        <v>4933</v>
      </c>
      <c r="W352" s="3">
        <v>2.8</v>
      </c>
      <c r="X352" s="3" t="s">
        <v>33</v>
      </c>
      <c r="Y352" s="7" t="s">
        <v>55</v>
      </c>
    </row>
    <row r="353" spans="1:25" x14ac:dyDescent="0.3">
      <c r="A353" s="5" t="s">
        <v>618</v>
      </c>
      <c r="B353" s="3" t="s">
        <v>432</v>
      </c>
      <c r="C353" s="3" t="s">
        <v>58</v>
      </c>
      <c r="D353" s="3">
        <v>29</v>
      </c>
      <c r="E353" s="3" t="s">
        <v>59</v>
      </c>
      <c r="F353" s="3" t="s">
        <v>38</v>
      </c>
      <c r="G353" s="3" t="s">
        <v>39</v>
      </c>
      <c r="H353" s="3" t="s">
        <v>28</v>
      </c>
      <c r="I353" s="3" t="s">
        <v>47</v>
      </c>
      <c r="J353" s="6">
        <v>43679</v>
      </c>
      <c r="K353" s="3" t="s">
        <v>30</v>
      </c>
      <c r="L353" s="3" t="s">
        <v>31</v>
      </c>
      <c r="M353" s="3">
        <v>38900</v>
      </c>
      <c r="N353" s="3">
        <v>7</v>
      </c>
      <c r="O353" s="3">
        <v>85.7</v>
      </c>
      <c r="P353" s="3">
        <v>6</v>
      </c>
      <c r="Q353" s="3">
        <v>4</v>
      </c>
      <c r="R353" s="3">
        <v>1</v>
      </c>
      <c r="S353" s="3">
        <v>3</v>
      </c>
      <c r="T353" s="3">
        <v>16</v>
      </c>
      <c r="U353" s="3" t="s">
        <v>94</v>
      </c>
      <c r="V353" s="3">
        <v>3242</v>
      </c>
      <c r="W353" s="3">
        <v>7</v>
      </c>
      <c r="X353" s="3" t="s">
        <v>95</v>
      </c>
      <c r="Y353" s="7" t="s">
        <v>42</v>
      </c>
    </row>
    <row r="354" spans="1:25" x14ac:dyDescent="0.3">
      <c r="A354" s="5" t="s">
        <v>619</v>
      </c>
      <c r="B354" s="3" t="s">
        <v>117</v>
      </c>
      <c r="C354" s="3" t="s">
        <v>58</v>
      </c>
      <c r="D354" s="3">
        <v>40</v>
      </c>
      <c r="E354" s="3" t="s">
        <v>90</v>
      </c>
      <c r="F354" s="3" t="s">
        <v>52</v>
      </c>
      <c r="G354" s="3" t="s">
        <v>27</v>
      </c>
      <c r="H354" s="3" t="s">
        <v>67</v>
      </c>
      <c r="I354" s="3" t="s">
        <v>107</v>
      </c>
      <c r="J354" s="6">
        <v>44350</v>
      </c>
      <c r="K354" s="3" t="s">
        <v>30</v>
      </c>
      <c r="L354" s="3" t="s">
        <v>53</v>
      </c>
      <c r="M354" s="3">
        <v>75800</v>
      </c>
      <c r="N354" s="3">
        <v>16</v>
      </c>
      <c r="O354" s="3">
        <v>90.6</v>
      </c>
      <c r="P354" s="3">
        <v>0</v>
      </c>
      <c r="Q354" s="3">
        <v>2</v>
      </c>
      <c r="R354" s="3">
        <v>2</v>
      </c>
      <c r="S354" s="3">
        <v>2</v>
      </c>
      <c r="T354" s="3">
        <v>26</v>
      </c>
      <c r="U354" s="3" t="s">
        <v>94</v>
      </c>
      <c r="V354" s="3">
        <v>6317</v>
      </c>
      <c r="W354" s="3">
        <v>5.2</v>
      </c>
      <c r="X354" s="3" t="s">
        <v>62</v>
      </c>
      <c r="Y354" s="7" t="s">
        <v>42</v>
      </c>
    </row>
    <row r="355" spans="1:25" x14ac:dyDescent="0.3">
      <c r="A355" s="5" t="s">
        <v>620</v>
      </c>
      <c r="B355" s="3" t="s">
        <v>309</v>
      </c>
      <c r="C355" s="3" t="s">
        <v>24</v>
      </c>
      <c r="D355" s="3">
        <v>37</v>
      </c>
      <c r="E355" s="3" t="s">
        <v>90</v>
      </c>
      <c r="F355" s="3" t="s">
        <v>66</v>
      </c>
      <c r="G355" s="3" t="s">
        <v>171</v>
      </c>
      <c r="H355" s="3" t="s">
        <v>28</v>
      </c>
      <c r="I355" s="3" t="s">
        <v>86</v>
      </c>
      <c r="J355" s="6">
        <v>45087</v>
      </c>
      <c r="K355" s="3" t="s">
        <v>30</v>
      </c>
      <c r="L355" s="3" t="s">
        <v>53</v>
      </c>
      <c r="M355" s="3">
        <v>115800</v>
      </c>
      <c r="N355" s="3">
        <v>17</v>
      </c>
      <c r="O355" s="3">
        <v>91.2</v>
      </c>
      <c r="P355" s="3">
        <v>4</v>
      </c>
      <c r="Q355" s="3">
        <v>0</v>
      </c>
      <c r="R355" s="3">
        <v>0</v>
      </c>
      <c r="S355" s="3">
        <v>29</v>
      </c>
      <c r="T355" s="3">
        <v>22</v>
      </c>
      <c r="U355" s="3" t="s">
        <v>94</v>
      </c>
      <c r="V355" s="3">
        <v>9650</v>
      </c>
      <c r="W355" s="3">
        <v>3.1</v>
      </c>
      <c r="X355" s="3" t="s">
        <v>108</v>
      </c>
      <c r="Y355" s="7" t="s">
        <v>55</v>
      </c>
    </row>
    <row r="356" spans="1:25" x14ac:dyDescent="0.3">
      <c r="A356" s="5" t="s">
        <v>621</v>
      </c>
      <c r="B356" s="3" t="s">
        <v>184</v>
      </c>
      <c r="C356" s="3" t="s">
        <v>58</v>
      </c>
      <c r="D356" s="3">
        <v>38</v>
      </c>
      <c r="E356" s="3" t="s">
        <v>90</v>
      </c>
      <c r="F356" s="3" t="s">
        <v>26</v>
      </c>
      <c r="G356" s="3" t="s">
        <v>39</v>
      </c>
      <c r="H356" s="3" t="s">
        <v>115</v>
      </c>
      <c r="I356" s="3" t="s">
        <v>68</v>
      </c>
      <c r="J356" s="6">
        <v>44459</v>
      </c>
      <c r="K356" s="3" t="s">
        <v>30</v>
      </c>
      <c r="L356" s="3" t="s">
        <v>53</v>
      </c>
      <c r="M356" s="3">
        <v>35500</v>
      </c>
      <c r="N356" s="3">
        <v>15</v>
      </c>
      <c r="O356" s="3">
        <v>92.9</v>
      </c>
      <c r="P356" s="3">
        <v>7</v>
      </c>
      <c r="Q356" s="3">
        <v>1</v>
      </c>
      <c r="R356" s="3">
        <v>4</v>
      </c>
      <c r="S356" s="3">
        <v>22</v>
      </c>
      <c r="T356" s="3">
        <v>13</v>
      </c>
      <c r="U356" s="3" t="s">
        <v>104</v>
      </c>
      <c r="V356" s="3">
        <v>2958</v>
      </c>
      <c r="W356" s="3">
        <v>4.9000000000000004</v>
      </c>
      <c r="X356" s="3" t="s">
        <v>108</v>
      </c>
      <c r="Y356" s="7" t="s">
        <v>75</v>
      </c>
    </row>
    <row r="357" spans="1:25" x14ac:dyDescent="0.3">
      <c r="A357" s="5" t="s">
        <v>622</v>
      </c>
      <c r="B357" s="3" t="s">
        <v>299</v>
      </c>
      <c r="C357" s="3" t="s">
        <v>58</v>
      </c>
      <c r="D357" s="3">
        <v>28</v>
      </c>
      <c r="E357" s="3" t="s">
        <v>98</v>
      </c>
      <c r="F357" s="3" t="s">
        <v>60</v>
      </c>
      <c r="G357" s="3" t="s">
        <v>80</v>
      </c>
      <c r="H357" s="3" t="s">
        <v>67</v>
      </c>
      <c r="I357" s="3" t="s">
        <v>40</v>
      </c>
      <c r="J357" s="6">
        <v>45727</v>
      </c>
      <c r="K357" s="3" t="s">
        <v>30</v>
      </c>
      <c r="L357" s="3" t="s">
        <v>31</v>
      </c>
      <c r="M357" s="3">
        <v>72100</v>
      </c>
      <c r="N357" s="3">
        <v>5</v>
      </c>
      <c r="O357" s="3">
        <v>85.5</v>
      </c>
      <c r="P357" s="3">
        <v>5</v>
      </c>
      <c r="Q357" s="3">
        <v>13</v>
      </c>
      <c r="R357" s="3">
        <v>1</v>
      </c>
      <c r="S357" s="3">
        <v>4</v>
      </c>
      <c r="T357" s="3">
        <v>27</v>
      </c>
      <c r="U357" s="3" t="s">
        <v>41</v>
      </c>
      <c r="V357" s="3">
        <v>6008</v>
      </c>
      <c r="W357" s="3">
        <v>1.4</v>
      </c>
      <c r="X357" s="3" t="s">
        <v>95</v>
      </c>
      <c r="Y357" s="7" t="s">
        <v>55</v>
      </c>
    </row>
    <row r="358" spans="1:25" x14ac:dyDescent="0.3">
      <c r="A358" s="5" t="s">
        <v>623</v>
      </c>
      <c r="B358" s="3" t="s">
        <v>359</v>
      </c>
      <c r="C358" s="3" t="s">
        <v>24</v>
      </c>
      <c r="D358" s="3">
        <v>24</v>
      </c>
      <c r="E358" s="3" t="s">
        <v>51</v>
      </c>
      <c r="F358" s="3" t="s">
        <v>91</v>
      </c>
      <c r="G358" s="3" t="s">
        <v>80</v>
      </c>
      <c r="H358" s="3" t="s">
        <v>28</v>
      </c>
      <c r="I358" s="3" t="s">
        <v>86</v>
      </c>
      <c r="J358" s="6">
        <v>45788</v>
      </c>
      <c r="K358" s="3" t="s">
        <v>30</v>
      </c>
      <c r="L358" s="3" t="s">
        <v>31</v>
      </c>
      <c r="M358" s="3">
        <v>35600</v>
      </c>
      <c r="N358" s="3">
        <v>3</v>
      </c>
      <c r="O358" s="3">
        <v>95.4</v>
      </c>
      <c r="P358" s="3">
        <v>2</v>
      </c>
      <c r="Q358" s="3">
        <v>8</v>
      </c>
      <c r="R358" s="3">
        <v>3</v>
      </c>
      <c r="S358" s="3">
        <v>17</v>
      </c>
      <c r="T358" s="3">
        <v>28</v>
      </c>
      <c r="U358" s="3" t="s">
        <v>123</v>
      </c>
      <c r="V358" s="3">
        <v>2967</v>
      </c>
      <c r="W358" s="3">
        <v>1.2</v>
      </c>
      <c r="X358" s="3" t="s">
        <v>48</v>
      </c>
      <c r="Y358" s="7" t="s">
        <v>42</v>
      </c>
    </row>
    <row r="359" spans="1:25" x14ac:dyDescent="0.3">
      <c r="A359" s="5" t="s">
        <v>624</v>
      </c>
      <c r="B359" s="3" t="s">
        <v>625</v>
      </c>
      <c r="C359" s="3" t="s">
        <v>58</v>
      </c>
      <c r="D359" s="3">
        <v>20</v>
      </c>
      <c r="E359" s="3" t="s">
        <v>118</v>
      </c>
      <c r="F359" s="3" t="s">
        <v>52</v>
      </c>
      <c r="G359" s="3" t="s">
        <v>46</v>
      </c>
      <c r="H359" s="3" t="s">
        <v>28</v>
      </c>
      <c r="I359" s="3" t="s">
        <v>73</v>
      </c>
      <c r="J359" s="6">
        <v>43211</v>
      </c>
      <c r="K359" s="3" t="s">
        <v>30</v>
      </c>
      <c r="L359" s="3" t="s">
        <v>31</v>
      </c>
      <c r="M359" s="3">
        <v>76300</v>
      </c>
      <c r="N359" s="3">
        <v>0</v>
      </c>
      <c r="O359" s="3">
        <v>91.7</v>
      </c>
      <c r="P359" s="3">
        <v>1</v>
      </c>
      <c r="Q359" s="3">
        <v>7</v>
      </c>
      <c r="R359" s="3">
        <v>1</v>
      </c>
      <c r="S359" s="3">
        <v>2</v>
      </c>
      <c r="T359" s="3">
        <v>23</v>
      </c>
      <c r="U359" s="3" t="s">
        <v>104</v>
      </c>
      <c r="V359" s="3">
        <v>6358</v>
      </c>
      <c r="W359" s="3">
        <v>8.3000000000000007</v>
      </c>
      <c r="X359" s="3" t="s">
        <v>48</v>
      </c>
      <c r="Y359" s="7" t="s">
        <v>34</v>
      </c>
    </row>
    <row r="360" spans="1:25" x14ac:dyDescent="0.3">
      <c r="A360" s="5" t="s">
        <v>626</v>
      </c>
      <c r="B360" s="3" t="s">
        <v>141</v>
      </c>
      <c r="C360" s="3" t="s">
        <v>24</v>
      </c>
      <c r="D360" s="3">
        <v>24</v>
      </c>
      <c r="E360" s="3" t="s">
        <v>65</v>
      </c>
      <c r="F360" s="3" t="s">
        <v>66</v>
      </c>
      <c r="G360" s="3" t="s">
        <v>46</v>
      </c>
      <c r="H360" s="3" t="s">
        <v>28</v>
      </c>
      <c r="I360" s="3" t="s">
        <v>73</v>
      </c>
      <c r="J360" s="6">
        <v>43591</v>
      </c>
      <c r="K360" s="3" t="s">
        <v>30</v>
      </c>
      <c r="L360" s="3" t="s">
        <v>31</v>
      </c>
      <c r="M360" s="3">
        <v>61500</v>
      </c>
      <c r="N360" s="3">
        <v>4</v>
      </c>
      <c r="O360" s="3">
        <v>98.3</v>
      </c>
      <c r="P360" s="3">
        <v>1</v>
      </c>
      <c r="Q360" s="3">
        <v>9</v>
      </c>
      <c r="R360" s="3">
        <v>1</v>
      </c>
      <c r="S360" s="3">
        <v>4</v>
      </c>
      <c r="T360" s="3">
        <v>19</v>
      </c>
      <c r="U360" s="3" t="s">
        <v>74</v>
      </c>
      <c r="V360" s="3">
        <v>5125</v>
      </c>
      <c r="W360" s="3">
        <v>7.2</v>
      </c>
      <c r="X360" s="3" t="s">
        <v>48</v>
      </c>
      <c r="Y360" s="7" t="s">
        <v>75</v>
      </c>
    </row>
    <row r="361" spans="1:25" x14ac:dyDescent="0.3">
      <c r="A361" s="5" t="s">
        <v>627</v>
      </c>
      <c r="B361" s="3" t="s">
        <v>628</v>
      </c>
      <c r="C361" s="3" t="s">
        <v>24</v>
      </c>
      <c r="D361" s="3">
        <v>22</v>
      </c>
      <c r="E361" s="3" t="s">
        <v>83</v>
      </c>
      <c r="F361" s="3" t="s">
        <v>72</v>
      </c>
      <c r="G361" s="3" t="s">
        <v>39</v>
      </c>
      <c r="H361" s="3" t="s">
        <v>28</v>
      </c>
      <c r="I361" s="3" t="s">
        <v>68</v>
      </c>
      <c r="J361" s="6">
        <v>44396</v>
      </c>
      <c r="K361" s="3" t="s">
        <v>30</v>
      </c>
      <c r="L361" s="3" t="s">
        <v>31</v>
      </c>
      <c r="M361" s="3">
        <v>43200</v>
      </c>
      <c r="N361" s="3">
        <v>0</v>
      </c>
      <c r="O361" s="3">
        <v>90.1</v>
      </c>
      <c r="P361" s="3">
        <v>3</v>
      </c>
      <c r="Q361" s="3">
        <v>10</v>
      </c>
      <c r="R361" s="3">
        <v>2</v>
      </c>
      <c r="S361" s="3">
        <v>8</v>
      </c>
      <c r="T361" s="3">
        <v>11</v>
      </c>
      <c r="U361" s="3" t="s">
        <v>32</v>
      </c>
      <c r="V361" s="3">
        <v>3600</v>
      </c>
      <c r="W361" s="3">
        <v>5</v>
      </c>
      <c r="X361" s="3" t="s">
        <v>48</v>
      </c>
      <c r="Y361" s="7" t="s">
        <v>55</v>
      </c>
    </row>
    <row r="362" spans="1:25" x14ac:dyDescent="0.3">
      <c r="A362" s="5" t="s">
        <v>629</v>
      </c>
      <c r="B362" s="3" t="s">
        <v>463</v>
      </c>
      <c r="C362" s="3" t="s">
        <v>58</v>
      </c>
      <c r="D362" s="3">
        <v>20</v>
      </c>
      <c r="E362" s="3" t="s">
        <v>118</v>
      </c>
      <c r="F362" s="3" t="s">
        <v>72</v>
      </c>
      <c r="G362" s="3" t="s">
        <v>27</v>
      </c>
      <c r="H362" s="3" t="s">
        <v>122</v>
      </c>
      <c r="I362" s="3" t="s">
        <v>73</v>
      </c>
      <c r="J362" s="6">
        <v>44937</v>
      </c>
      <c r="K362" s="3" t="s">
        <v>30</v>
      </c>
      <c r="L362" s="3" t="s">
        <v>93</v>
      </c>
      <c r="M362" s="3">
        <v>125800</v>
      </c>
      <c r="N362" s="3">
        <v>0</v>
      </c>
      <c r="O362" s="3">
        <v>90.6</v>
      </c>
      <c r="P362" s="3">
        <v>8</v>
      </c>
      <c r="Q362" s="3">
        <v>3</v>
      </c>
      <c r="R362" s="3">
        <v>1</v>
      </c>
      <c r="S362" s="3">
        <v>27</v>
      </c>
      <c r="T362" s="3">
        <v>21</v>
      </c>
      <c r="U362" s="3" t="s">
        <v>104</v>
      </c>
      <c r="V362" s="3">
        <v>10483</v>
      </c>
      <c r="W362" s="3">
        <v>3.6</v>
      </c>
      <c r="X362" s="3" t="s">
        <v>48</v>
      </c>
      <c r="Y362" s="7" t="s">
        <v>75</v>
      </c>
    </row>
    <row r="363" spans="1:25" x14ac:dyDescent="0.3">
      <c r="A363" s="5" t="s">
        <v>630</v>
      </c>
      <c r="B363" s="3" t="s">
        <v>631</v>
      </c>
      <c r="C363" s="3" t="s">
        <v>24</v>
      </c>
      <c r="D363" s="3">
        <v>38</v>
      </c>
      <c r="E363" s="3" t="s">
        <v>71</v>
      </c>
      <c r="F363" s="3" t="s">
        <v>79</v>
      </c>
      <c r="G363" s="3" t="s">
        <v>39</v>
      </c>
      <c r="H363" s="3" t="s">
        <v>28</v>
      </c>
      <c r="I363" s="3" t="s">
        <v>68</v>
      </c>
      <c r="J363" s="6">
        <v>45182</v>
      </c>
      <c r="K363" s="3" t="s">
        <v>30</v>
      </c>
      <c r="L363" s="3" t="s">
        <v>53</v>
      </c>
      <c r="M363" s="3">
        <v>41300</v>
      </c>
      <c r="N363" s="3">
        <v>15</v>
      </c>
      <c r="O363" s="3">
        <v>90.2</v>
      </c>
      <c r="P363" s="3">
        <v>8</v>
      </c>
      <c r="Q363" s="3">
        <v>12</v>
      </c>
      <c r="R363" s="3">
        <v>4</v>
      </c>
      <c r="S363" s="3">
        <v>5</v>
      </c>
      <c r="T363" s="3">
        <v>15</v>
      </c>
      <c r="U363" s="3" t="s">
        <v>94</v>
      </c>
      <c r="V363" s="3">
        <v>3442</v>
      </c>
      <c r="W363" s="3">
        <v>2.9</v>
      </c>
      <c r="X363" s="3" t="s">
        <v>108</v>
      </c>
      <c r="Y363" s="7" t="s">
        <v>55</v>
      </c>
    </row>
    <row r="364" spans="1:25" x14ac:dyDescent="0.3">
      <c r="A364" s="5" t="s">
        <v>632</v>
      </c>
      <c r="B364" s="3" t="s">
        <v>337</v>
      </c>
      <c r="C364" s="3" t="s">
        <v>24</v>
      </c>
      <c r="D364" s="3">
        <v>46</v>
      </c>
      <c r="E364" s="3" t="s">
        <v>25</v>
      </c>
      <c r="F364" s="3" t="s">
        <v>91</v>
      </c>
      <c r="G364" s="3" t="s">
        <v>46</v>
      </c>
      <c r="H364" s="3" t="s">
        <v>28</v>
      </c>
      <c r="I364" s="3" t="s">
        <v>68</v>
      </c>
      <c r="J364" s="6">
        <v>45360</v>
      </c>
      <c r="K364" s="3" t="s">
        <v>61</v>
      </c>
      <c r="L364" s="3" t="s">
        <v>31</v>
      </c>
      <c r="M364" s="3">
        <v>53300</v>
      </c>
      <c r="N364" s="3">
        <v>26</v>
      </c>
      <c r="O364" s="3">
        <v>97.3</v>
      </c>
      <c r="P364" s="3">
        <v>0</v>
      </c>
      <c r="Q364" s="3">
        <v>2</v>
      </c>
      <c r="R364" s="3">
        <v>4</v>
      </c>
      <c r="S364" s="3">
        <v>14</v>
      </c>
      <c r="T364" s="3">
        <v>20</v>
      </c>
      <c r="U364" s="3" t="s">
        <v>74</v>
      </c>
      <c r="V364" s="3">
        <v>4442</v>
      </c>
      <c r="W364" s="3">
        <v>2.4</v>
      </c>
      <c r="X364" s="3" t="s">
        <v>54</v>
      </c>
      <c r="Y364" s="7" t="s">
        <v>75</v>
      </c>
    </row>
    <row r="365" spans="1:25" x14ac:dyDescent="0.3">
      <c r="A365" s="5" t="s">
        <v>633</v>
      </c>
      <c r="B365" s="3" t="s">
        <v>147</v>
      </c>
      <c r="C365" s="3" t="s">
        <v>58</v>
      </c>
      <c r="D365" s="3">
        <v>25</v>
      </c>
      <c r="E365" s="3" t="s">
        <v>78</v>
      </c>
      <c r="F365" s="3" t="s">
        <v>79</v>
      </c>
      <c r="G365" s="3" t="s">
        <v>80</v>
      </c>
      <c r="H365" s="3" t="s">
        <v>115</v>
      </c>
      <c r="I365" s="3" t="s">
        <v>47</v>
      </c>
      <c r="J365" s="6">
        <v>44497</v>
      </c>
      <c r="K365" s="3" t="s">
        <v>30</v>
      </c>
      <c r="L365" s="3" t="s">
        <v>53</v>
      </c>
      <c r="M365" s="3">
        <v>57900</v>
      </c>
      <c r="N365" s="3">
        <v>5</v>
      </c>
      <c r="O365" s="3">
        <v>94.4</v>
      </c>
      <c r="P365" s="3">
        <v>4</v>
      </c>
      <c r="Q365" s="3">
        <v>4</v>
      </c>
      <c r="R365" s="3">
        <v>1</v>
      </c>
      <c r="S365" s="3">
        <v>26</v>
      </c>
      <c r="T365" s="3">
        <v>26</v>
      </c>
      <c r="U365" s="3" t="s">
        <v>41</v>
      </c>
      <c r="V365" s="3">
        <v>4825</v>
      </c>
      <c r="W365" s="3">
        <v>4.8</v>
      </c>
      <c r="X365" s="3" t="s">
        <v>95</v>
      </c>
      <c r="Y365" s="7" t="s">
        <v>42</v>
      </c>
    </row>
    <row r="366" spans="1:25" x14ac:dyDescent="0.3">
      <c r="A366" s="5" t="s">
        <v>634</v>
      </c>
      <c r="B366" s="3" t="s">
        <v>635</v>
      </c>
      <c r="C366" s="3" t="s">
        <v>24</v>
      </c>
      <c r="D366" s="3">
        <v>29</v>
      </c>
      <c r="E366" s="3" t="s">
        <v>90</v>
      </c>
      <c r="F366" s="3" t="s">
        <v>91</v>
      </c>
      <c r="G366" s="3" t="s">
        <v>80</v>
      </c>
      <c r="H366" s="3" t="s">
        <v>28</v>
      </c>
      <c r="I366" s="3" t="s">
        <v>107</v>
      </c>
      <c r="J366" s="6">
        <v>45273</v>
      </c>
      <c r="K366" s="3" t="s">
        <v>30</v>
      </c>
      <c r="L366" s="3" t="s">
        <v>53</v>
      </c>
      <c r="M366" s="3">
        <v>39900</v>
      </c>
      <c r="N366" s="3">
        <v>5</v>
      </c>
      <c r="O366" s="3">
        <v>87.3</v>
      </c>
      <c r="P366" s="3">
        <v>8</v>
      </c>
      <c r="Q366" s="3">
        <v>7</v>
      </c>
      <c r="R366" s="3">
        <v>1</v>
      </c>
      <c r="S366" s="3">
        <v>17</v>
      </c>
      <c r="T366" s="3">
        <v>17</v>
      </c>
      <c r="U366" s="3" t="s">
        <v>74</v>
      </c>
      <c r="V366" s="3">
        <v>3325</v>
      </c>
      <c r="W366" s="3">
        <v>2.6</v>
      </c>
      <c r="X366" s="3" t="s">
        <v>95</v>
      </c>
      <c r="Y366" s="7" t="s">
        <v>75</v>
      </c>
    </row>
    <row r="367" spans="1:25" x14ac:dyDescent="0.3">
      <c r="A367" s="5" t="s">
        <v>636</v>
      </c>
      <c r="B367" s="3" t="s">
        <v>534</v>
      </c>
      <c r="C367" s="3" t="s">
        <v>24</v>
      </c>
      <c r="D367" s="3">
        <v>24</v>
      </c>
      <c r="E367" s="3" t="s">
        <v>83</v>
      </c>
      <c r="F367" s="3" t="s">
        <v>72</v>
      </c>
      <c r="G367" s="3" t="s">
        <v>39</v>
      </c>
      <c r="H367" s="3" t="s">
        <v>28</v>
      </c>
      <c r="I367" s="3" t="s">
        <v>40</v>
      </c>
      <c r="J367" s="6">
        <v>44842</v>
      </c>
      <c r="K367" s="3" t="s">
        <v>30</v>
      </c>
      <c r="L367" s="3" t="s">
        <v>53</v>
      </c>
      <c r="M367" s="3">
        <v>50600</v>
      </c>
      <c r="N367" s="3">
        <v>1</v>
      </c>
      <c r="O367" s="3">
        <v>100</v>
      </c>
      <c r="P367" s="3">
        <v>3</v>
      </c>
      <c r="Q367" s="3">
        <v>13</v>
      </c>
      <c r="R367" s="3">
        <v>4</v>
      </c>
      <c r="S367" s="3">
        <v>7</v>
      </c>
      <c r="T367" s="3">
        <v>23</v>
      </c>
      <c r="U367" s="3" t="s">
        <v>74</v>
      </c>
      <c r="V367" s="3">
        <v>4217</v>
      </c>
      <c r="W367" s="3">
        <v>3.8</v>
      </c>
      <c r="X367" s="3" t="s">
        <v>48</v>
      </c>
      <c r="Y367" s="7" t="s">
        <v>42</v>
      </c>
    </row>
    <row r="368" spans="1:25" x14ac:dyDescent="0.3">
      <c r="A368" s="5" t="s">
        <v>637</v>
      </c>
      <c r="B368" s="3" t="s">
        <v>567</v>
      </c>
      <c r="C368" s="3" t="s">
        <v>24</v>
      </c>
      <c r="D368" s="3">
        <v>31</v>
      </c>
      <c r="E368" s="3" t="s">
        <v>160</v>
      </c>
      <c r="F368" s="3" t="s">
        <v>66</v>
      </c>
      <c r="G368" s="3" t="s">
        <v>39</v>
      </c>
      <c r="H368" s="3" t="s">
        <v>28</v>
      </c>
      <c r="I368" s="3" t="s">
        <v>73</v>
      </c>
      <c r="J368" s="6">
        <v>43994</v>
      </c>
      <c r="K368" s="3" t="s">
        <v>30</v>
      </c>
      <c r="L368" s="3" t="s">
        <v>53</v>
      </c>
      <c r="M368" s="3">
        <v>31300</v>
      </c>
      <c r="N368" s="3">
        <v>7</v>
      </c>
      <c r="O368" s="3">
        <v>87.8</v>
      </c>
      <c r="P368" s="3">
        <v>6</v>
      </c>
      <c r="Q368" s="3">
        <v>9</v>
      </c>
      <c r="R368" s="3">
        <v>4</v>
      </c>
      <c r="S368" s="3">
        <v>11</v>
      </c>
      <c r="T368" s="3">
        <v>23</v>
      </c>
      <c r="U368" s="3" t="s">
        <v>130</v>
      </c>
      <c r="V368" s="3">
        <v>2608</v>
      </c>
      <c r="W368" s="3">
        <v>6.1</v>
      </c>
      <c r="X368" s="3" t="s">
        <v>33</v>
      </c>
      <c r="Y368" s="7" t="s">
        <v>55</v>
      </c>
    </row>
    <row r="369" spans="1:25" x14ac:dyDescent="0.3">
      <c r="A369" s="5" t="s">
        <v>638</v>
      </c>
      <c r="B369" s="3" t="s">
        <v>571</v>
      </c>
      <c r="C369" s="3" t="s">
        <v>24</v>
      </c>
      <c r="D369" s="3">
        <v>31</v>
      </c>
      <c r="E369" s="3" t="s">
        <v>59</v>
      </c>
      <c r="F369" s="3" t="s">
        <v>26</v>
      </c>
      <c r="G369" s="3" t="s">
        <v>46</v>
      </c>
      <c r="H369" s="3" t="s">
        <v>115</v>
      </c>
      <c r="I369" s="3" t="s">
        <v>86</v>
      </c>
      <c r="J369" s="6">
        <v>45479</v>
      </c>
      <c r="K369" s="3" t="s">
        <v>30</v>
      </c>
      <c r="L369" s="3" t="s">
        <v>31</v>
      </c>
      <c r="M369" s="3">
        <v>73700</v>
      </c>
      <c r="N369" s="3">
        <v>10</v>
      </c>
      <c r="O369" s="3">
        <v>88.4</v>
      </c>
      <c r="P369" s="3">
        <v>5</v>
      </c>
      <c r="Q369" s="3">
        <v>5</v>
      </c>
      <c r="R369" s="3">
        <v>2</v>
      </c>
      <c r="S369" s="3">
        <v>29</v>
      </c>
      <c r="T369" s="3">
        <v>21</v>
      </c>
      <c r="U369" s="3" t="s">
        <v>104</v>
      </c>
      <c r="V369" s="3">
        <v>6142</v>
      </c>
      <c r="W369" s="3">
        <v>2.1</v>
      </c>
      <c r="X369" s="3" t="s">
        <v>33</v>
      </c>
      <c r="Y369" s="7" t="s">
        <v>55</v>
      </c>
    </row>
    <row r="370" spans="1:25" x14ac:dyDescent="0.3">
      <c r="A370" s="5" t="s">
        <v>639</v>
      </c>
      <c r="B370" s="3" t="s">
        <v>502</v>
      </c>
      <c r="C370" s="3" t="s">
        <v>58</v>
      </c>
      <c r="D370" s="3">
        <v>36</v>
      </c>
      <c r="E370" s="3" t="s">
        <v>98</v>
      </c>
      <c r="F370" s="3" t="s">
        <v>38</v>
      </c>
      <c r="G370" s="3" t="s">
        <v>46</v>
      </c>
      <c r="H370" s="3" t="s">
        <v>28</v>
      </c>
      <c r="I370" s="3" t="s">
        <v>29</v>
      </c>
      <c r="J370" s="6">
        <v>44976</v>
      </c>
      <c r="K370" s="3" t="s">
        <v>30</v>
      </c>
      <c r="L370" s="3" t="s">
        <v>53</v>
      </c>
      <c r="M370" s="3">
        <v>63600</v>
      </c>
      <c r="N370" s="3">
        <v>16</v>
      </c>
      <c r="O370" s="3">
        <v>95.8</v>
      </c>
      <c r="P370" s="3">
        <v>3</v>
      </c>
      <c r="Q370" s="3">
        <v>9</v>
      </c>
      <c r="R370" s="3">
        <v>3</v>
      </c>
      <c r="S370" s="3">
        <v>21</v>
      </c>
      <c r="T370" s="3">
        <v>7</v>
      </c>
      <c r="U370" s="3" t="s">
        <v>74</v>
      </c>
      <c r="V370" s="3">
        <v>5300</v>
      </c>
      <c r="W370" s="3">
        <v>3.4</v>
      </c>
      <c r="X370" s="3" t="s">
        <v>108</v>
      </c>
      <c r="Y370" s="7" t="s">
        <v>42</v>
      </c>
    </row>
    <row r="371" spans="1:25" x14ac:dyDescent="0.3">
      <c r="A371" s="5" t="s">
        <v>640</v>
      </c>
      <c r="B371" s="3" t="s">
        <v>164</v>
      </c>
      <c r="C371" s="3" t="s">
        <v>58</v>
      </c>
      <c r="D371" s="3">
        <v>46</v>
      </c>
      <c r="E371" s="3" t="s">
        <v>160</v>
      </c>
      <c r="F371" s="3" t="s">
        <v>72</v>
      </c>
      <c r="G371" s="3" t="s">
        <v>39</v>
      </c>
      <c r="H371" s="3" t="s">
        <v>28</v>
      </c>
      <c r="I371" s="3" t="s">
        <v>68</v>
      </c>
      <c r="J371" s="6">
        <v>45050</v>
      </c>
      <c r="K371" s="3" t="s">
        <v>61</v>
      </c>
      <c r="L371" s="3" t="s">
        <v>31</v>
      </c>
      <c r="M371" s="3">
        <v>53100</v>
      </c>
      <c r="N371" s="3">
        <v>25</v>
      </c>
      <c r="O371" s="3">
        <v>90.2</v>
      </c>
      <c r="P371" s="3">
        <v>6</v>
      </c>
      <c r="Q371" s="3">
        <v>14</v>
      </c>
      <c r="R371" s="3">
        <v>4</v>
      </c>
      <c r="S371" s="3">
        <v>5</v>
      </c>
      <c r="T371" s="3">
        <v>14</v>
      </c>
      <c r="U371" s="3" t="s">
        <v>41</v>
      </c>
      <c r="V371" s="3">
        <v>4425</v>
      </c>
      <c r="W371" s="3">
        <v>3.2</v>
      </c>
      <c r="X371" s="3" t="s">
        <v>54</v>
      </c>
      <c r="Y371" s="7" t="s">
        <v>75</v>
      </c>
    </row>
    <row r="372" spans="1:25" x14ac:dyDescent="0.3">
      <c r="A372" s="5" t="s">
        <v>641</v>
      </c>
      <c r="B372" s="3" t="s">
        <v>127</v>
      </c>
      <c r="C372" s="3" t="s">
        <v>24</v>
      </c>
      <c r="D372" s="3">
        <v>21</v>
      </c>
      <c r="E372" s="3" t="s">
        <v>59</v>
      </c>
      <c r="F372" s="3" t="s">
        <v>60</v>
      </c>
      <c r="G372" s="3" t="s">
        <v>39</v>
      </c>
      <c r="H372" s="3" t="s">
        <v>28</v>
      </c>
      <c r="I372" s="3" t="s">
        <v>107</v>
      </c>
      <c r="J372" s="6">
        <v>44694</v>
      </c>
      <c r="K372" s="3" t="s">
        <v>30</v>
      </c>
      <c r="L372" s="3" t="s">
        <v>53</v>
      </c>
      <c r="M372" s="3">
        <v>50600</v>
      </c>
      <c r="N372" s="3">
        <v>2</v>
      </c>
      <c r="O372" s="3">
        <v>85.6</v>
      </c>
      <c r="P372" s="3">
        <v>6</v>
      </c>
      <c r="Q372" s="3">
        <v>10</v>
      </c>
      <c r="R372" s="3">
        <v>3</v>
      </c>
      <c r="S372" s="3">
        <v>28</v>
      </c>
      <c r="T372" s="3">
        <v>12</v>
      </c>
      <c r="U372" s="3" t="s">
        <v>123</v>
      </c>
      <c r="V372" s="3">
        <v>4217</v>
      </c>
      <c r="W372" s="3">
        <v>4.2</v>
      </c>
      <c r="X372" s="3" t="s">
        <v>48</v>
      </c>
      <c r="Y372" s="7" t="s">
        <v>75</v>
      </c>
    </row>
    <row r="373" spans="1:25" x14ac:dyDescent="0.3">
      <c r="A373" s="5" t="s">
        <v>642</v>
      </c>
      <c r="B373" s="3" t="s">
        <v>176</v>
      </c>
      <c r="C373" s="3" t="s">
        <v>24</v>
      </c>
      <c r="D373" s="3">
        <v>40</v>
      </c>
      <c r="E373" s="3" t="s">
        <v>78</v>
      </c>
      <c r="F373" s="3" t="s">
        <v>26</v>
      </c>
      <c r="G373" s="3" t="s">
        <v>39</v>
      </c>
      <c r="H373" s="3" t="s">
        <v>28</v>
      </c>
      <c r="I373" s="3" t="s">
        <v>47</v>
      </c>
      <c r="J373" s="6">
        <v>43512</v>
      </c>
      <c r="K373" s="3" t="s">
        <v>30</v>
      </c>
      <c r="L373" s="3" t="s">
        <v>31</v>
      </c>
      <c r="M373" s="3">
        <v>39900</v>
      </c>
      <c r="N373" s="3">
        <v>16</v>
      </c>
      <c r="O373" s="3">
        <v>97.2</v>
      </c>
      <c r="P373" s="3">
        <v>1</v>
      </c>
      <c r="Q373" s="3">
        <v>3</v>
      </c>
      <c r="R373" s="3">
        <v>3</v>
      </c>
      <c r="S373" s="3">
        <v>29</v>
      </c>
      <c r="T373" s="3">
        <v>2</v>
      </c>
      <c r="U373" s="3" t="s">
        <v>32</v>
      </c>
      <c r="V373" s="3">
        <v>3325</v>
      </c>
      <c r="W373" s="3">
        <v>7.5</v>
      </c>
      <c r="X373" s="3" t="s">
        <v>62</v>
      </c>
      <c r="Y373" s="7" t="s">
        <v>42</v>
      </c>
    </row>
    <row r="374" spans="1:25" x14ac:dyDescent="0.3">
      <c r="A374" s="5" t="s">
        <v>643</v>
      </c>
      <c r="B374" s="3" t="s">
        <v>644</v>
      </c>
      <c r="C374" s="3" t="s">
        <v>58</v>
      </c>
      <c r="D374" s="3">
        <v>44</v>
      </c>
      <c r="E374" s="3" t="s">
        <v>65</v>
      </c>
      <c r="F374" s="3" t="s">
        <v>60</v>
      </c>
      <c r="G374" s="3" t="s">
        <v>46</v>
      </c>
      <c r="H374" s="3" t="s">
        <v>28</v>
      </c>
      <c r="I374" s="3" t="s">
        <v>40</v>
      </c>
      <c r="J374" s="6">
        <v>44523</v>
      </c>
      <c r="K374" s="3" t="s">
        <v>30</v>
      </c>
      <c r="L374" s="3" t="s">
        <v>53</v>
      </c>
      <c r="M374" s="3">
        <v>85200</v>
      </c>
      <c r="N374" s="3">
        <v>21</v>
      </c>
      <c r="O374" s="3">
        <v>100</v>
      </c>
      <c r="P374" s="3">
        <v>6</v>
      </c>
      <c r="Q374" s="3">
        <v>7</v>
      </c>
      <c r="R374" s="3">
        <v>4</v>
      </c>
      <c r="S374" s="3">
        <v>7</v>
      </c>
      <c r="T374" s="3">
        <v>10</v>
      </c>
      <c r="U374" s="3" t="s">
        <v>41</v>
      </c>
      <c r="V374" s="3">
        <v>7100</v>
      </c>
      <c r="W374" s="3">
        <v>4.7</v>
      </c>
      <c r="X374" s="3" t="s">
        <v>62</v>
      </c>
      <c r="Y374" s="7" t="s">
        <v>75</v>
      </c>
    </row>
    <row r="375" spans="1:25" x14ac:dyDescent="0.3">
      <c r="A375" s="5" t="s">
        <v>645</v>
      </c>
      <c r="B375" s="3" t="s">
        <v>147</v>
      </c>
      <c r="C375" s="3" t="s">
        <v>24</v>
      </c>
      <c r="D375" s="3">
        <v>46</v>
      </c>
      <c r="E375" s="3" t="s">
        <v>83</v>
      </c>
      <c r="F375" s="3" t="s">
        <v>38</v>
      </c>
      <c r="G375" s="3" t="s">
        <v>46</v>
      </c>
      <c r="H375" s="3" t="s">
        <v>28</v>
      </c>
      <c r="I375" s="3" t="s">
        <v>107</v>
      </c>
      <c r="J375" s="6">
        <v>46082</v>
      </c>
      <c r="K375" s="3" t="s">
        <v>30</v>
      </c>
      <c r="L375" s="3" t="s">
        <v>31</v>
      </c>
      <c r="M375" s="3">
        <v>64800</v>
      </c>
      <c r="N375" s="3">
        <v>26</v>
      </c>
      <c r="O375" s="3">
        <v>85.9</v>
      </c>
      <c r="P375" s="3">
        <v>8</v>
      </c>
      <c r="Q375" s="3">
        <v>3</v>
      </c>
      <c r="R375" s="3">
        <v>2</v>
      </c>
      <c r="S375" s="3">
        <v>30</v>
      </c>
      <c r="T375" s="3">
        <v>20</v>
      </c>
      <c r="U375" s="3" t="s">
        <v>74</v>
      </c>
      <c r="V375" s="3">
        <v>5400</v>
      </c>
      <c r="W375" s="3">
        <v>0.4</v>
      </c>
      <c r="X375" s="3" t="s">
        <v>54</v>
      </c>
      <c r="Y375" s="7" t="s">
        <v>42</v>
      </c>
    </row>
    <row r="376" spans="1:25" x14ac:dyDescent="0.3">
      <c r="A376" s="5" t="s">
        <v>646</v>
      </c>
      <c r="B376" s="3" t="s">
        <v>326</v>
      </c>
      <c r="C376" s="3" t="s">
        <v>24</v>
      </c>
      <c r="D376" s="3">
        <v>33</v>
      </c>
      <c r="E376" s="3" t="s">
        <v>65</v>
      </c>
      <c r="F376" s="3" t="s">
        <v>60</v>
      </c>
      <c r="G376" s="3" t="s">
        <v>39</v>
      </c>
      <c r="H376" s="3" t="s">
        <v>28</v>
      </c>
      <c r="I376" s="3" t="s">
        <v>68</v>
      </c>
      <c r="J376" s="6">
        <v>44777</v>
      </c>
      <c r="K376" s="3" t="s">
        <v>30</v>
      </c>
      <c r="L376" s="3" t="s">
        <v>93</v>
      </c>
      <c r="M376" s="3">
        <v>51000</v>
      </c>
      <c r="N376" s="3">
        <v>14</v>
      </c>
      <c r="O376" s="3">
        <v>97.1</v>
      </c>
      <c r="P376" s="3">
        <v>5</v>
      </c>
      <c r="Q376" s="3">
        <v>4</v>
      </c>
      <c r="R376" s="3">
        <v>1</v>
      </c>
      <c r="S376" s="3">
        <v>22</v>
      </c>
      <c r="T376" s="3">
        <v>6</v>
      </c>
      <c r="U376" s="3" t="s">
        <v>123</v>
      </c>
      <c r="V376" s="3">
        <v>4250</v>
      </c>
      <c r="W376" s="3">
        <v>4</v>
      </c>
      <c r="X376" s="3" t="s">
        <v>33</v>
      </c>
      <c r="Y376" s="7" t="s">
        <v>42</v>
      </c>
    </row>
    <row r="377" spans="1:25" x14ac:dyDescent="0.3">
      <c r="A377" s="5" t="s">
        <v>647</v>
      </c>
      <c r="B377" s="3" t="s">
        <v>487</v>
      </c>
      <c r="C377" s="3" t="s">
        <v>58</v>
      </c>
      <c r="D377" s="3">
        <v>31</v>
      </c>
      <c r="E377" s="3" t="s">
        <v>83</v>
      </c>
      <c r="F377" s="3" t="s">
        <v>79</v>
      </c>
      <c r="G377" s="3" t="s">
        <v>46</v>
      </c>
      <c r="H377" s="3" t="s">
        <v>115</v>
      </c>
      <c r="I377" s="3" t="s">
        <v>86</v>
      </c>
      <c r="J377" s="6">
        <v>44287</v>
      </c>
      <c r="K377" s="3" t="s">
        <v>30</v>
      </c>
      <c r="L377" s="3" t="s">
        <v>31</v>
      </c>
      <c r="M377" s="3">
        <v>63200</v>
      </c>
      <c r="N377" s="3">
        <v>12</v>
      </c>
      <c r="O377" s="3">
        <v>88.5</v>
      </c>
      <c r="P377" s="3">
        <v>5</v>
      </c>
      <c r="Q377" s="3">
        <v>1</v>
      </c>
      <c r="R377" s="3">
        <v>0</v>
      </c>
      <c r="S377" s="3">
        <v>14</v>
      </c>
      <c r="T377" s="3">
        <v>8</v>
      </c>
      <c r="U377" s="3" t="s">
        <v>32</v>
      </c>
      <c r="V377" s="3">
        <v>5267</v>
      </c>
      <c r="W377" s="3">
        <v>5.3</v>
      </c>
      <c r="X377" s="3" t="s">
        <v>33</v>
      </c>
      <c r="Y377" s="7" t="s">
        <v>42</v>
      </c>
    </row>
    <row r="378" spans="1:25" x14ac:dyDescent="0.3">
      <c r="A378" s="5" t="s">
        <v>648</v>
      </c>
      <c r="B378" s="3" t="s">
        <v>474</v>
      </c>
      <c r="C378" s="3" t="s">
        <v>24</v>
      </c>
      <c r="D378" s="3">
        <v>47</v>
      </c>
      <c r="E378" s="3" t="s">
        <v>160</v>
      </c>
      <c r="F378" s="3" t="s">
        <v>60</v>
      </c>
      <c r="G378" s="3" t="s">
        <v>39</v>
      </c>
      <c r="H378" s="3" t="s">
        <v>28</v>
      </c>
      <c r="I378" s="3" t="s">
        <v>107</v>
      </c>
      <c r="J378" s="6">
        <v>44747</v>
      </c>
      <c r="K378" s="3" t="s">
        <v>30</v>
      </c>
      <c r="L378" s="3" t="s">
        <v>31</v>
      </c>
      <c r="M378" s="3">
        <v>49000</v>
      </c>
      <c r="N378" s="3">
        <v>24</v>
      </c>
      <c r="O378" s="3">
        <v>80.599999999999994</v>
      </c>
      <c r="P378" s="3">
        <v>5</v>
      </c>
      <c r="Q378" s="3">
        <v>9</v>
      </c>
      <c r="R378" s="3">
        <v>1</v>
      </c>
      <c r="S378" s="3">
        <v>15</v>
      </c>
      <c r="T378" s="3">
        <v>3</v>
      </c>
      <c r="U378" s="3" t="s">
        <v>104</v>
      </c>
      <c r="V378" s="3">
        <v>4083</v>
      </c>
      <c r="W378" s="3">
        <v>4.0999999999999996</v>
      </c>
      <c r="X378" s="3" t="s">
        <v>54</v>
      </c>
      <c r="Y378" s="7" t="s">
        <v>42</v>
      </c>
    </row>
    <row r="379" spans="1:25" x14ac:dyDescent="0.3">
      <c r="A379" s="5" t="s">
        <v>649</v>
      </c>
      <c r="B379" s="3" t="s">
        <v>114</v>
      </c>
      <c r="C379" s="3" t="s">
        <v>58</v>
      </c>
      <c r="D379" s="3">
        <v>32</v>
      </c>
      <c r="E379" s="3" t="s">
        <v>101</v>
      </c>
      <c r="F379" s="3" t="s">
        <v>72</v>
      </c>
      <c r="G379" s="3" t="s">
        <v>27</v>
      </c>
      <c r="H379" s="3" t="s">
        <v>28</v>
      </c>
      <c r="I379" s="3" t="s">
        <v>47</v>
      </c>
      <c r="J379" s="6">
        <v>45812</v>
      </c>
      <c r="K379" s="3" t="s">
        <v>30</v>
      </c>
      <c r="L379" s="3" t="s">
        <v>93</v>
      </c>
      <c r="M379" s="3">
        <v>116300</v>
      </c>
      <c r="N379" s="3">
        <v>11</v>
      </c>
      <c r="O379" s="3">
        <v>94.3</v>
      </c>
      <c r="P379" s="3">
        <v>1</v>
      </c>
      <c r="Q379" s="3">
        <v>15</v>
      </c>
      <c r="R379" s="3">
        <v>0</v>
      </c>
      <c r="S379" s="3">
        <v>28</v>
      </c>
      <c r="T379" s="3">
        <v>21</v>
      </c>
      <c r="U379" s="3" t="s">
        <v>123</v>
      </c>
      <c r="V379" s="3">
        <v>9692</v>
      </c>
      <c r="W379" s="3">
        <v>1.2</v>
      </c>
      <c r="X379" s="3" t="s">
        <v>33</v>
      </c>
      <c r="Y379" s="7" t="s">
        <v>42</v>
      </c>
    </row>
    <row r="380" spans="1:25" x14ac:dyDescent="0.3">
      <c r="A380" s="5" t="s">
        <v>650</v>
      </c>
      <c r="B380" s="3" t="s">
        <v>651</v>
      </c>
      <c r="C380" s="3" t="s">
        <v>24</v>
      </c>
      <c r="D380" s="3">
        <v>24</v>
      </c>
      <c r="E380" s="3" t="s">
        <v>118</v>
      </c>
      <c r="F380" s="3" t="s">
        <v>91</v>
      </c>
      <c r="G380" s="3" t="s">
        <v>27</v>
      </c>
      <c r="H380" s="3" t="s">
        <v>67</v>
      </c>
      <c r="I380" s="3" t="s">
        <v>29</v>
      </c>
      <c r="J380" s="6">
        <v>44189</v>
      </c>
      <c r="K380" s="3" t="s">
        <v>87</v>
      </c>
      <c r="L380" s="3" t="s">
        <v>53</v>
      </c>
      <c r="M380" s="3">
        <v>65800</v>
      </c>
      <c r="N380" s="3">
        <v>5</v>
      </c>
      <c r="O380" s="3">
        <v>81.599999999999994</v>
      </c>
      <c r="P380" s="3">
        <v>5</v>
      </c>
      <c r="Q380" s="3">
        <v>3</v>
      </c>
      <c r="R380" s="3">
        <v>4</v>
      </c>
      <c r="S380" s="3">
        <v>30</v>
      </c>
      <c r="T380" s="3">
        <v>16</v>
      </c>
      <c r="U380" s="3" t="s">
        <v>32</v>
      </c>
      <c r="V380" s="3">
        <v>5483</v>
      </c>
      <c r="W380" s="3">
        <v>5.6</v>
      </c>
      <c r="X380" s="3" t="s">
        <v>48</v>
      </c>
      <c r="Y380" s="7" t="s">
        <v>42</v>
      </c>
    </row>
    <row r="381" spans="1:25" x14ac:dyDescent="0.3">
      <c r="A381" s="5" t="s">
        <v>652</v>
      </c>
      <c r="B381" s="3" t="s">
        <v>134</v>
      </c>
      <c r="C381" s="3" t="s">
        <v>24</v>
      </c>
      <c r="D381" s="3">
        <v>24</v>
      </c>
      <c r="E381" s="3" t="s">
        <v>78</v>
      </c>
      <c r="F381" s="3" t="s">
        <v>60</v>
      </c>
      <c r="G381" s="3" t="s">
        <v>46</v>
      </c>
      <c r="H381" s="3" t="s">
        <v>28</v>
      </c>
      <c r="I381" s="3" t="s">
        <v>47</v>
      </c>
      <c r="J381" s="6">
        <v>44340</v>
      </c>
      <c r="K381" s="3" t="s">
        <v>30</v>
      </c>
      <c r="L381" s="3" t="s">
        <v>53</v>
      </c>
      <c r="M381" s="3">
        <v>101100</v>
      </c>
      <c r="N381" s="3">
        <v>2</v>
      </c>
      <c r="O381" s="3">
        <v>87.3</v>
      </c>
      <c r="P381" s="3">
        <v>5</v>
      </c>
      <c r="Q381" s="3">
        <v>14</v>
      </c>
      <c r="R381" s="3">
        <v>1</v>
      </c>
      <c r="S381" s="3">
        <v>4</v>
      </c>
      <c r="T381" s="3">
        <v>30</v>
      </c>
      <c r="U381" s="3" t="s">
        <v>104</v>
      </c>
      <c r="V381" s="3">
        <v>8425</v>
      </c>
      <c r="W381" s="3">
        <v>5.2</v>
      </c>
      <c r="X381" s="3" t="s">
        <v>48</v>
      </c>
      <c r="Y381" s="7" t="s">
        <v>42</v>
      </c>
    </row>
    <row r="382" spans="1:25" x14ac:dyDescent="0.3">
      <c r="A382" s="5" t="s">
        <v>653</v>
      </c>
      <c r="B382" s="3" t="s">
        <v>299</v>
      </c>
      <c r="C382" s="3" t="s">
        <v>24</v>
      </c>
      <c r="D382" s="3">
        <v>36</v>
      </c>
      <c r="E382" s="3" t="s">
        <v>51</v>
      </c>
      <c r="F382" s="3" t="s">
        <v>72</v>
      </c>
      <c r="G382" s="3" t="s">
        <v>27</v>
      </c>
      <c r="H382" s="3" t="s">
        <v>115</v>
      </c>
      <c r="I382" s="3" t="s">
        <v>73</v>
      </c>
      <c r="J382" s="6">
        <v>43703</v>
      </c>
      <c r="K382" s="3" t="s">
        <v>30</v>
      </c>
      <c r="L382" s="3" t="s">
        <v>31</v>
      </c>
      <c r="M382" s="3">
        <v>105800</v>
      </c>
      <c r="N382" s="3">
        <v>13</v>
      </c>
      <c r="O382" s="3">
        <v>89.6</v>
      </c>
      <c r="P382" s="3">
        <v>8</v>
      </c>
      <c r="Q382" s="3">
        <v>9</v>
      </c>
      <c r="R382" s="3">
        <v>1</v>
      </c>
      <c r="S382" s="3">
        <v>10</v>
      </c>
      <c r="T382" s="3">
        <v>7</v>
      </c>
      <c r="U382" s="3" t="s">
        <v>32</v>
      </c>
      <c r="V382" s="3">
        <v>8817</v>
      </c>
      <c r="W382" s="3">
        <v>6.9</v>
      </c>
      <c r="X382" s="3" t="s">
        <v>108</v>
      </c>
      <c r="Y382" s="7" t="s">
        <v>42</v>
      </c>
    </row>
    <row r="383" spans="1:25" x14ac:dyDescent="0.3">
      <c r="A383" s="5" t="s">
        <v>654</v>
      </c>
      <c r="B383" s="3" t="s">
        <v>359</v>
      </c>
      <c r="C383" s="3" t="s">
        <v>24</v>
      </c>
      <c r="D383" s="3">
        <v>24</v>
      </c>
      <c r="E383" s="3" t="s">
        <v>65</v>
      </c>
      <c r="F383" s="3" t="s">
        <v>72</v>
      </c>
      <c r="G383" s="3" t="s">
        <v>27</v>
      </c>
      <c r="H383" s="3" t="s">
        <v>28</v>
      </c>
      <c r="I383" s="3" t="s">
        <v>73</v>
      </c>
      <c r="J383" s="6">
        <v>45038</v>
      </c>
      <c r="K383" s="3" t="s">
        <v>61</v>
      </c>
      <c r="L383" s="3" t="s">
        <v>31</v>
      </c>
      <c r="M383" s="3">
        <v>116300</v>
      </c>
      <c r="N383" s="3">
        <v>5</v>
      </c>
      <c r="O383" s="3">
        <v>90.8</v>
      </c>
      <c r="P383" s="3">
        <v>1</v>
      </c>
      <c r="Q383" s="3">
        <v>13</v>
      </c>
      <c r="R383" s="3">
        <v>0</v>
      </c>
      <c r="S383" s="3">
        <v>29</v>
      </c>
      <c r="T383" s="3">
        <v>2</v>
      </c>
      <c r="U383" s="3" t="s">
        <v>41</v>
      </c>
      <c r="V383" s="3">
        <v>9692</v>
      </c>
      <c r="W383" s="3">
        <v>3.3</v>
      </c>
      <c r="X383" s="3" t="s">
        <v>48</v>
      </c>
      <c r="Y383" s="7" t="s">
        <v>42</v>
      </c>
    </row>
    <row r="384" spans="1:25" x14ac:dyDescent="0.3">
      <c r="A384" s="5" t="s">
        <v>655</v>
      </c>
      <c r="B384" s="3" t="s">
        <v>485</v>
      </c>
      <c r="C384" s="3" t="s">
        <v>58</v>
      </c>
      <c r="D384" s="3">
        <v>43</v>
      </c>
      <c r="E384" s="3" t="s">
        <v>101</v>
      </c>
      <c r="F384" s="3" t="s">
        <v>38</v>
      </c>
      <c r="G384" s="3" t="s">
        <v>27</v>
      </c>
      <c r="H384" s="3" t="s">
        <v>28</v>
      </c>
      <c r="I384" s="3" t="s">
        <v>29</v>
      </c>
      <c r="J384" s="6">
        <v>43126</v>
      </c>
      <c r="K384" s="3" t="s">
        <v>30</v>
      </c>
      <c r="L384" s="3" t="s">
        <v>31</v>
      </c>
      <c r="M384" s="3">
        <v>103400</v>
      </c>
      <c r="N384" s="3">
        <v>20</v>
      </c>
      <c r="O384" s="3">
        <v>96.5</v>
      </c>
      <c r="P384" s="3">
        <v>8</v>
      </c>
      <c r="Q384" s="3">
        <v>9</v>
      </c>
      <c r="R384" s="3">
        <v>2</v>
      </c>
      <c r="S384" s="3">
        <v>24</v>
      </c>
      <c r="T384" s="3">
        <v>23</v>
      </c>
      <c r="U384" s="3" t="s">
        <v>104</v>
      </c>
      <c r="V384" s="3">
        <v>8617</v>
      </c>
      <c r="W384" s="3">
        <v>8.5</v>
      </c>
      <c r="X384" s="3" t="s">
        <v>62</v>
      </c>
      <c r="Y384" s="7" t="s">
        <v>42</v>
      </c>
    </row>
    <row r="385" spans="1:25" x14ac:dyDescent="0.3">
      <c r="A385" s="5" t="s">
        <v>656</v>
      </c>
      <c r="B385" s="3" t="s">
        <v>477</v>
      </c>
      <c r="C385" s="3" t="s">
        <v>58</v>
      </c>
      <c r="D385" s="3">
        <v>44</v>
      </c>
      <c r="E385" s="3" t="s">
        <v>71</v>
      </c>
      <c r="F385" s="3" t="s">
        <v>60</v>
      </c>
      <c r="G385" s="3" t="s">
        <v>46</v>
      </c>
      <c r="H385" s="3" t="s">
        <v>28</v>
      </c>
      <c r="I385" s="3" t="s">
        <v>68</v>
      </c>
      <c r="J385" s="6">
        <v>45817</v>
      </c>
      <c r="K385" s="3" t="s">
        <v>30</v>
      </c>
      <c r="L385" s="3" t="s">
        <v>53</v>
      </c>
      <c r="M385" s="3">
        <v>97200</v>
      </c>
      <c r="N385" s="3">
        <v>21</v>
      </c>
      <c r="O385" s="3">
        <v>87.9</v>
      </c>
      <c r="P385" s="3">
        <v>4</v>
      </c>
      <c r="Q385" s="3">
        <v>2</v>
      </c>
      <c r="R385" s="3">
        <v>4</v>
      </c>
      <c r="S385" s="3">
        <v>16</v>
      </c>
      <c r="T385" s="3">
        <v>6</v>
      </c>
      <c r="U385" s="3" t="s">
        <v>94</v>
      </c>
      <c r="V385" s="3">
        <v>8100</v>
      </c>
      <c r="W385" s="3">
        <v>1.1000000000000001</v>
      </c>
      <c r="X385" s="3" t="s">
        <v>62</v>
      </c>
      <c r="Y385" s="7" t="s">
        <v>42</v>
      </c>
    </row>
    <row r="386" spans="1:25" x14ac:dyDescent="0.3">
      <c r="A386" s="5" t="s">
        <v>657</v>
      </c>
      <c r="B386" s="3" t="s">
        <v>658</v>
      </c>
      <c r="C386" s="3" t="s">
        <v>24</v>
      </c>
      <c r="D386" s="3">
        <v>45</v>
      </c>
      <c r="E386" s="3" t="s">
        <v>25</v>
      </c>
      <c r="F386" s="3" t="s">
        <v>79</v>
      </c>
      <c r="G386" s="3" t="s">
        <v>80</v>
      </c>
      <c r="H386" s="3" t="s">
        <v>28</v>
      </c>
      <c r="I386" s="3" t="s">
        <v>86</v>
      </c>
      <c r="J386" s="6">
        <v>43684</v>
      </c>
      <c r="K386" s="3" t="s">
        <v>30</v>
      </c>
      <c r="L386" s="3" t="s">
        <v>31</v>
      </c>
      <c r="M386" s="3">
        <v>55000</v>
      </c>
      <c r="N386" s="3">
        <v>25</v>
      </c>
      <c r="O386" s="3">
        <v>98</v>
      </c>
      <c r="P386" s="3">
        <v>8</v>
      </c>
      <c r="Q386" s="3">
        <v>11</v>
      </c>
      <c r="R386" s="3">
        <v>4</v>
      </c>
      <c r="S386" s="3">
        <v>12</v>
      </c>
      <c r="T386" s="3">
        <v>3</v>
      </c>
      <c r="U386" s="3" t="s">
        <v>41</v>
      </c>
      <c r="V386" s="3">
        <v>4583</v>
      </c>
      <c r="W386" s="3">
        <v>7</v>
      </c>
      <c r="X386" s="3" t="s">
        <v>54</v>
      </c>
      <c r="Y386" s="7" t="s">
        <v>42</v>
      </c>
    </row>
    <row r="387" spans="1:25" x14ac:dyDescent="0.3">
      <c r="A387" s="5" t="s">
        <v>659</v>
      </c>
      <c r="B387" s="3" t="s">
        <v>315</v>
      </c>
      <c r="C387" s="3" t="s">
        <v>24</v>
      </c>
      <c r="D387" s="3">
        <v>38</v>
      </c>
      <c r="E387" s="3" t="s">
        <v>90</v>
      </c>
      <c r="F387" s="3" t="s">
        <v>79</v>
      </c>
      <c r="G387" s="3" t="s">
        <v>39</v>
      </c>
      <c r="H387" s="3" t="s">
        <v>28</v>
      </c>
      <c r="I387" s="3" t="s">
        <v>40</v>
      </c>
      <c r="J387" s="6">
        <v>44168</v>
      </c>
      <c r="K387" s="3" t="s">
        <v>30</v>
      </c>
      <c r="L387" s="3" t="s">
        <v>31</v>
      </c>
      <c r="M387" s="3">
        <v>38500</v>
      </c>
      <c r="N387" s="3">
        <v>17</v>
      </c>
      <c r="O387" s="3">
        <v>90.5</v>
      </c>
      <c r="P387" s="3">
        <v>1</v>
      </c>
      <c r="Q387" s="3">
        <v>14</v>
      </c>
      <c r="R387" s="3">
        <v>4</v>
      </c>
      <c r="S387" s="3">
        <v>19</v>
      </c>
      <c r="T387" s="3">
        <v>23</v>
      </c>
      <c r="U387" s="3" t="s">
        <v>94</v>
      </c>
      <c r="V387" s="3">
        <v>3208</v>
      </c>
      <c r="W387" s="3">
        <v>5.7</v>
      </c>
      <c r="X387" s="3" t="s">
        <v>108</v>
      </c>
      <c r="Y387" s="7" t="s">
        <v>42</v>
      </c>
    </row>
    <row r="388" spans="1:25" x14ac:dyDescent="0.3">
      <c r="A388" s="5" t="s">
        <v>660</v>
      </c>
      <c r="B388" s="3" t="s">
        <v>661</v>
      </c>
      <c r="C388" s="3" t="s">
        <v>24</v>
      </c>
      <c r="D388" s="3">
        <v>23</v>
      </c>
      <c r="E388" s="3" t="s">
        <v>160</v>
      </c>
      <c r="F388" s="3" t="s">
        <v>72</v>
      </c>
      <c r="G388" s="3" t="s">
        <v>80</v>
      </c>
      <c r="H388" s="3" t="s">
        <v>28</v>
      </c>
      <c r="I388" s="3" t="s">
        <v>73</v>
      </c>
      <c r="J388" s="6">
        <v>44214</v>
      </c>
      <c r="K388" s="3" t="s">
        <v>30</v>
      </c>
      <c r="L388" s="3" t="s">
        <v>31</v>
      </c>
      <c r="M388" s="3">
        <v>56500</v>
      </c>
      <c r="N388" s="3">
        <v>2</v>
      </c>
      <c r="O388" s="3">
        <v>85.6</v>
      </c>
      <c r="P388" s="3">
        <v>4</v>
      </c>
      <c r="Q388" s="3">
        <v>11</v>
      </c>
      <c r="R388" s="3">
        <v>1</v>
      </c>
      <c r="S388" s="3">
        <v>30</v>
      </c>
      <c r="T388" s="3">
        <v>22</v>
      </c>
      <c r="U388" s="3" t="s">
        <v>130</v>
      </c>
      <c r="V388" s="3">
        <v>4708</v>
      </c>
      <c r="W388" s="3">
        <v>5.5</v>
      </c>
      <c r="X388" s="3" t="s">
        <v>48</v>
      </c>
      <c r="Y388" s="7" t="s">
        <v>55</v>
      </c>
    </row>
    <row r="389" spans="1:25" x14ac:dyDescent="0.3">
      <c r="A389" s="5" t="s">
        <v>662</v>
      </c>
      <c r="B389" s="3" t="s">
        <v>663</v>
      </c>
      <c r="C389" s="3" t="s">
        <v>58</v>
      </c>
      <c r="D389" s="3">
        <v>26</v>
      </c>
      <c r="E389" s="3" t="s">
        <v>160</v>
      </c>
      <c r="F389" s="3" t="s">
        <v>72</v>
      </c>
      <c r="G389" s="3" t="s">
        <v>46</v>
      </c>
      <c r="H389" s="3" t="s">
        <v>28</v>
      </c>
      <c r="I389" s="3" t="s">
        <v>47</v>
      </c>
      <c r="J389" s="6">
        <v>44257</v>
      </c>
      <c r="K389" s="3" t="s">
        <v>30</v>
      </c>
      <c r="L389" s="3" t="s">
        <v>53</v>
      </c>
      <c r="M389" s="3">
        <v>86400</v>
      </c>
      <c r="N389" s="3">
        <v>6</v>
      </c>
      <c r="O389" s="3">
        <v>94</v>
      </c>
      <c r="P389" s="3">
        <v>1</v>
      </c>
      <c r="Q389" s="3">
        <v>15</v>
      </c>
      <c r="R389" s="3">
        <v>3</v>
      </c>
      <c r="S389" s="3">
        <v>25</v>
      </c>
      <c r="T389" s="3">
        <v>30</v>
      </c>
      <c r="U389" s="3" t="s">
        <v>32</v>
      </c>
      <c r="V389" s="3">
        <v>7200</v>
      </c>
      <c r="W389" s="3">
        <v>5.4</v>
      </c>
      <c r="X389" s="3" t="s">
        <v>95</v>
      </c>
      <c r="Y389" s="7" t="s">
        <v>42</v>
      </c>
    </row>
    <row r="390" spans="1:25" x14ac:dyDescent="0.3">
      <c r="A390" s="5" t="s">
        <v>664</v>
      </c>
      <c r="B390" s="3" t="s">
        <v>375</v>
      </c>
      <c r="C390" s="3" t="s">
        <v>58</v>
      </c>
      <c r="D390" s="3">
        <v>42</v>
      </c>
      <c r="E390" s="3" t="s">
        <v>118</v>
      </c>
      <c r="F390" s="3" t="s">
        <v>91</v>
      </c>
      <c r="G390" s="3" t="s">
        <v>39</v>
      </c>
      <c r="H390" s="3" t="s">
        <v>28</v>
      </c>
      <c r="I390" s="3" t="s">
        <v>40</v>
      </c>
      <c r="J390" s="6">
        <v>44285</v>
      </c>
      <c r="K390" s="3" t="s">
        <v>30</v>
      </c>
      <c r="L390" s="3" t="s">
        <v>31</v>
      </c>
      <c r="M390" s="3">
        <v>25500</v>
      </c>
      <c r="N390" s="3">
        <v>19</v>
      </c>
      <c r="O390" s="3">
        <v>100</v>
      </c>
      <c r="P390" s="3">
        <v>4</v>
      </c>
      <c r="Q390" s="3">
        <v>7</v>
      </c>
      <c r="R390" s="3">
        <v>0</v>
      </c>
      <c r="S390" s="3">
        <v>27</v>
      </c>
      <c r="T390" s="3">
        <v>15</v>
      </c>
      <c r="U390" s="3" t="s">
        <v>94</v>
      </c>
      <c r="V390" s="3">
        <v>2125</v>
      </c>
      <c r="W390" s="3">
        <v>5.3</v>
      </c>
      <c r="X390" s="3" t="s">
        <v>62</v>
      </c>
      <c r="Y390" s="7" t="s">
        <v>75</v>
      </c>
    </row>
    <row r="391" spans="1:25" x14ac:dyDescent="0.3">
      <c r="A391" s="5" t="s">
        <v>665</v>
      </c>
      <c r="B391" s="3" t="s">
        <v>64</v>
      </c>
      <c r="C391" s="3" t="s">
        <v>58</v>
      </c>
      <c r="D391" s="3">
        <v>36</v>
      </c>
      <c r="E391" s="3" t="s">
        <v>118</v>
      </c>
      <c r="F391" s="3" t="s">
        <v>72</v>
      </c>
      <c r="G391" s="3" t="s">
        <v>80</v>
      </c>
      <c r="H391" s="3" t="s">
        <v>28</v>
      </c>
      <c r="I391" s="3" t="s">
        <v>47</v>
      </c>
      <c r="J391" s="6">
        <v>44868</v>
      </c>
      <c r="K391" s="3" t="s">
        <v>87</v>
      </c>
      <c r="L391" s="3" t="s">
        <v>93</v>
      </c>
      <c r="M391" s="3">
        <v>63100</v>
      </c>
      <c r="N391" s="3">
        <v>13</v>
      </c>
      <c r="O391" s="3">
        <v>88.7</v>
      </c>
      <c r="P391" s="3">
        <v>6</v>
      </c>
      <c r="Q391" s="3">
        <v>7</v>
      </c>
      <c r="R391" s="3">
        <v>1</v>
      </c>
      <c r="S391" s="3">
        <v>26</v>
      </c>
      <c r="T391" s="3">
        <v>18</v>
      </c>
      <c r="U391" s="3" t="s">
        <v>123</v>
      </c>
      <c r="V391" s="3">
        <v>5258</v>
      </c>
      <c r="W391" s="3">
        <v>3.7</v>
      </c>
      <c r="X391" s="3" t="s">
        <v>108</v>
      </c>
      <c r="Y391" s="7" t="s">
        <v>75</v>
      </c>
    </row>
    <row r="392" spans="1:25" x14ac:dyDescent="0.3">
      <c r="A392" s="5" t="s">
        <v>666</v>
      </c>
      <c r="B392" s="3" t="s">
        <v>400</v>
      </c>
      <c r="C392" s="3" t="s">
        <v>24</v>
      </c>
      <c r="D392" s="3">
        <v>30</v>
      </c>
      <c r="E392" s="3" t="s">
        <v>59</v>
      </c>
      <c r="F392" s="3" t="s">
        <v>52</v>
      </c>
      <c r="G392" s="3" t="s">
        <v>80</v>
      </c>
      <c r="H392" s="3" t="s">
        <v>28</v>
      </c>
      <c r="I392" s="3" t="s">
        <v>40</v>
      </c>
      <c r="J392" s="6">
        <v>43480</v>
      </c>
      <c r="K392" s="3" t="s">
        <v>30</v>
      </c>
      <c r="L392" s="3" t="s">
        <v>53</v>
      </c>
      <c r="M392" s="3">
        <v>46300</v>
      </c>
      <c r="N392" s="3">
        <v>8</v>
      </c>
      <c r="O392" s="3">
        <v>85.8</v>
      </c>
      <c r="P392" s="3">
        <v>6</v>
      </c>
      <c r="Q392" s="3">
        <v>13</v>
      </c>
      <c r="R392" s="3">
        <v>2</v>
      </c>
      <c r="S392" s="3">
        <v>24</v>
      </c>
      <c r="T392" s="3">
        <v>30</v>
      </c>
      <c r="U392" s="3" t="s">
        <v>41</v>
      </c>
      <c r="V392" s="3">
        <v>3858</v>
      </c>
      <c r="W392" s="3">
        <v>7.5</v>
      </c>
      <c r="X392" s="3" t="s">
        <v>33</v>
      </c>
      <c r="Y392" s="7" t="s">
        <v>42</v>
      </c>
    </row>
    <row r="393" spans="1:25" x14ac:dyDescent="0.3">
      <c r="A393" s="5" t="s">
        <v>667</v>
      </c>
      <c r="B393" s="3" t="s">
        <v>668</v>
      </c>
      <c r="C393" s="3" t="s">
        <v>58</v>
      </c>
      <c r="D393" s="3">
        <v>25</v>
      </c>
      <c r="E393" s="3" t="s">
        <v>71</v>
      </c>
      <c r="F393" s="3" t="s">
        <v>60</v>
      </c>
      <c r="G393" s="3" t="s">
        <v>39</v>
      </c>
      <c r="H393" s="3" t="s">
        <v>28</v>
      </c>
      <c r="I393" s="3" t="s">
        <v>86</v>
      </c>
      <c r="J393" s="6">
        <v>44385</v>
      </c>
      <c r="K393" s="3" t="s">
        <v>30</v>
      </c>
      <c r="L393" s="3" t="s">
        <v>31</v>
      </c>
      <c r="M393" s="3">
        <v>48100</v>
      </c>
      <c r="N393" s="3">
        <v>6</v>
      </c>
      <c r="O393" s="3">
        <v>88.1</v>
      </c>
      <c r="P393" s="3">
        <v>6</v>
      </c>
      <c r="Q393" s="3">
        <v>6</v>
      </c>
      <c r="R393" s="3">
        <v>2</v>
      </c>
      <c r="S393" s="3">
        <v>15</v>
      </c>
      <c r="T393" s="3">
        <v>13</v>
      </c>
      <c r="U393" s="3" t="s">
        <v>74</v>
      </c>
      <c r="V393" s="3">
        <v>4008</v>
      </c>
      <c r="W393" s="3">
        <v>5.0999999999999996</v>
      </c>
      <c r="X393" s="3" t="s">
        <v>95</v>
      </c>
      <c r="Y393" s="7" t="s">
        <v>42</v>
      </c>
    </row>
    <row r="394" spans="1:25" x14ac:dyDescent="0.3">
      <c r="A394" s="5" t="s">
        <v>669</v>
      </c>
      <c r="B394" s="3" t="s">
        <v>456</v>
      </c>
      <c r="C394" s="3" t="s">
        <v>24</v>
      </c>
      <c r="D394" s="3">
        <v>32</v>
      </c>
      <c r="E394" s="3" t="s">
        <v>65</v>
      </c>
      <c r="F394" s="3" t="s">
        <v>26</v>
      </c>
      <c r="G394" s="3" t="s">
        <v>46</v>
      </c>
      <c r="H394" s="3" t="s">
        <v>28</v>
      </c>
      <c r="I394" s="3" t="s">
        <v>29</v>
      </c>
      <c r="J394" s="6">
        <v>44507</v>
      </c>
      <c r="K394" s="3" t="s">
        <v>61</v>
      </c>
      <c r="L394" s="3" t="s">
        <v>31</v>
      </c>
      <c r="M394" s="3">
        <v>64500</v>
      </c>
      <c r="N394" s="3">
        <v>9</v>
      </c>
      <c r="O394" s="3">
        <v>82.3</v>
      </c>
      <c r="P394" s="3">
        <v>4</v>
      </c>
      <c r="Q394" s="3">
        <v>5</v>
      </c>
      <c r="R394" s="3">
        <v>1</v>
      </c>
      <c r="S394" s="3">
        <v>17</v>
      </c>
      <c r="T394" s="3">
        <v>28</v>
      </c>
      <c r="U394" s="3" t="s">
        <v>32</v>
      </c>
      <c r="V394" s="3">
        <v>5375</v>
      </c>
      <c r="W394" s="3">
        <v>4.7</v>
      </c>
      <c r="X394" s="3" t="s">
        <v>33</v>
      </c>
      <c r="Y394" s="7" t="s">
        <v>42</v>
      </c>
    </row>
    <row r="395" spans="1:25" x14ac:dyDescent="0.3">
      <c r="A395" s="5" t="s">
        <v>670</v>
      </c>
      <c r="B395" s="3" t="s">
        <v>70</v>
      </c>
      <c r="C395" s="3" t="s">
        <v>58</v>
      </c>
      <c r="D395" s="3">
        <v>31</v>
      </c>
      <c r="E395" s="3" t="s">
        <v>71</v>
      </c>
      <c r="F395" s="3" t="s">
        <v>52</v>
      </c>
      <c r="G395" s="3" t="s">
        <v>27</v>
      </c>
      <c r="H395" s="3" t="s">
        <v>28</v>
      </c>
      <c r="I395" s="3" t="s">
        <v>92</v>
      </c>
      <c r="J395" s="6">
        <v>43469</v>
      </c>
      <c r="K395" s="3" t="s">
        <v>87</v>
      </c>
      <c r="L395" s="3" t="s">
        <v>31</v>
      </c>
      <c r="M395" s="3">
        <v>92900</v>
      </c>
      <c r="N395" s="3">
        <v>12</v>
      </c>
      <c r="O395" s="3">
        <v>92.5</v>
      </c>
      <c r="P395" s="3">
        <v>6</v>
      </c>
      <c r="Q395" s="3">
        <v>8</v>
      </c>
      <c r="R395" s="3">
        <v>0</v>
      </c>
      <c r="S395" s="3">
        <v>12</v>
      </c>
      <c r="T395" s="3">
        <v>7</v>
      </c>
      <c r="U395" s="3" t="s">
        <v>104</v>
      </c>
      <c r="V395" s="3">
        <v>7742</v>
      </c>
      <c r="W395" s="3">
        <v>7.6</v>
      </c>
      <c r="X395" s="3" t="s">
        <v>33</v>
      </c>
      <c r="Y395" s="7" t="s">
        <v>75</v>
      </c>
    </row>
    <row r="396" spans="1:25" x14ac:dyDescent="0.3">
      <c r="A396" s="5" t="s">
        <v>671</v>
      </c>
      <c r="B396" s="3" t="s">
        <v>70</v>
      </c>
      <c r="C396" s="3" t="s">
        <v>24</v>
      </c>
      <c r="D396" s="3">
        <v>49</v>
      </c>
      <c r="E396" s="3" t="s">
        <v>78</v>
      </c>
      <c r="F396" s="3" t="s">
        <v>72</v>
      </c>
      <c r="G396" s="3" t="s">
        <v>46</v>
      </c>
      <c r="H396" s="3" t="s">
        <v>28</v>
      </c>
      <c r="I396" s="3" t="s">
        <v>107</v>
      </c>
      <c r="J396" s="6">
        <v>44201</v>
      </c>
      <c r="K396" s="3" t="s">
        <v>30</v>
      </c>
      <c r="L396" s="3" t="s">
        <v>53</v>
      </c>
      <c r="M396" s="3">
        <v>80100</v>
      </c>
      <c r="N396" s="3">
        <v>25</v>
      </c>
      <c r="O396" s="3">
        <v>83.2</v>
      </c>
      <c r="P396" s="3">
        <v>5</v>
      </c>
      <c r="Q396" s="3">
        <v>13</v>
      </c>
      <c r="R396" s="3">
        <v>4</v>
      </c>
      <c r="S396" s="3">
        <v>28</v>
      </c>
      <c r="T396" s="3">
        <v>8</v>
      </c>
      <c r="U396" s="3" t="s">
        <v>32</v>
      </c>
      <c r="V396" s="3">
        <v>6675</v>
      </c>
      <c r="W396" s="3">
        <v>5.6</v>
      </c>
      <c r="X396" s="3" t="s">
        <v>54</v>
      </c>
      <c r="Y396" s="7" t="s">
        <v>42</v>
      </c>
    </row>
    <row r="397" spans="1:25" x14ac:dyDescent="0.3">
      <c r="A397" s="5" t="s">
        <v>672</v>
      </c>
      <c r="B397" s="3" t="s">
        <v>180</v>
      </c>
      <c r="C397" s="3" t="s">
        <v>24</v>
      </c>
      <c r="D397" s="3">
        <v>44</v>
      </c>
      <c r="E397" s="3" t="s">
        <v>71</v>
      </c>
      <c r="F397" s="3" t="s">
        <v>52</v>
      </c>
      <c r="G397" s="3" t="s">
        <v>46</v>
      </c>
      <c r="H397" s="3" t="s">
        <v>28</v>
      </c>
      <c r="I397" s="3" t="s">
        <v>107</v>
      </c>
      <c r="J397" s="6">
        <v>45357</v>
      </c>
      <c r="K397" s="3" t="s">
        <v>30</v>
      </c>
      <c r="L397" s="3" t="s">
        <v>53</v>
      </c>
      <c r="M397" s="3">
        <v>59300</v>
      </c>
      <c r="N397" s="3">
        <v>25</v>
      </c>
      <c r="O397" s="3">
        <v>94.2</v>
      </c>
      <c r="P397" s="3">
        <v>6</v>
      </c>
      <c r="Q397" s="3">
        <v>3</v>
      </c>
      <c r="R397" s="3">
        <v>4</v>
      </c>
      <c r="S397" s="3">
        <v>2</v>
      </c>
      <c r="T397" s="3">
        <v>17</v>
      </c>
      <c r="U397" s="3" t="s">
        <v>41</v>
      </c>
      <c r="V397" s="3">
        <v>4942</v>
      </c>
      <c r="W397" s="3">
        <v>2.4</v>
      </c>
      <c r="X397" s="3" t="s">
        <v>62</v>
      </c>
      <c r="Y397" s="7" t="s">
        <v>42</v>
      </c>
    </row>
    <row r="398" spans="1:25" x14ac:dyDescent="0.3">
      <c r="A398" s="5" t="s">
        <v>673</v>
      </c>
      <c r="B398" s="3" t="s">
        <v>151</v>
      </c>
      <c r="C398" s="3" t="s">
        <v>58</v>
      </c>
      <c r="D398" s="3">
        <v>24</v>
      </c>
      <c r="E398" s="3" t="s">
        <v>90</v>
      </c>
      <c r="F398" s="3" t="s">
        <v>72</v>
      </c>
      <c r="G398" s="3" t="s">
        <v>46</v>
      </c>
      <c r="H398" s="3" t="s">
        <v>28</v>
      </c>
      <c r="I398" s="3" t="s">
        <v>29</v>
      </c>
      <c r="J398" s="6">
        <v>44137</v>
      </c>
      <c r="K398" s="3" t="s">
        <v>30</v>
      </c>
      <c r="L398" s="3" t="s">
        <v>31</v>
      </c>
      <c r="M398" s="3">
        <v>92800</v>
      </c>
      <c r="N398" s="3">
        <v>1</v>
      </c>
      <c r="O398" s="3">
        <v>89.7</v>
      </c>
      <c r="P398" s="3">
        <v>4</v>
      </c>
      <c r="Q398" s="3">
        <v>3</v>
      </c>
      <c r="R398" s="3">
        <v>3</v>
      </c>
      <c r="S398" s="3">
        <v>2</v>
      </c>
      <c r="T398" s="3">
        <v>26</v>
      </c>
      <c r="U398" s="3" t="s">
        <v>94</v>
      </c>
      <c r="V398" s="3">
        <v>7733</v>
      </c>
      <c r="W398" s="3">
        <v>5.7</v>
      </c>
      <c r="X398" s="3" t="s">
        <v>48</v>
      </c>
      <c r="Y398" s="7" t="s">
        <v>55</v>
      </c>
    </row>
    <row r="399" spans="1:25" x14ac:dyDescent="0.3">
      <c r="A399" s="5" t="s">
        <v>674</v>
      </c>
      <c r="B399" s="3" t="s">
        <v>675</v>
      </c>
      <c r="C399" s="3" t="s">
        <v>58</v>
      </c>
      <c r="D399" s="3">
        <v>43</v>
      </c>
      <c r="E399" s="3" t="s">
        <v>160</v>
      </c>
      <c r="F399" s="3" t="s">
        <v>91</v>
      </c>
      <c r="G399" s="3" t="s">
        <v>80</v>
      </c>
      <c r="H399" s="3" t="s">
        <v>28</v>
      </c>
      <c r="I399" s="3" t="s">
        <v>29</v>
      </c>
      <c r="J399" s="6">
        <v>45045</v>
      </c>
      <c r="K399" s="3" t="s">
        <v>30</v>
      </c>
      <c r="L399" s="3" t="s">
        <v>53</v>
      </c>
      <c r="M399" s="3">
        <v>40600</v>
      </c>
      <c r="N399" s="3">
        <v>21</v>
      </c>
      <c r="O399" s="3">
        <v>94.5</v>
      </c>
      <c r="P399" s="3">
        <v>1</v>
      </c>
      <c r="Q399" s="3">
        <v>15</v>
      </c>
      <c r="R399" s="3">
        <v>1</v>
      </c>
      <c r="S399" s="3">
        <v>5</v>
      </c>
      <c r="T399" s="3">
        <v>28</v>
      </c>
      <c r="U399" s="3" t="s">
        <v>104</v>
      </c>
      <c r="V399" s="3">
        <v>3383</v>
      </c>
      <c r="W399" s="3">
        <v>3.3</v>
      </c>
      <c r="X399" s="3" t="s">
        <v>62</v>
      </c>
      <c r="Y399" s="7" t="s">
        <v>75</v>
      </c>
    </row>
    <row r="400" spans="1:25" x14ac:dyDescent="0.3">
      <c r="A400" s="5" t="s">
        <v>676</v>
      </c>
      <c r="B400" s="3" t="s">
        <v>661</v>
      </c>
      <c r="C400" s="3" t="s">
        <v>24</v>
      </c>
      <c r="D400" s="3">
        <v>46</v>
      </c>
      <c r="E400" s="3" t="s">
        <v>137</v>
      </c>
      <c r="F400" s="3" t="s">
        <v>66</v>
      </c>
      <c r="G400" s="3" t="s">
        <v>39</v>
      </c>
      <c r="H400" s="3" t="s">
        <v>67</v>
      </c>
      <c r="I400" s="3" t="s">
        <v>68</v>
      </c>
      <c r="J400" s="6">
        <v>44694</v>
      </c>
      <c r="K400" s="3" t="s">
        <v>30</v>
      </c>
      <c r="L400" s="3" t="s">
        <v>53</v>
      </c>
      <c r="M400" s="3">
        <v>28300</v>
      </c>
      <c r="N400" s="3">
        <v>22</v>
      </c>
      <c r="O400" s="3">
        <v>89.7</v>
      </c>
      <c r="P400" s="3">
        <v>8</v>
      </c>
      <c r="Q400" s="3">
        <v>5</v>
      </c>
      <c r="R400" s="3">
        <v>3</v>
      </c>
      <c r="S400" s="3">
        <v>14</v>
      </c>
      <c r="T400" s="3">
        <v>14</v>
      </c>
      <c r="U400" s="3" t="s">
        <v>123</v>
      </c>
      <c r="V400" s="3">
        <v>2358</v>
      </c>
      <c r="W400" s="3">
        <v>4.2</v>
      </c>
      <c r="X400" s="3" t="s">
        <v>54</v>
      </c>
      <c r="Y400" s="7" t="s">
        <v>42</v>
      </c>
    </row>
    <row r="401" spans="1:25" x14ac:dyDescent="0.3">
      <c r="A401" s="5" t="s">
        <v>677</v>
      </c>
      <c r="B401" s="3" t="s">
        <v>368</v>
      </c>
      <c r="C401" s="3" t="s">
        <v>24</v>
      </c>
      <c r="D401" s="3">
        <v>29</v>
      </c>
      <c r="E401" s="3" t="s">
        <v>118</v>
      </c>
      <c r="F401" s="3" t="s">
        <v>38</v>
      </c>
      <c r="G401" s="3" t="s">
        <v>27</v>
      </c>
      <c r="H401" s="3" t="s">
        <v>28</v>
      </c>
      <c r="I401" s="3" t="s">
        <v>73</v>
      </c>
      <c r="J401" s="6">
        <v>45022</v>
      </c>
      <c r="K401" s="3" t="s">
        <v>61</v>
      </c>
      <c r="L401" s="3" t="s">
        <v>53</v>
      </c>
      <c r="M401" s="3">
        <v>91700</v>
      </c>
      <c r="N401" s="3">
        <v>7</v>
      </c>
      <c r="O401" s="3">
        <v>93.4</v>
      </c>
      <c r="P401" s="3">
        <v>1</v>
      </c>
      <c r="Q401" s="3">
        <v>15</v>
      </c>
      <c r="R401" s="3">
        <v>2</v>
      </c>
      <c r="S401" s="3">
        <v>18</v>
      </c>
      <c r="T401" s="3">
        <v>3</v>
      </c>
      <c r="U401" s="3" t="s">
        <v>94</v>
      </c>
      <c r="V401" s="3">
        <v>7642</v>
      </c>
      <c r="W401" s="3">
        <v>3.3</v>
      </c>
      <c r="X401" s="3" t="s">
        <v>95</v>
      </c>
      <c r="Y401" s="7" t="s">
        <v>55</v>
      </c>
    </row>
    <row r="402" spans="1:25" x14ac:dyDescent="0.3">
      <c r="A402" s="5" t="s">
        <v>678</v>
      </c>
      <c r="B402" s="3" t="s">
        <v>651</v>
      </c>
      <c r="C402" s="3" t="s">
        <v>24</v>
      </c>
      <c r="D402" s="3">
        <v>30</v>
      </c>
      <c r="E402" s="3" t="s">
        <v>118</v>
      </c>
      <c r="F402" s="3" t="s">
        <v>52</v>
      </c>
      <c r="G402" s="3" t="s">
        <v>39</v>
      </c>
      <c r="H402" s="3" t="s">
        <v>28</v>
      </c>
      <c r="I402" s="3" t="s">
        <v>73</v>
      </c>
      <c r="J402" s="6">
        <v>43125</v>
      </c>
      <c r="K402" s="3" t="s">
        <v>30</v>
      </c>
      <c r="L402" s="3" t="s">
        <v>31</v>
      </c>
      <c r="M402" s="3">
        <v>35300</v>
      </c>
      <c r="N402" s="3">
        <v>11</v>
      </c>
      <c r="O402" s="3">
        <v>86.1</v>
      </c>
      <c r="P402" s="3">
        <v>2</v>
      </c>
      <c r="Q402" s="3">
        <v>0</v>
      </c>
      <c r="R402" s="3">
        <v>4</v>
      </c>
      <c r="S402" s="3">
        <v>2</v>
      </c>
      <c r="T402" s="3">
        <v>23</v>
      </c>
      <c r="U402" s="3" t="s">
        <v>41</v>
      </c>
      <c r="V402" s="3">
        <v>2942</v>
      </c>
      <c r="W402" s="3">
        <v>8.5</v>
      </c>
      <c r="X402" s="3" t="s">
        <v>33</v>
      </c>
      <c r="Y402" s="7" t="s">
        <v>42</v>
      </c>
    </row>
    <row r="403" spans="1:25" x14ac:dyDescent="0.3">
      <c r="A403" s="5" t="s">
        <v>679</v>
      </c>
      <c r="B403" s="3" t="s">
        <v>492</v>
      </c>
      <c r="C403" s="3" t="s">
        <v>58</v>
      </c>
      <c r="D403" s="3">
        <v>28</v>
      </c>
      <c r="E403" s="3" t="s">
        <v>137</v>
      </c>
      <c r="F403" s="3" t="s">
        <v>72</v>
      </c>
      <c r="G403" s="3" t="s">
        <v>39</v>
      </c>
      <c r="H403" s="3" t="s">
        <v>122</v>
      </c>
      <c r="I403" s="3" t="s">
        <v>47</v>
      </c>
      <c r="J403" s="6">
        <v>43646</v>
      </c>
      <c r="K403" s="3" t="s">
        <v>30</v>
      </c>
      <c r="L403" s="3" t="s">
        <v>93</v>
      </c>
      <c r="M403" s="3">
        <v>42100</v>
      </c>
      <c r="N403" s="3">
        <v>6</v>
      </c>
      <c r="O403" s="3">
        <v>92.4</v>
      </c>
      <c r="P403" s="3">
        <v>8</v>
      </c>
      <c r="Q403" s="3">
        <v>1</v>
      </c>
      <c r="R403" s="3">
        <v>4</v>
      </c>
      <c r="S403" s="3">
        <v>20</v>
      </c>
      <c r="T403" s="3">
        <v>23</v>
      </c>
      <c r="U403" s="3" t="s">
        <v>94</v>
      </c>
      <c r="V403" s="3">
        <v>3508</v>
      </c>
      <c r="W403" s="3">
        <v>7.1</v>
      </c>
      <c r="X403" s="3" t="s">
        <v>95</v>
      </c>
      <c r="Y403" s="7" t="s">
        <v>75</v>
      </c>
    </row>
    <row r="404" spans="1:25" x14ac:dyDescent="0.3">
      <c r="A404" s="5" t="s">
        <v>680</v>
      </c>
      <c r="B404" s="3" t="s">
        <v>266</v>
      </c>
      <c r="C404" s="3" t="s">
        <v>24</v>
      </c>
      <c r="D404" s="3">
        <v>45</v>
      </c>
      <c r="E404" s="3" t="s">
        <v>118</v>
      </c>
      <c r="F404" s="3" t="s">
        <v>91</v>
      </c>
      <c r="G404" s="3" t="s">
        <v>46</v>
      </c>
      <c r="H404" s="3" t="s">
        <v>28</v>
      </c>
      <c r="I404" s="3" t="s">
        <v>40</v>
      </c>
      <c r="J404" s="6">
        <v>44264</v>
      </c>
      <c r="K404" s="3" t="s">
        <v>30</v>
      </c>
      <c r="L404" s="3" t="s">
        <v>53</v>
      </c>
      <c r="M404" s="3">
        <v>53200</v>
      </c>
      <c r="N404" s="3">
        <v>26</v>
      </c>
      <c r="O404" s="3">
        <v>87.7</v>
      </c>
      <c r="P404" s="3">
        <v>1</v>
      </c>
      <c r="Q404" s="3">
        <v>1</v>
      </c>
      <c r="R404" s="3">
        <v>3</v>
      </c>
      <c r="S404" s="3">
        <v>28</v>
      </c>
      <c r="T404" s="3">
        <v>18</v>
      </c>
      <c r="U404" s="3" t="s">
        <v>32</v>
      </c>
      <c r="V404" s="3">
        <v>4433</v>
      </c>
      <c r="W404" s="3">
        <v>5.4</v>
      </c>
      <c r="X404" s="3" t="s">
        <v>54</v>
      </c>
      <c r="Y404" s="7" t="s">
        <v>55</v>
      </c>
    </row>
    <row r="405" spans="1:25" x14ac:dyDescent="0.3">
      <c r="A405" s="5" t="s">
        <v>681</v>
      </c>
      <c r="B405" s="3" t="s">
        <v>127</v>
      </c>
      <c r="C405" s="3" t="s">
        <v>24</v>
      </c>
      <c r="D405" s="3">
        <v>45</v>
      </c>
      <c r="E405" s="3" t="s">
        <v>45</v>
      </c>
      <c r="F405" s="3" t="s">
        <v>66</v>
      </c>
      <c r="G405" s="3" t="s">
        <v>39</v>
      </c>
      <c r="H405" s="3" t="s">
        <v>28</v>
      </c>
      <c r="I405" s="3" t="s">
        <v>29</v>
      </c>
      <c r="J405" s="6">
        <v>43375</v>
      </c>
      <c r="K405" s="3" t="s">
        <v>30</v>
      </c>
      <c r="L405" s="3" t="s">
        <v>31</v>
      </c>
      <c r="M405" s="3">
        <v>36200</v>
      </c>
      <c r="N405" s="3">
        <v>24</v>
      </c>
      <c r="O405" s="3">
        <v>94</v>
      </c>
      <c r="P405" s="3">
        <v>7</v>
      </c>
      <c r="Q405" s="3">
        <v>12</v>
      </c>
      <c r="R405" s="3">
        <v>1</v>
      </c>
      <c r="S405" s="3">
        <v>2</v>
      </c>
      <c r="T405" s="3">
        <v>30</v>
      </c>
      <c r="U405" s="3" t="s">
        <v>74</v>
      </c>
      <c r="V405" s="3">
        <v>3017</v>
      </c>
      <c r="W405" s="3">
        <v>7.8</v>
      </c>
      <c r="X405" s="3" t="s">
        <v>54</v>
      </c>
      <c r="Y405" s="7" t="s">
        <v>55</v>
      </c>
    </row>
    <row r="406" spans="1:25" x14ac:dyDescent="0.3">
      <c r="A406" s="5" t="s">
        <v>682</v>
      </c>
      <c r="B406" s="3" t="s">
        <v>477</v>
      </c>
      <c r="C406" s="3" t="s">
        <v>24</v>
      </c>
      <c r="D406" s="3">
        <v>32</v>
      </c>
      <c r="E406" s="3" t="s">
        <v>59</v>
      </c>
      <c r="F406" s="3" t="s">
        <v>52</v>
      </c>
      <c r="G406" s="3" t="s">
        <v>80</v>
      </c>
      <c r="H406" s="3" t="s">
        <v>28</v>
      </c>
      <c r="I406" s="3" t="s">
        <v>40</v>
      </c>
      <c r="J406" s="6">
        <v>46022</v>
      </c>
      <c r="K406" s="3" t="s">
        <v>30</v>
      </c>
      <c r="L406" s="3" t="s">
        <v>31</v>
      </c>
      <c r="M406" s="3">
        <v>47900</v>
      </c>
      <c r="N406" s="3">
        <v>13</v>
      </c>
      <c r="O406" s="3">
        <v>90.3</v>
      </c>
      <c r="P406" s="3">
        <v>2</v>
      </c>
      <c r="Q406" s="3">
        <v>9</v>
      </c>
      <c r="R406" s="3">
        <v>3</v>
      </c>
      <c r="S406" s="3">
        <v>20</v>
      </c>
      <c r="T406" s="3">
        <v>25</v>
      </c>
      <c r="U406" s="3" t="s">
        <v>74</v>
      </c>
      <c r="V406" s="3">
        <v>3992</v>
      </c>
      <c r="W406" s="3">
        <v>0.6</v>
      </c>
      <c r="X406" s="3" t="s">
        <v>33</v>
      </c>
      <c r="Y406" s="7" t="s">
        <v>55</v>
      </c>
    </row>
    <row r="407" spans="1:25" x14ac:dyDescent="0.3">
      <c r="A407" s="5" t="s">
        <v>683</v>
      </c>
      <c r="B407" s="3" t="s">
        <v>509</v>
      </c>
      <c r="C407" s="3" t="s">
        <v>58</v>
      </c>
      <c r="D407" s="3">
        <v>22</v>
      </c>
      <c r="E407" s="3" t="s">
        <v>78</v>
      </c>
      <c r="F407" s="3" t="s">
        <v>72</v>
      </c>
      <c r="G407" s="3" t="s">
        <v>122</v>
      </c>
      <c r="H407" s="3" t="s">
        <v>28</v>
      </c>
      <c r="I407" s="3" t="s">
        <v>47</v>
      </c>
      <c r="J407" s="6">
        <v>45370</v>
      </c>
      <c r="K407" s="3" t="s">
        <v>30</v>
      </c>
      <c r="L407" s="3" t="s">
        <v>31</v>
      </c>
      <c r="M407" s="3">
        <v>26400</v>
      </c>
      <c r="N407" s="3">
        <v>2</v>
      </c>
      <c r="O407" s="3">
        <v>96.5</v>
      </c>
      <c r="P407" s="3">
        <v>5</v>
      </c>
      <c r="Q407" s="3">
        <v>3</v>
      </c>
      <c r="R407" s="3">
        <v>2</v>
      </c>
      <c r="S407" s="3">
        <v>2</v>
      </c>
      <c r="T407" s="3">
        <v>6</v>
      </c>
      <c r="U407" s="3" t="s">
        <v>32</v>
      </c>
      <c r="V407" s="3">
        <v>2200</v>
      </c>
      <c r="W407" s="3">
        <v>2.4</v>
      </c>
      <c r="X407" s="3" t="s">
        <v>48</v>
      </c>
      <c r="Y407" s="7" t="s">
        <v>55</v>
      </c>
    </row>
    <row r="408" spans="1:25" x14ac:dyDescent="0.3">
      <c r="A408" s="5" t="s">
        <v>684</v>
      </c>
      <c r="B408" s="3" t="s">
        <v>129</v>
      </c>
      <c r="C408" s="3" t="s">
        <v>58</v>
      </c>
      <c r="D408" s="3">
        <v>36</v>
      </c>
      <c r="E408" s="3" t="s">
        <v>37</v>
      </c>
      <c r="F408" s="3" t="s">
        <v>52</v>
      </c>
      <c r="G408" s="3" t="s">
        <v>39</v>
      </c>
      <c r="H408" s="3" t="s">
        <v>28</v>
      </c>
      <c r="I408" s="3" t="s">
        <v>40</v>
      </c>
      <c r="J408" s="6">
        <v>46209</v>
      </c>
      <c r="K408" s="3" t="s">
        <v>30</v>
      </c>
      <c r="L408" s="3" t="s">
        <v>53</v>
      </c>
      <c r="M408" s="3">
        <v>34800</v>
      </c>
      <c r="N408" s="3">
        <v>14</v>
      </c>
      <c r="O408" s="3">
        <v>89.7</v>
      </c>
      <c r="P408" s="3">
        <v>8</v>
      </c>
      <c r="Q408" s="3">
        <v>15</v>
      </c>
      <c r="R408" s="3">
        <v>1</v>
      </c>
      <c r="S408" s="3">
        <v>17</v>
      </c>
      <c r="T408" s="3">
        <v>3</v>
      </c>
      <c r="U408" s="3" t="s">
        <v>41</v>
      </c>
      <c r="V408" s="3">
        <v>2900</v>
      </c>
      <c r="W408" s="3">
        <v>0.1</v>
      </c>
      <c r="X408" s="3" t="s">
        <v>108</v>
      </c>
      <c r="Y408" s="7" t="s">
        <v>55</v>
      </c>
    </row>
    <row r="409" spans="1:25" x14ac:dyDescent="0.3">
      <c r="A409" s="5" t="s">
        <v>685</v>
      </c>
      <c r="B409" s="3" t="s">
        <v>601</v>
      </c>
      <c r="C409" s="3" t="s">
        <v>58</v>
      </c>
      <c r="D409" s="3">
        <v>49</v>
      </c>
      <c r="E409" s="3" t="s">
        <v>65</v>
      </c>
      <c r="F409" s="3" t="s">
        <v>72</v>
      </c>
      <c r="G409" s="3" t="s">
        <v>39</v>
      </c>
      <c r="H409" s="3" t="s">
        <v>28</v>
      </c>
      <c r="I409" s="3" t="s">
        <v>73</v>
      </c>
      <c r="J409" s="6">
        <v>46023</v>
      </c>
      <c r="K409" s="3" t="s">
        <v>30</v>
      </c>
      <c r="L409" s="3" t="s">
        <v>31</v>
      </c>
      <c r="M409" s="3">
        <v>47600</v>
      </c>
      <c r="N409" s="3">
        <v>26</v>
      </c>
      <c r="O409" s="3">
        <v>87.3</v>
      </c>
      <c r="P409" s="3">
        <v>2</v>
      </c>
      <c r="Q409" s="3">
        <v>4</v>
      </c>
      <c r="R409" s="3">
        <v>2</v>
      </c>
      <c r="S409" s="3">
        <v>7</v>
      </c>
      <c r="T409" s="3">
        <v>22</v>
      </c>
      <c r="U409" s="3" t="s">
        <v>41</v>
      </c>
      <c r="V409" s="3">
        <v>3967</v>
      </c>
      <c r="W409" s="3">
        <v>0.6</v>
      </c>
      <c r="X409" s="3" t="s">
        <v>54</v>
      </c>
      <c r="Y409" s="7" t="s">
        <v>42</v>
      </c>
    </row>
    <row r="410" spans="1:25" x14ac:dyDescent="0.3">
      <c r="A410" s="5" t="s">
        <v>686</v>
      </c>
      <c r="B410" s="3" t="s">
        <v>687</v>
      </c>
      <c r="C410" s="3" t="s">
        <v>24</v>
      </c>
      <c r="D410" s="3">
        <v>49</v>
      </c>
      <c r="E410" s="3" t="s">
        <v>98</v>
      </c>
      <c r="F410" s="3" t="s">
        <v>38</v>
      </c>
      <c r="G410" s="3" t="s">
        <v>39</v>
      </c>
      <c r="H410" s="3" t="s">
        <v>28</v>
      </c>
      <c r="I410" s="3" t="s">
        <v>92</v>
      </c>
      <c r="J410" s="6">
        <v>44253</v>
      </c>
      <c r="K410" s="3" t="s">
        <v>30</v>
      </c>
      <c r="L410" s="3" t="s">
        <v>53</v>
      </c>
      <c r="M410" s="3">
        <v>28900</v>
      </c>
      <c r="N410" s="3">
        <v>28</v>
      </c>
      <c r="O410" s="3">
        <v>91.7</v>
      </c>
      <c r="P410" s="3">
        <v>8</v>
      </c>
      <c r="Q410" s="3">
        <v>12</v>
      </c>
      <c r="R410" s="3">
        <v>1</v>
      </c>
      <c r="S410" s="3">
        <v>15</v>
      </c>
      <c r="T410" s="3">
        <v>21</v>
      </c>
      <c r="U410" s="3" t="s">
        <v>41</v>
      </c>
      <c r="V410" s="3">
        <v>2408</v>
      </c>
      <c r="W410" s="3">
        <v>5.4</v>
      </c>
      <c r="X410" s="3" t="s">
        <v>54</v>
      </c>
      <c r="Y410" s="7" t="s">
        <v>42</v>
      </c>
    </row>
    <row r="411" spans="1:25" x14ac:dyDescent="0.3">
      <c r="A411" s="5" t="s">
        <v>688</v>
      </c>
      <c r="B411" s="3" t="s">
        <v>278</v>
      </c>
      <c r="C411" s="3" t="s">
        <v>58</v>
      </c>
      <c r="D411" s="3">
        <v>37</v>
      </c>
      <c r="E411" s="3" t="s">
        <v>83</v>
      </c>
      <c r="F411" s="3" t="s">
        <v>26</v>
      </c>
      <c r="G411" s="3" t="s">
        <v>46</v>
      </c>
      <c r="H411" s="3" t="s">
        <v>28</v>
      </c>
      <c r="I411" s="3" t="s">
        <v>107</v>
      </c>
      <c r="J411" s="6">
        <v>44447</v>
      </c>
      <c r="K411" s="3" t="s">
        <v>30</v>
      </c>
      <c r="L411" s="3" t="s">
        <v>31</v>
      </c>
      <c r="M411" s="3">
        <v>66300</v>
      </c>
      <c r="N411" s="3">
        <v>13</v>
      </c>
      <c r="O411" s="3">
        <v>100</v>
      </c>
      <c r="P411" s="3">
        <v>6</v>
      </c>
      <c r="Q411" s="3">
        <v>13</v>
      </c>
      <c r="R411" s="3">
        <v>3</v>
      </c>
      <c r="S411" s="3">
        <v>2</v>
      </c>
      <c r="T411" s="3">
        <v>24</v>
      </c>
      <c r="U411" s="3" t="s">
        <v>41</v>
      </c>
      <c r="V411" s="3">
        <v>5525</v>
      </c>
      <c r="W411" s="3">
        <v>4.9000000000000004</v>
      </c>
      <c r="X411" s="3" t="s">
        <v>108</v>
      </c>
      <c r="Y411" s="7" t="s">
        <v>55</v>
      </c>
    </row>
    <row r="412" spans="1:25" x14ac:dyDescent="0.3">
      <c r="A412" s="5" t="s">
        <v>689</v>
      </c>
      <c r="B412" s="3" t="s">
        <v>330</v>
      </c>
      <c r="C412" s="3" t="s">
        <v>24</v>
      </c>
      <c r="D412" s="3">
        <v>24</v>
      </c>
      <c r="E412" s="3" t="s">
        <v>78</v>
      </c>
      <c r="F412" s="3" t="s">
        <v>91</v>
      </c>
      <c r="G412" s="3" t="s">
        <v>27</v>
      </c>
      <c r="H412" s="3" t="s">
        <v>28</v>
      </c>
      <c r="I412" s="3" t="s">
        <v>68</v>
      </c>
      <c r="J412" s="6">
        <v>44557</v>
      </c>
      <c r="K412" s="3" t="s">
        <v>30</v>
      </c>
      <c r="L412" s="3" t="s">
        <v>53</v>
      </c>
      <c r="M412" s="3">
        <v>60100</v>
      </c>
      <c r="N412" s="3">
        <v>5</v>
      </c>
      <c r="O412" s="3">
        <v>96.4</v>
      </c>
      <c r="P412" s="3">
        <v>4</v>
      </c>
      <c r="Q412" s="3">
        <v>13</v>
      </c>
      <c r="R412" s="3">
        <v>0</v>
      </c>
      <c r="S412" s="3">
        <v>21</v>
      </c>
      <c r="T412" s="3">
        <v>27</v>
      </c>
      <c r="U412" s="3" t="s">
        <v>94</v>
      </c>
      <c r="V412" s="3">
        <v>5008</v>
      </c>
      <c r="W412" s="3">
        <v>4.5999999999999996</v>
      </c>
      <c r="X412" s="3" t="s">
        <v>48</v>
      </c>
      <c r="Y412" s="7" t="s">
        <v>42</v>
      </c>
    </row>
    <row r="413" spans="1:25" x14ac:dyDescent="0.3">
      <c r="A413" s="5" t="s">
        <v>690</v>
      </c>
      <c r="B413" s="3" t="s">
        <v>293</v>
      </c>
      <c r="C413" s="3" t="s">
        <v>24</v>
      </c>
      <c r="D413" s="3">
        <v>35</v>
      </c>
      <c r="E413" s="3" t="s">
        <v>51</v>
      </c>
      <c r="F413" s="3" t="s">
        <v>26</v>
      </c>
      <c r="G413" s="3" t="s">
        <v>80</v>
      </c>
      <c r="H413" s="3" t="s">
        <v>28</v>
      </c>
      <c r="I413" s="3" t="s">
        <v>47</v>
      </c>
      <c r="J413" s="6">
        <v>45366</v>
      </c>
      <c r="K413" s="3" t="s">
        <v>87</v>
      </c>
      <c r="L413" s="3" t="s">
        <v>93</v>
      </c>
      <c r="M413" s="3">
        <v>46500</v>
      </c>
      <c r="N413" s="3">
        <v>15</v>
      </c>
      <c r="O413" s="3">
        <v>87</v>
      </c>
      <c r="P413" s="3">
        <v>7</v>
      </c>
      <c r="Q413" s="3">
        <v>1</v>
      </c>
      <c r="R413" s="3">
        <v>3</v>
      </c>
      <c r="S413" s="3">
        <v>10</v>
      </c>
      <c r="T413" s="3">
        <v>25</v>
      </c>
      <c r="U413" s="3" t="s">
        <v>104</v>
      </c>
      <c r="V413" s="3">
        <v>3875</v>
      </c>
      <c r="W413" s="3">
        <v>2.4</v>
      </c>
      <c r="X413" s="3" t="s">
        <v>108</v>
      </c>
      <c r="Y413" s="7" t="s">
        <v>42</v>
      </c>
    </row>
    <row r="414" spans="1:25" x14ac:dyDescent="0.3">
      <c r="A414" s="5" t="s">
        <v>691</v>
      </c>
      <c r="B414" s="3" t="s">
        <v>495</v>
      </c>
      <c r="C414" s="3" t="s">
        <v>24</v>
      </c>
      <c r="D414" s="3">
        <v>49</v>
      </c>
      <c r="E414" s="3" t="s">
        <v>71</v>
      </c>
      <c r="F414" s="3" t="s">
        <v>60</v>
      </c>
      <c r="G414" s="3" t="s">
        <v>27</v>
      </c>
      <c r="H414" s="3" t="s">
        <v>28</v>
      </c>
      <c r="I414" s="3" t="s">
        <v>47</v>
      </c>
      <c r="J414" s="6">
        <v>44971</v>
      </c>
      <c r="K414" s="3" t="s">
        <v>61</v>
      </c>
      <c r="L414" s="3" t="s">
        <v>53</v>
      </c>
      <c r="M414" s="3">
        <v>107300</v>
      </c>
      <c r="N414" s="3">
        <v>28</v>
      </c>
      <c r="O414" s="3">
        <v>91</v>
      </c>
      <c r="P414" s="3">
        <v>5</v>
      </c>
      <c r="Q414" s="3">
        <v>7</v>
      </c>
      <c r="R414" s="3">
        <v>1</v>
      </c>
      <c r="S414" s="3">
        <v>15</v>
      </c>
      <c r="T414" s="3">
        <v>2</v>
      </c>
      <c r="U414" s="3" t="s">
        <v>123</v>
      </c>
      <c r="V414" s="3">
        <v>8942</v>
      </c>
      <c r="W414" s="3">
        <v>3.5</v>
      </c>
      <c r="X414" s="3" t="s">
        <v>54</v>
      </c>
      <c r="Y414" s="7" t="s">
        <v>42</v>
      </c>
    </row>
    <row r="415" spans="1:25" x14ac:dyDescent="0.3">
      <c r="A415" s="5" t="s">
        <v>692</v>
      </c>
      <c r="B415" s="3" t="s">
        <v>687</v>
      </c>
      <c r="C415" s="3" t="s">
        <v>58</v>
      </c>
      <c r="D415" s="3">
        <v>45</v>
      </c>
      <c r="E415" s="3" t="s">
        <v>59</v>
      </c>
      <c r="F415" s="3" t="s">
        <v>60</v>
      </c>
      <c r="G415" s="3" t="s">
        <v>39</v>
      </c>
      <c r="H415" s="3" t="s">
        <v>28</v>
      </c>
      <c r="I415" s="3" t="s">
        <v>68</v>
      </c>
      <c r="J415" s="6">
        <v>44372</v>
      </c>
      <c r="K415" s="3" t="s">
        <v>30</v>
      </c>
      <c r="L415" s="3" t="s">
        <v>31</v>
      </c>
      <c r="M415" s="3">
        <v>43400</v>
      </c>
      <c r="N415" s="3">
        <v>23</v>
      </c>
      <c r="O415" s="3">
        <v>87.7</v>
      </c>
      <c r="P415" s="3">
        <v>6</v>
      </c>
      <c r="Q415" s="3">
        <v>4</v>
      </c>
      <c r="R415" s="3">
        <v>2</v>
      </c>
      <c r="S415" s="3">
        <v>1</v>
      </c>
      <c r="T415" s="3">
        <v>2</v>
      </c>
      <c r="U415" s="3" t="s">
        <v>123</v>
      </c>
      <c r="V415" s="3">
        <v>3617</v>
      </c>
      <c r="W415" s="3">
        <v>5.0999999999999996</v>
      </c>
      <c r="X415" s="3" t="s">
        <v>54</v>
      </c>
      <c r="Y415" s="7" t="s">
        <v>55</v>
      </c>
    </row>
    <row r="416" spans="1:25" x14ac:dyDescent="0.3">
      <c r="A416" s="5" t="s">
        <v>693</v>
      </c>
      <c r="B416" s="3" t="s">
        <v>694</v>
      </c>
      <c r="C416" s="3" t="s">
        <v>24</v>
      </c>
      <c r="D416" s="3">
        <v>42</v>
      </c>
      <c r="E416" s="3" t="s">
        <v>98</v>
      </c>
      <c r="F416" s="3" t="s">
        <v>72</v>
      </c>
      <c r="G416" s="3" t="s">
        <v>80</v>
      </c>
      <c r="H416" s="3" t="s">
        <v>28</v>
      </c>
      <c r="I416" s="3" t="s">
        <v>73</v>
      </c>
      <c r="J416" s="6">
        <v>43211</v>
      </c>
      <c r="K416" s="3" t="s">
        <v>87</v>
      </c>
      <c r="L416" s="3" t="s">
        <v>31</v>
      </c>
      <c r="M416" s="3">
        <v>63200</v>
      </c>
      <c r="N416" s="3">
        <v>21</v>
      </c>
      <c r="O416" s="3">
        <v>86.6</v>
      </c>
      <c r="P416" s="3">
        <v>2</v>
      </c>
      <c r="Q416" s="3">
        <v>7</v>
      </c>
      <c r="R416" s="3">
        <v>3</v>
      </c>
      <c r="S416" s="3">
        <v>0</v>
      </c>
      <c r="T416" s="3">
        <v>9</v>
      </c>
      <c r="U416" s="3" t="s">
        <v>74</v>
      </c>
      <c r="V416" s="3">
        <v>5267</v>
      </c>
      <c r="W416" s="3">
        <v>8.3000000000000007</v>
      </c>
      <c r="X416" s="3" t="s">
        <v>62</v>
      </c>
      <c r="Y416" s="7" t="s">
        <v>75</v>
      </c>
    </row>
    <row r="417" spans="1:25" x14ac:dyDescent="0.3">
      <c r="A417" s="5" t="s">
        <v>695</v>
      </c>
      <c r="B417" s="3" t="s">
        <v>156</v>
      </c>
      <c r="C417" s="3" t="s">
        <v>58</v>
      </c>
      <c r="D417" s="3">
        <v>35</v>
      </c>
      <c r="E417" s="3" t="s">
        <v>65</v>
      </c>
      <c r="F417" s="3" t="s">
        <v>52</v>
      </c>
      <c r="G417" s="3" t="s">
        <v>39</v>
      </c>
      <c r="H417" s="3" t="s">
        <v>28</v>
      </c>
      <c r="I417" s="3" t="s">
        <v>73</v>
      </c>
      <c r="J417" s="6">
        <v>45964</v>
      </c>
      <c r="K417" s="3" t="s">
        <v>30</v>
      </c>
      <c r="L417" s="3" t="s">
        <v>93</v>
      </c>
      <c r="M417" s="3">
        <v>37600</v>
      </c>
      <c r="N417" s="3">
        <v>12</v>
      </c>
      <c r="O417" s="3">
        <v>91.1</v>
      </c>
      <c r="P417" s="3">
        <v>5</v>
      </c>
      <c r="Q417" s="3">
        <v>8</v>
      </c>
      <c r="R417" s="3">
        <v>1</v>
      </c>
      <c r="S417" s="3">
        <v>7</v>
      </c>
      <c r="T417" s="3">
        <v>12</v>
      </c>
      <c r="U417" s="3" t="s">
        <v>104</v>
      </c>
      <c r="V417" s="3">
        <v>3133</v>
      </c>
      <c r="W417" s="3">
        <v>0.7</v>
      </c>
      <c r="X417" s="3" t="s">
        <v>108</v>
      </c>
      <c r="Y417" s="7" t="s">
        <v>42</v>
      </c>
    </row>
    <row r="418" spans="1:25" x14ac:dyDescent="0.3">
      <c r="A418" s="5" t="s">
        <v>696</v>
      </c>
      <c r="B418" s="3" t="s">
        <v>224</v>
      </c>
      <c r="C418" s="3" t="s">
        <v>24</v>
      </c>
      <c r="D418" s="3">
        <v>30</v>
      </c>
      <c r="E418" s="3" t="s">
        <v>71</v>
      </c>
      <c r="F418" s="3" t="s">
        <v>72</v>
      </c>
      <c r="G418" s="3" t="s">
        <v>46</v>
      </c>
      <c r="H418" s="3" t="s">
        <v>67</v>
      </c>
      <c r="I418" s="3" t="s">
        <v>47</v>
      </c>
      <c r="J418" s="6">
        <v>44856</v>
      </c>
      <c r="K418" s="3" t="s">
        <v>30</v>
      </c>
      <c r="L418" s="3" t="s">
        <v>53</v>
      </c>
      <c r="M418" s="3">
        <v>99200</v>
      </c>
      <c r="N418" s="3">
        <v>7</v>
      </c>
      <c r="O418" s="3">
        <v>89.7</v>
      </c>
      <c r="P418" s="3">
        <v>2</v>
      </c>
      <c r="Q418" s="3">
        <v>14</v>
      </c>
      <c r="R418" s="3">
        <v>2</v>
      </c>
      <c r="S418" s="3">
        <v>11</v>
      </c>
      <c r="T418" s="3">
        <v>13</v>
      </c>
      <c r="U418" s="3" t="s">
        <v>41</v>
      </c>
      <c r="V418" s="3">
        <v>8267</v>
      </c>
      <c r="W418" s="3">
        <v>3.8</v>
      </c>
      <c r="X418" s="3" t="s">
        <v>33</v>
      </c>
      <c r="Y418" s="7" t="s">
        <v>55</v>
      </c>
    </row>
    <row r="419" spans="1:25" x14ac:dyDescent="0.3">
      <c r="A419" s="5" t="s">
        <v>697</v>
      </c>
      <c r="B419" s="3" t="s">
        <v>698</v>
      </c>
      <c r="C419" s="3" t="s">
        <v>24</v>
      </c>
      <c r="D419" s="3">
        <v>41</v>
      </c>
      <c r="E419" s="3" t="s">
        <v>78</v>
      </c>
      <c r="F419" s="3" t="s">
        <v>38</v>
      </c>
      <c r="G419" s="3" t="s">
        <v>80</v>
      </c>
      <c r="H419" s="3" t="s">
        <v>28</v>
      </c>
      <c r="I419" s="3" t="s">
        <v>68</v>
      </c>
      <c r="J419" s="6">
        <v>43808</v>
      </c>
      <c r="K419" s="3" t="s">
        <v>30</v>
      </c>
      <c r="L419" s="3" t="s">
        <v>93</v>
      </c>
      <c r="M419" s="3">
        <v>54700</v>
      </c>
      <c r="N419" s="3">
        <v>18</v>
      </c>
      <c r="O419" s="3">
        <v>85.8</v>
      </c>
      <c r="P419" s="3">
        <v>6</v>
      </c>
      <c r="Q419" s="3">
        <v>12</v>
      </c>
      <c r="R419" s="3">
        <v>2</v>
      </c>
      <c r="S419" s="3">
        <v>18</v>
      </c>
      <c r="T419" s="3">
        <v>5</v>
      </c>
      <c r="U419" s="3" t="s">
        <v>104</v>
      </c>
      <c r="V419" s="3">
        <v>4558</v>
      </c>
      <c r="W419" s="3">
        <v>6.6</v>
      </c>
      <c r="X419" s="3" t="s">
        <v>62</v>
      </c>
      <c r="Y419" s="7" t="s">
        <v>55</v>
      </c>
    </row>
    <row r="420" spans="1:25" x14ac:dyDescent="0.3">
      <c r="A420" s="5" t="s">
        <v>699</v>
      </c>
      <c r="B420" s="3" t="s">
        <v>57</v>
      </c>
      <c r="C420" s="3" t="s">
        <v>58</v>
      </c>
      <c r="D420" s="3">
        <v>23</v>
      </c>
      <c r="E420" s="3" t="s">
        <v>98</v>
      </c>
      <c r="F420" s="3" t="s">
        <v>52</v>
      </c>
      <c r="G420" s="3" t="s">
        <v>46</v>
      </c>
      <c r="H420" s="3" t="s">
        <v>28</v>
      </c>
      <c r="I420" s="3" t="s">
        <v>73</v>
      </c>
      <c r="J420" s="6">
        <v>45295</v>
      </c>
      <c r="K420" s="3" t="s">
        <v>61</v>
      </c>
      <c r="L420" s="3" t="s">
        <v>31</v>
      </c>
      <c r="M420" s="3">
        <v>69800</v>
      </c>
      <c r="N420" s="3">
        <v>3</v>
      </c>
      <c r="O420" s="3">
        <v>87.7</v>
      </c>
      <c r="P420" s="3">
        <v>5</v>
      </c>
      <c r="Q420" s="3">
        <v>10</v>
      </c>
      <c r="R420" s="3">
        <v>2</v>
      </c>
      <c r="S420" s="3">
        <v>17</v>
      </c>
      <c r="T420" s="3">
        <v>25</v>
      </c>
      <c r="U420" s="3" t="s">
        <v>130</v>
      </c>
      <c r="V420" s="3">
        <v>5817</v>
      </c>
      <c r="W420" s="3">
        <v>2.6</v>
      </c>
      <c r="X420" s="3" t="s">
        <v>48</v>
      </c>
      <c r="Y420" s="7" t="s">
        <v>55</v>
      </c>
    </row>
    <row r="421" spans="1:25" x14ac:dyDescent="0.3">
      <c r="A421" s="5" t="s">
        <v>700</v>
      </c>
      <c r="B421" s="3" t="s">
        <v>237</v>
      </c>
      <c r="C421" s="3" t="s">
        <v>58</v>
      </c>
      <c r="D421" s="3">
        <v>50</v>
      </c>
      <c r="E421" s="3" t="s">
        <v>65</v>
      </c>
      <c r="F421" s="3" t="s">
        <v>52</v>
      </c>
      <c r="G421" s="3" t="s">
        <v>46</v>
      </c>
      <c r="H421" s="3" t="s">
        <v>28</v>
      </c>
      <c r="I421" s="3" t="s">
        <v>73</v>
      </c>
      <c r="J421" s="6">
        <v>44468</v>
      </c>
      <c r="K421" s="3" t="s">
        <v>30</v>
      </c>
      <c r="L421" s="3" t="s">
        <v>31</v>
      </c>
      <c r="M421" s="3">
        <v>59900</v>
      </c>
      <c r="N421" s="3">
        <v>29</v>
      </c>
      <c r="O421" s="3">
        <v>91.3</v>
      </c>
      <c r="P421" s="3">
        <v>7</v>
      </c>
      <c r="Q421" s="3">
        <v>8</v>
      </c>
      <c r="R421" s="3">
        <v>1</v>
      </c>
      <c r="S421" s="3">
        <v>17</v>
      </c>
      <c r="T421" s="3">
        <v>8</v>
      </c>
      <c r="U421" s="3" t="s">
        <v>130</v>
      </c>
      <c r="V421" s="3">
        <v>4992</v>
      </c>
      <c r="W421" s="3">
        <v>4.8</v>
      </c>
      <c r="X421" s="3" t="s">
        <v>54</v>
      </c>
      <c r="Y421" s="7" t="s">
        <v>42</v>
      </c>
    </row>
    <row r="422" spans="1:25" x14ac:dyDescent="0.3">
      <c r="A422" s="5" t="s">
        <v>701</v>
      </c>
      <c r="B422" s="3" t="s">
        <v>698</v>
      </c>
      <c r="C422" s="3" t="s">
        <v>58</v>
      </c>
      <c r="D422" s="3">
        <v>28</v>
      </c>
      <c r="E422" s="3" t="s">
        <v>83</v>
      </c>
      <c r="F422" s="3" t="s">
        <v>52</v>
      </c>
      <c r="G422" s="3" t="s">
        <v>80</v>
      </c>
      <c r="H422" s="3" t="s">
        <v>28</v>
      </c>
      <c r="I422" s="3" t="s">
        <v>29</v>
      </c>
      <c r="J422" s="6">
        <v>44629</v>
      </c>
      <c r="K422" s="3" t="s">
        <v>30</v>
      </c>
      <c r="L422" s="3" t="s">
        <v>31</v>
      </c>
      <c r="M422" s="3">
        <v>47100</v>
      </c>
      <c r="N422" s="3">
        <v>7</v>
      </c>
      <c r="O422" s="3">
        <v>88.1</v>
      </c>
      <c r="P422" s="3">
        <v>7</v>
      </c>
      <c r="Q422" s="3">
        <v>3</v>
      </c>
      <c r="R422" s="3">
        <v>2</v>
      </c>
      <c r="S422" s="3">
        <v>20</v>
      </c>
      <c r="T422" s="3">
        <v>26</v>
      </c>
      <c r="U422" s="3" t="s">
        <v>130</v>
      </c>
      <c r="V422" s="3">
        <v>3925</v>
      </c>
      <c r="W422" s="3">
        <v>4.4000000000000004</v>
      </c>
      <c r="X422" s="3" t="s">
        <v>95</v>
      </c>
      <c r="Y422" s="7" t="s">
        <v>75</v>
      </c>
    </row>
    <row r="423" spans="1:25" x14ac:dyDescent="0.3">
      <c r="A423" s="5" t="s">
        <v>702</v>
      </c>
      <c r="B423" s="3" t="s">
        <v>134</v>
      </c>
      <c r="C423" s="3" t="s">
        <v>24</v>
      </c>
      <c r="D423" s="3">
        <v>34</v>
      </c>
      <c r="E423" s="3" t="s">
        <v>101</v>
      </c>
      <c r="F423" s="3" t="s">
        <v>26</v>
      </c>
      <c r="G423" s="3" t="s">
        <v>46</v>
      </c>
      <c r="H423" s="3" t="s">
        <v>28</v>
      </c>
      <c r="I423" s="3" t="s">
        <v>92</v>
      </c>
      <c r="J423" s="6">
        <v>43652</v>
      </c>
      <c r="K423" s="3" t="s">
        <v>30</v>
      </c>
      <c r="L423" s="3" t="s">
        <v>31</v>
      </c>
      <c r="M423" s="3">
        <v>84500</v>
      </c>
      <c r="N423" s="3">
        <v>12</v>
      </c>
      <c r="O423" s="3">
        <v>90.9</v>
      </c>
      <c r="P423" s="3">
        <v>5</v>
      </c>
      <c r="Q423" s="3">
        <v>9</v>
      </c>
      <c r="R423" s="3">
        <v>2</v>
      </c>
      <c r="S423" s="3">
        <v>21</v>
      </c>
      <c r="T423" s="3">
        <v>14</v>
      </c>
      <c r="U423" s="3" t="s">
        <v>32</v>
      </c>
      <c r="V423" s="3">
        <v>7042</v>
      </c>
      <c r="W423" s="3">
        <v>7.1</v>
      </c>
      <c r="X423" s="3" t="s">
        <v>33</v>
      </c>
      <c r="Y423" s="7" t="s">
        <v>42</v>
      </c>
    </row>
    <row r="424" spans="1:25" x14ac:dyDescent="0.3">
      <c r="A424" s="5" t="s">
        <v>703</v>
      </c>
      <c r="B424" s="3" t="s">
        <v>704</v>
      </c>
      <c r="C424" s="3" t="s">
        <v>24</v>
      </c>
      <c r="D424" s="3">
        <v>31</v>
      </c>
      <c r="E424" s="3" t="s">
        <v>45</v>
      </c>
      <c r="F424" s="3" t="s">
        <v>66</v>
      </c>
      <c r="G424" s="3" t="s">
        <v>171</v>
      </c>
      <c r="H424" s="3" t="s">
        <v>28</v>
      </c>
      <c r="I424" s="3" t="s">
        <v>86</v>
      </c>
      <c r="J424" s="6">
        <v>43234</v>
      </c>
      <c r="K424" s="3" t="s">
        <v>30</v>
      </c>
      <c r="L424" s="3" t="s">
        <v>53</v>
      </c>
      <c r="M424" s="3">
        <v>96700</v>
      </c>
      <c r="N424" s="3">
        <v>7</v>
      </c>
      <c r="O424" s="3">
        <v>87.5</v>
      </c>
      <c r="P424" s="3">
        <v>1</v>
      </c>
      <c r="Q424" s="3">
        <v>1</v>
      </c>
      <c r="R424" s="3">
        <v>3</v>
      </c>
      <c r="S424" s="3">
        <v>10</v>
      </c>
      <c r="T424" s="3">
        <v>8</v>
      </c>
      <c r="U424" s="3" t="s">
        <v>123</v>
      </c>
      <c r="V424" s="3">
        <v>8058</v>
      </c>
      <c r="W424" s="3">
        <v>8.1999999999999993</v>
      </c>
      <c r="X424" s="3" t="s">
        <v>33</v>
      </c>
      <c r="Y424" s="7" t="s">
        <v>55</v>
      </c>
    </row>
    <row r="425" spans="1:25" x14ac:dyDescent="0.3">
      <c r="A425" s="5" t="s">
        <v>705</v>
      </c>
      <c r="B425" s="3" t="s">
        <v>281</v>
      </c>
      <c r="C425" s="3" t="s">
        <v>58</v>
      </c>
      <c r="D425" s="3">
        <v>46</v>
      </c>
      <c r="E425" s="3" t="s">
        <v>71</v>
      </c>
      <c r="F425" s="3" t="s">
        <v>72</v>
      </c>
      <c r="G425" s="3" t="s">
        <v>80</v>
      </c>
      <c r="H425" s="3" t="s">
        <v>28</v>
      </c>
      <c r="I425" s="3" t="s">
        <v>86</v>
      </c>
      <c r="J425" s="6">
        <v>45612</v>
      </c>
      <c r="K425" s="3" t="s">
        <v>30</v>
      </c>
      <c r="L425" s="3" t="s">
        <v>31</v>
      </c>
      <c r="M425" s="3">
        <v>57200</v>
      </c>
      <c r="N425" s="3">
        <v>23</v>
      </c>
      <c r="O425" s="3">
        <v>93.3</v>
      </c>
      <c r="P425" s="3">
        <v>5</v>
      </c>
      <c r="Q425" s="3">
        <v>13</v>
      </c>
      <c r="R425" s="3">
        <v>2</v>
      </c>
      <c r="S425" s="3">
        <v>29</v>
      </c>
      <c r="T425" s="3">
        <v>5</v>
      </c>
      <c r="U425" s="3" t="s">
        <v>123</v>
      </c>
      <c r="V425" s="3">
        <v>4767</v>
      </c>
      <c r="W425" s="3">
        <v>1.7</v>
      </c>
      <c r="X425" s="3" t="s">
        <v>54</v>
      </c>
      <c r="Y425" s="7" t="s">
        <v>42</v>
      </c>
    </row>
    <row r="426" spans="1:25" x14ac:dyDescent="0.3">
      <c r="A426" s="5" t="s">
        <v>706</v>
      </c>
      <c r="B426" s="3" t="s">
        <v>400</v>
      </c>
      <c r="C426" s="3" t="s">
        <v>24</v>
      </c>
      <c r="D426" s="3">
        <v>35</v>
      </c>
      <c r="E426" s="3" t="s">
        <v>25</v>
      </c>
      <c r="F426" s="3" t="s">
        <v>52</v>
      </c>
      <c r="G426" s="3" t="s">
        <v>80</v>
      </c>
      <c r="H426" s="3" t="s">
        <v>67</v>
      </c>
      <c r="I426" s="3" t="s">
        <v>29</v>
      </c>
      <c r="J426" s="6">
        <v>46012</v>
      </c>
      <c r="K426" s="3" t="s">
        <v>30</v>
      </c>
      <c r="L426" s="3" t="s">
        <v>53</v>
      </c>
      <c r="M426" s="3">
        <v>45100</v>
      </c>
      <c r="N426" s="3">
        <v>11</v>
      </c>
      <c r="O426" s="3">
        <v>87.6</v>
      </c>
      <c r="P426" s="3">
        <v>0</v>
      </c>
      <c r="Q426" s="3">
        <v>10</v>
      </c>
      <c r="R426" s="3">
        <v>0</v>
      </c>
      <c r="S426" s="3">
        <v>17</v>
      </c>
      <c r="T426" s="3">
        <v>13</v>
      </c>
      <c r="U426" s="3" t="s">
        <v>94</v>
      </c>
      <c r="V426" s="3">
        <v>3758</v>
      </c>
      <c r="W426" s="3">
        <v>0.6</v>
      </c>
      <c r="X426" s="3" t="s">
        <v>108</v>
      </c>
      <c r="Y426" s="7" t="s">
        <v>42</v>
      </c>
    </row>
    <row r="427" spans="1:25" x14ac:dyDescent="0.3">
      <c r="A427" s="5" t="s">
        <v>707</v>
      </c>
      <c r="B427" s="3" t="s">
        <v>350</v>
      </c>
      <c r="C427" s="3" t="s">
        <v>58</v>
      </c>
      <c r="D427" s="3">
        <v>23</v>
      </c>
      <c r="E427" s="3" t="s">
        <v>78</v>
      </c>
      <c r="F427" s="3" t="s">
        <v>79</v>
      </c>
      <c r="G427" s="3" t="s">
        <v>46</v>
      </c>
      <c r="H427" s="3" t="s">
        <v>28</v>
      </c>
      <c r="I427" s="3" t="s">
        <v>73</v>
      </c>
      <c r="J427" s="6">
        <v>45114</v>
      </c>
      <c r="K427" s="3" t="s">
        <v>30</v>
      </c>
      <c r="L427" s="3" t="s">
        <v>31</v>
      </c>
      <c r="M427" s="3">
        <v>70900</v>
      </c>
      <c r="N427" s="3">
        <v>0</v>
      </c>
      <c r="O427" s="3">
        <v>94.2</v>
      </c>
      <c r="P427" s="3">
        <v>5</v>
      </c>
      <c r="Q427" s="3">
        <v>1</v>
      </c>
      <c r="R427" s="3">
        <v>1</v>
      </c>
      <c r="S427" s="3">
        <v>5</v>
      </c>
      <c r="T427" s="3">
        <v>22</v>
      </c>
      <c r="U427" s="3" t="s">
        <v>41</v>
      </c>
      <c r="V427" s="3">
        <v>5908</v>
      </c>
      <c r="W427" s="3">
        <v>3.1</v>
      </c>
      <c r="X427" s="3" t="s">
        <v>48</v>
      </c>
      <c r="Y427" s="7" t="s">
        <v>42</v>
      </c>
    </row>
    <row r="428" spans="1:25" x14ac:dyDescent="0.3">
      <c r="A428" s="5" t="s">
        <v>708</v>
      </c>
      <c r="B428" s="3" t="s">
        <v>384</v>
      </c>
      <c r="C428" s="3" t="s">
        <v>58</v>
      </c>
      <c r="D428" s="3">
        <v>22</v>
      </c>
      <c r="E428" s="3" t="s">
        <v>160</v>
      </c>
      <c r="F428" s="3" t="s">
        <v>52</v>
      </c>
      <c r="G428" s="3" t="s">
        <v>46</v>
      </c>
      <c r="H428" s="3" t="s">
        <v>67</v>
      </c>
      <c r="I428" s="3" t="s">
        <v>40</v>
      </c>
      <c r="J428" s="6">
        <v>44287</v>
      </c>
      <c r="K428" s="3" t="s">
        <v>30</v>
      </c>
      <c r="L428" s="3" t="s">
        <v>53</v>
      </c>
      <c r="M428" s="3">
        <v>64800</v>
      </c>
      <c r="N428" s="3">
        <v>0</v>
      </c>
      <c r="O428" s="3">
        <v>89.5</v>
      </c>
      <c r="P428" s="3">
        <v>5</v>
      </c>
      <c r="Q428" s="3">
        <v>15</v>
      </c>
      <c r="R428" s="3">
        <v>2</v>
      </c>
      <c r="S428" s="3">
        <v>0</v>
      </c>
      <c r="T428" s="3">
        <v>24</v>
      </c>
      <c r="U428" s="3" t="s">
        <v>32</v>
      </c>
      <c r="V428" s="3">
        <v>5400</v>
      </c>
      <c r="W428" s="3">
        <v>5.3</v>
      </c>
      <c r="X428" s="3" t="s">
        <v>48</v>
      </c>
      <c r="Y428" s="7" t="s">
        <v>42</v>
      </c>
    </row>
    <row r="429" spans="1:25" x14ac:dyDescent="0.3">
      <c r="A429" s="5" t="s">
        <v>709</v>
      </c>
      <c r="B429" s="3" t="s">
        <v>502</v>
      </c>
      <c r="C429" s="3" t="s">
        <v>24</v>
      </c>
      <c r="D429" s="3">
        <v>46</v>
      </c>
      <c r="E429" s="3" t="s">
        <v>137</v>
      </c>
      <c r="F429" s="3" t="s">
        <v>26</v>
      </c>
      <c r="G429" s="3" t="s">
        <v>39</v>
      </c>
      <c r="H429" s="3" t="s">
        <v>28</v>
      </c>
      <c r="I429" s="3" t="s">
        <v>107</v>
      </c>
      <c r="J429" s="6">
        <v>45604</v>
      </c>
      <c r="K429" s="3" t="s">
        <v>30</v>
      </c>
      <c r="L429" s="3" t="s">
        <v>53</v>
      </c>
      <c r="M429" s="3">
        <v>32600</v>
      </c>
      <c r="N429" s="3">
        <v>23</v>
      </c>
      <c r="O429" s="3">
        <v>80.3</v>
      </c>
      <c r="P429" s="3">
        <v>5</v>
      </c>
      <c r="Q429" s="3">
        <v>11</v>
      </c>
      <c r="R429" s="3">
        <v>2</v>
      </c>
      <c r="S429" s="3">
        <v>8</v>
      </c>
      <c r="T429" s="3">
        <v>19</v>
      </c>
      <c r="U429" s="3" t="s">
        <v>32</v>
      </c>
      <c r="V429" s="3">
        <v>2717</v>
      </c>
      <c r="W429" s="3">
        <v>1.7</v>
      </c>
      <c r="X429" s="3" t="s">
        <v>54</v>
      </c>
      <c r="Y429" s="7" t="s">
        <v>42</v>
      </c>
    </row>
    <row r="430" spans="1:25" x14ac:dyDescent="0.3">
      <c r="A430" s="5" t="s">
        <v>710</v>
      </c>
      <c r="B430" s="3" t="s">
        <v>100</v>
      </c>
      <c r="C430" s="3" t="s">
        <v>24</v>
      </c>
      <c r="D430" s="3">
        <v>40</v>
      </c>
      <c r="E430" s="3" t="s">
        <v>25</v>
      </c>
      <c r="F430" s="3" t="s">
        <v>66</v>
      </c>
      <c r="G430" s="3" t="s">
        <v>80</v>
      </c>
      <c r="H430" s="3" t="s">
        <v>28</v>
      </c>
      <c r="I430" s="3" t="s">
        <v>107</v>
      </c>
      <c r="J430" s="6">
        <v>44185</v>
      </c>
      <c r="K430" s="3" t="s">
        <v>30</v>
      </c>
      <c r="L430" s="3" t="s">
        <v>31</v>
      </c>
      <c r="M430" s="3">
        <v>42000</v>
      </c>
      <c r="N430" s="3">
        <v>18</v>
      </c>
      <c r="O430" s="3">
        <v>89.7</v>
      </c>
      <c r="P430" s="3">
        <v>8</v>
      </c>
      <c r="Q430" s="3">
        <v>4</v>
      </c>
      <c r="R430" s="3">
        <v>4</v>
      </c>
      <c r="S430" s="3">
        <v>19</v>
      </c>
      <c r="T430" s="3">
        <v>14</v>
      </c>
      <c r="U430" s="3" t="s">
        <v>94</v>
      </c>
      <c r="V430" s="3">
        <v>3500</v>
      </c>
      <c r="W430" s="3">
        <v>5.6</v>
      </c>
      <c r="X430" s="3" t="s">
        <v>62</v>
      </c>
      <c r="Y430" s="7" t="s">
        <v>75</v>
      </c>
    </row>
    <row r="431" spans="1:25" x14ac:dyDescent="0.3">
      <c r="A431" s="5" t="s">
        <v>711</v>
      </c>
      <c r="B431" s="3" t="s">
        <v>402</v>
      </c>
      <c r="C431" s="3" t="s">
        <v>58</v>
      </c>
      <c r="D431" s="3">
        <v>50</v>
      </c>
      <c r="E431" s="3" t="s">
        <v>25</v>
      </c>
      <c r="F431" s="3" t="s">
        <v>66</v>
      </c>
      <c r="G431" s="3" t="s">
        <v>80</v>
      </c>
      <c r="H431" s="3" t="s">
        <v>122</v>
      </c>
      <c r="I431" s="3" t="s">
        <v>92</v>
      </c>
      <c r="J431" s="6">
        <v>44129</v>
      </c>
      <c r="K431" s="3" t="s">
        <v>30</v>
      </c>
      <c r="L431" s="3" t="s">
        <v>53</v>
      </c>
      <c r="M431" s="3">
        <v>48400</v>
      </c>
      <c r="N431" s="3">
        <v>30</v>
      </c>
      <c r="O431" s="3">
        <v>93.5</v>
      </c>
      <c r="P431" s="3">
        <v>3</v>
      </c>
      <c r="Q431" s="3">
        <v>9</v>
      </c>
      <c r="R431" s="3">
        <v>3</v>
      </c>
      <c r="S431" s="3">
        <v>15</v>
      </c>
      <c r="T431" s="3">
        <v>20</v>
      </c>
      <c r="U431" s="3" t="s">
        <v>123</v>
      </c>
      <c r="V431" s="3">
        <v>4033</v>
      </c>
      <c r="W431" s="3">
        <v>5.8</v>
      </c>
      <c r="X431" s="3" t="s">
        <v>54</v>
      </c>
      <c r="Y431" s="7" t="s">
        <v>42</v>
      </c>
    </row>
    <row r="432" spans="1:25" x14ac:dyDescent="0.3">
      <c r="A432" s="5" t="s">
        <v>712</v>
      </c>
      <c r="B432" s="3" t="s">
        <v>485</v>
      </c>
      <c r="C432" s="3" t="s">
        <v>24</v>
      </c>
      <c r="D432" s="3">
        <v>23</v>
      </c>
      <c r="E432" s="3" t="s">
        <v>37</v>
      </c>
      <c r="F432" s="3" t="s">
        <v>72</v>
      </c>
      <c r="G432" s="3" t="s">
        <v>80</v>
      </c>
      <c r="H432" s="3" t="s">
        <v>28</v>
      </c>
      <c r="I432" s="3" t="s">
        <v>47</v>
      </c>
      <c r="J432" s="6">
        <v>44161</v>
      </c>
      <c r="K432" s="3" t="s">
        <v>30</v>
      </c>
      <c r="L432" s="3" t="s">
        <v>53</v>
      </c>
      <c r="M432" s="3">
        <v>63500</v>
      </c>
      <c r="N432" s="3">
        <v>0</v>
      </c>
      <c r="O432" s="3">
        <v>88.2</v>
      </c>
      <c r="P432" s="3">
        <v>6</v>
      </c>
      <c r="Q432" s="3">
        <v>3</v>
      </c>
      <c r="R432" s="3">
        <v>2</v>
      </c>
      <c r="S432" s="3">
        <v>28</v>
      </c>
      <c r="T432" s="3">
        <v>4</v>
      </c>
      <c r="U432" s="3" t="s">
        <v>104</v>
      </c>
      <c r="V432" s="3">
        <v>5292</v>
      </c>
      <c r="W432" s="3">
        <v>5.7</v>
      </c>
      <c r="X432" s="3" t="s">
        <v>48</v>
      </c>
      <c r="Y432" s="7" t="s">
        <v>42</v>
      </c>
    </row>
    <row r="433" spans="1:25" x14ac:dyDescent="0.3">
      <c r="A433" s="5" t="s">
        <v>713</v>
      </c>
      <c r="B433" s="3" t="s">
        <v>323</v>
      </c>
      <c r="C433" s="3" t="s">
        <v>24</v>
      </c>
      <c r="D433" s="3">
        <v>21</v>
      </c>
      <c r="E433" s="3" t="s">
        <v>37</v>
      </c>
      <c r="F433" s="3" t="s">
        <v>66</v>
      </c>
      <c r="G433" s="3" t="s">
        <v>39</v>
      </c>
      <c r="H433" s="3" t="s">
        <v>67</v>
      </c>
      <c r="I433" s="3" t="s">
        <v>73</v>
      </c>
      <c r="J433" s="6">
        <v>45608</v>
      </c>
      <c r="K433" s="3" t="s">
        <v>61</v>
      </c>
      <c r="L433" s="3" t="s">
        <v>31</v>
      </c>
      <c r="M433" s="3">
        <v>33400</v>
      </c>
      <c r="N433" s="3">
        <v>0</v>
      </c>
      <c r="O433" s="3">
        <v>90</v>
      </c>
      <c r="P433" s="3">
        <v>2</v>
      </c>
      <c r="Q433" s="3">
        <v>5</v>
      </c>
      <c r="R433" s="3">
        <v>3</v>
      </c>
      <c r="S433" s="3">
        <v>29</v>
      </c>
      <c r="T433" s="3">
        <v>15</v>
      </c>
      <c r="U433" s="3" t="s">
        <v>32</v>
      </c>
      <c r="V433" s="3">
        <v>2783</v>
      </c>
      <c r="W433" s="3">
        <v>1.7</v>
      </c>
      <c r="X433" s="3" t="s">
        <v>48</v>
      </c>
      <c r="Y433" s="7" t="s">
        <v>55</v>
      </c>
    </row>
    <row r="434" spans="1:25" x14ac:dyDescent="0.3">
      <c r="A434" s="5" t="s">
        <v>714</v>
      </c>
      <c r="B434" s="3" t="s">
        <v>704</v>
      </c>
      <c r="C434" s="3" t="s">
        <v>24</v>
      </c>
      <c r="D434" s="3">
        <v>38</v>
      </c>
      <c r="E434" s="3" t="s">
        <v>98</v>
      </c>
      <c r="F434" s="3" t="s">
        <v>91</v>
      </c>
      <c r="G434" s="3" t="s">
        <v>27</v>
      </c>
      <c r="H434" s="3" t="s">
        <v>28</v>
      </c>
      <c r="I434" s="3" t="s">
        <v>47</v>
      </c>
      <c r="J434" s="6">
        <v>44861</v>
      </c>
      <c r="K434" s="3" t="s">
        <v>30</v>
      </c>
      <c r="L434" s="3" t="s">
        <v>53</v>
      </c>
      <c r="M434" s="3">
        <v>68400</v>
      </c>
      <c r="N434" s="3">
        <v>16</v>
      </c>
      <c r="O434" s="3">
        <v>94.1</v>
      </c>
      <c r="P434" s="3">
        <v>7</v>
      </c>
      <c r="Q434" s="3">
        <v>8</v>
      </c>
      <c r="R434" s="3">
        <v>3</v>
      </c>
      <c r="S434" s="3">
        <v>28</v>
      </c>
      <c r="T434" s="3">
        <v>17</v>
      </c>
      <c r="U434" s="3" t="s">
        <v>104</v>
      </c>
      <c r="V434" s="3">
        <v>5700</v>
      </c>
      <c r="W434" s="3">
        <v>3.8</v>
      </c>
      <c r="X434" s="3" t="s">
        <v>108</v>
      </c>
      <c r="Y434" s="7" t="s">
        <v>42</v>
      </c>
    </row>
    <row r="435" spans="1:25" x14ac:dyDescent="0.3">
      <c r="A435" s="5" t="s">
        <v>715</v>
      </c>
      <c r="B435" s="3" t="s">
        <v>716</v>
      </c>
      <c r="C435" s="3" t="s">
        <v>24</v>
      </c>
      <c r="D435" s="3">
        <v>26</v>
      </c>
      <c r="E435" s="3" t="s">
        <v>137</v>
      </c>
      <c r="F435" s="3" t="s">
        <v>60</v>
      </c>
      <c r="G435" s="3" t="s">
        <v>46</v>
      </c>
      <c r="H435" s="3" t="s">
        <v>28</v>
      </c>
      <c r="I435" s="3" t="s">
        <v>40</v>
      </c>
      <c r="J435" s="6">
        <v>45123</v>
      </c>
      <c r="K435" s="3" t="s">
        <v>30</v>
      </c>
      <c r="L435" s="3" t="s">
        <v>31</v>
      </c>
      <c r="M435" s="3">
        <v>92700</v>
      </c>
      <c r="N435" s="3">
        <v>5</v>
      </c>
      <c r="O435" s="3">
        <v>98.6</v>
      </c>
      <c r="P435" s="3">
        <v>1</v>
      </c>
      <c r="Q435" s="3">
        <v>6</v>
      </c>
      <c r="R435" s="3">
        <v>0</v>
      </c>
      <c r="S435" s="3">
        <v>4</v>
      </c>
      <c r="T435" s="3">
        <v>26</v>
      </c>
      <c r="U435" s="3" t="s">
        <v>41</v>
      </c>
      <c r="V435" s="3">
        <v>7725</v>
      </c>
      <c r="W435" s="3">
        <v>3</v>
      </c>
      <c r="X435" s="3" t="s">
        <v>95</v>
      </c>
      <c r="Y435" s="7" t="s">
        <v>75</v>
      </c>
    </row>
    <row r="436" spans="1:25" x14ac:dyDescent="0.3">
      <c r="A436" s="5" t="s">
        <v>717</v>
      </c>
      <c r="B436" s="3" t="s">
        <v>405</v>
      </c>
      <c r="C436" s="3" t="s">
        <v>24</v>
      </c>
      <c r="D436" s="3">
        <v>47</v>
      </c>
      <c r="E436" s="3" t="s">
        <v>37</v>
      </c>
      <c r="F436" s="3" t="s">
        <v>79</v>
      </c>
      <c r="G436" s="3" t="s">
        <v>80</v>
      </c>
      <c r="H436" s="3" t="s">
        <v>28</v>
      </c>
      <c r="I436" s="3" t="s">
        <v>107</v>
      </c>
      <c r="J436" s="6">
        <v>44852</v>
      </c>
      <c r="K436" s="3" t="s">
        <v>30</v>
      </c>
      <c r="L436" s="3" t="s">
        <v>53</v>
      </c>
      <c r="M436" s="3">
        <v>46600</v>
      </c>
      <c r="N436" s="3">
        <v>25</v>
      </c>
      <c r="O436" s="3">
        <v>96.8</v>
      </c>
      <c r="P436" s="3">
        <v>1</v>
      </c>
      <c r="Q436" s="3">
        <v>15</v>
      </c>
      <c r="R436" s="3">
        <v>1</v>
      </c>
      <c r="S436" s="3">
        <v>18</v>
      </c>
      <c r="T436" s="3">
        <v>3</v>
      </c>
      <c r="U436" s="3" t="s">
        <v>41</v>
      </c>
      <c r="V436" s="3">
        <v>3883</v>
      </c>
      <c r="W436" s="3">
        <v>3.8</v>
      </c>
      <c r="X436" s="3" t="s">
        <v>54</v>
      </c>
      <c r="Y436" s="7" t="s">
        <v>55</v>
      </c>
    </row>
    <row r="437" spans="1:25" x14ac:dyDescent="0.3">
      <c r="A437" s="5" t="s">
        <v>718</v>
      </c>
      <c r="B437" s="3" t="s">
        <v>82</v>
      </c>
      <c r="C437" s="3" t="s">
        <v>58</v>
      </c>
      <c r="D437" s="3">
        <v>21</v>
      </c>
      <c r="E437" s="3" t="s">
        <v>137</v>
      </c>
      <c r="F437" s="3" t="s">
        <v>38</v>
      </c>
      <c r="G437" s="3" t="s">
        <v>46</v>
      </c>
      <c r="H437" s="3" t="s">
        <v>28</v>
      </c>
      <c r="I437" s="3" t="s">
        <v>29</v>
      </c>
      <c r="J437" s="6">
        <v>45287</v>
      </c>
      <c r="K437" s="3" t="s">
        <v>30</v>
      </c>
      <c r="L437" s="3" t="s">
        <v>31</v>
      </c>
      <c r="M437" s="3">
        <v>71100</v>
      </c>
      <c r="N437" s="3">
        <v>0</v>
      </c>
      <c r="O437" s="3">
        <v>91.5</v>
      </c>
      <c r="P437" s="3">
        <v>4</v>
      </c>
      <c r="Q437" s="3">
        <v>11</v>
      </c>
      <c r="R437" s="3">
        <v>0</v>
      </c>
      <c r="S437" s="3">
        <v>21</v>
      </c>
      <c r="T437" s="3">
        <v>21</v>
      </c>
      <c r="U437" s="3" t="s">
        <v>74</v>
      </c>
      <c r="V437" s="3">
        <v>5925</v>
      </c>
      <c r="W437" s="3">
        <v>2.6</v>
      </c>
      <c r="X437" s="3" t="s">
        <v>48</v>
      </c>
      <c r="Y437" s="7" t="s">
        <v>42</v>
      </c>
    </row>
    <row r="438" spans="1:25" x14ac:dyDescent="0.3">
      <c r="A438" s="5" t="s">
        <v>719</v>
      </c>
      <c r="B438" s="3" t="s">
        <v>293</v>
      </c>
      <c r="C438" s="3" t="s">
        <v>24</v>
      </c>
      <c r="D438" s="3">
        <v>20</v>
      </c>
      <c r="E438" s="3" t="s">
        <v>83</v>
      </c>
      <c r="F438" s="3" t="s">
        <v>72</v>
      </c>
      <c r="G438" s="3" t="s">
        <v>27</v>
      </c>
      <c r="H438" s="3" t="s">
        <v>28</v>
      </c>
      <c r="I438" s="3" t="s">
        <v>29</v>
      </c>
      <c r="J438" s="6">
        <v>45766</v>
      </c>
      <c r="K438" s="3" t="s">
        <v>30</v>
      </c>
      <c r="L438" s="3" t="s">
        <v>53</v>
      </c>
      <c r="M438" s="3">
        <v>103100</v>
      </c>
      <c r="N438" s="3">
        <v>1</v>
      </c>
      <c r="O438" s="3">
        <v>93.8</v>
      </c>
      <c r="P438" s="3">
        <v>0</v>
      </c>
      <c r="Q438" s="3">
        <v>13</v>
      </c>
      <c r="R438" s="3">
        <v>1</v>
      </c>
      <c r="S438" s="3">
        <v>16</v>
      </c>
      <c r="T438" s="3">
        <v>25</v>
      </c>
      <c r="U438" s="3" t="s">
        <v>41</v>
      </c>
      <c r="V438" s="3">
        <v>8592</v>
      </c>
      <c r="W438" s="3">
        <v>1.3</v>
      </c>
      <c r="X438" s="3" t="s">
        <v>48</v>
      </c>
      <c r="Y438" s="7" t="s">
        <v>42</v>
      </c>
    </row>
    <row r="439" spans="1:25" x14ac:dyDescent="0.3">
      <c r="A439" s="5" t="s">
        <v>720</v>
      </c>
      <c r="B439" s="3" t="s">
        <v>721</v>
      </c>
      <c r="C439" s="3" t="s">
        <v>58</v>
      </c>
      <c r="D439" s="3">
        <v>37</v>
      </c>
      <c r="E439" s="3" t="s">
        <v>25</v>
      </c>
      <c r="F439" s="3" t="s">
        <v>60</v>
      </c>
      <c r="G439" s="3" t="s">
        <v>39</v>
      </c>
      <c r="H439" s="3" t="s">
        <v>28</v>
      </c>
      <c r="I439" s="3" t="s">
        <v>86</v>
      </c>
      <c r="J439" s="6">
        <v>45828</v>
      </c>
      <c r="K439" s="3" t="s">
        <v>30</v>
      </c>
      <c r="L439" s="3" t="s">
        <v>53</v>
      </c>
      <c r="M439" s="3">
        <v>43100</v>
      </c>
      <c r="N439" s="3">
        <v>14</v>
      </c>
      <c r="O439" s="3">
        <v>91.5</v>
      </c>
      <c r="P439" s="3">
        <v>0</v>
      </c>
      <c r="Q439" s="3">
        <v>10</v>
      </c>
      <c r="R439" s="3">
        <v>4</v>
      </c>
      <c r="S439" s="3">
        <v>22</v>
      </c>
      <c r="T439" s="3">
        <v>2</v>
      </c>
      <c r="U439" s="3" t="s">
        <v>130</v>
      </c>
      <c r="V439" s="3">
        <v>3592</v>
      </c>
      <c r="W439" s="3">
        <v>1.1000000000000001</v>
      </c>
      <c r="X439" s="3" t="s">
        <v>108</v>
      </c>
      <c r="Y439" s="7" t="s">
        <v>42</v>
      </c>
    </row>
    <row r="440" spans="1:25" x14ac:dyDescent="0.3">
      <c r="A440" s="5" t="s">
        <v>722</v>
      </c>
      <c r="B440" s="3" t="s">
        <v>541</v>
      </c>
      <c r="C440" s="3" t="s">
        <v>58</v>
      </c>
      <c r="D440" s="3">
        <v>47</v>
      </c>
      <c r="E440" s="3" t="s">
        <v>83</v>
      </c>
      <c r="F440" s="3" t="s">
        <v>72</v>
      </c>
      <c r="G440" s="3" t="s">
        <v>80</v>
      </c>
      <c r="H440" s="3" t="s">
        <v>28</v>
      </c>
      <c r="I440" s="3" t="s">
        <v>92</v>
      </c>
      <c r="J440" s="6">
        <v>46109</v>
      </c>
      <c r="K440" s="3" t="s">
        <v>87</v>
      </c>
      <c r="L440" s="3" t="s">
        <v>31</v>
      </c>
      <c r="M440" s="3">
        <v>67500</v>
      </c>
      <c r="N440" s="3">
        <v>27</v>
      </c>
      <c r="O440" s="3">
        <v>83.5</v>
      </c>
      <c r="P440" s="3">
        <v>2</v>
      </c>
      <c r="Q440" s="3">
        <v>3</v>
      </c>
      <c r="R440" s="3">
        <v>0</v>
      </c>
      <c r="S440" s="3">
        <v>7</v>
      </c>
      <c r="T440" s="3">
        <v>26</v>
      </c>
      <c r="U440" s="3" t="s">
        <v>41</v>
      </c>
      <c r="V440" s="3">
        <v>5625</v>
      </c>
      <c r="W440" s="3">
        <v>0.3</v>
      </c>
      <c r="X440" s="3" t="s">
        <v>54</v>
      </c>
      <c r="Y440" s="7" t="s">
        <v>42</v>
      </c>
    </row>
    <row r="441" spans="1:25" x14ac:dyDescent="0.3">
      <c r="A441" s="5" t="s">
        <v>723</v>
      </c>
      <c r="B441" s="3" t="s">
        <v>432</v>
      </c>
      <c r="C441" s="3" t="s">
        <v>24</v>
      </c>
      <c r="D441" s="3">
        <v>27</v>
      </c>
      <c r="E441" s="3" t="s">
        <v>51</v>
      </c>
      <c r="F441" s="3" t="s">
        <v>60</v>
      </c>
      <c r="G441" s="3" t="s">
        <v>80</v>
      </c>
      <c r="H441" s="3" t="s">
        <v>28</v>
      </c>
      <c r="I441" s="3" t="s">
        <v>68</v>
      </c>
      <c r="J441" s="6">
        <v>45747</v>
      </c>
      <c r="K441" s="3" t="s">
        <v>30</v>
      </c>
      <c r="L441" s="3" t="s">
        <v>31</v>
      </c>
      <c r="M441" s="3">
        <v>56400</v>
      </c>
      <c r="N441" s="3">
        <v>5</v>
      </c>
      <c r="O441" s="3">
        <v>97.3</v>
      </c>
      <c r="P441" s="3">
        <v>5</v>
      </c>
      <c r="Q441" s="3">
        <v>6</v>
      </c>
      <c r="R441" s="3">
        <v>3</v>
      </c>
      <c r="S441" s="3">
        <v>18</v>
      </c>
      <c r="T441" s="3">
        <v>15</v>
      </c>
      <c r="U441" s="3" t="s">
        <v>74</v>
      </c>
      <c r="V441" s="3">
        <v>4700</v>
      </c>
      <c r="W441" s="3">
        <v>1.3</v>
      </c>
      <c r="X441" s="3" t="s">
        <v>95</v>
      </c>
      <c r="Y441" s="7" t="s">
        <v>42</v>
      </c>
    </row>
    <row r="442" spans="1:25" x14ac:dyDescent="0.3">
      <c r="A442" s="5" t="s">
        <v>724</v>
      </c>
      <c r="B442" s="3" t="s">
        <v>725</v>
      </c>
      <c r="C442" s="3" t="s">
        <v>24</v>
      </c>
      <c r="D442" s="3">
        <v>27</v>
      </c>
      <c r="E442" s="3" t="s">
        <v>78</v>
      </c>
      <c r="F442" s="3" t="s">
        <v>38</v>
      </c>
      <c r="G442" s="3" t="s">
        <v>46</v>
      </c>
      <c r="H442" s="3" t="s">
        <v>28</v>
      </c>
      <c r="I442" s="3" t="s">
        <v>29</v>
      </c>
      <c r="J442" s="6">
        <v>43696</v>
      </c>
      <c r="K442" s="3" t="s">
        <v>30</v>
      </c>
      <c r="L442" s="3" t="s">
        <v>53</v>
      </c>
      <c r="M442" s="3">
        <v>65100</v>
      </c>
      <c r="N442" s="3">
        <v>4</v>
      </c>
      <c r="O442" s="3">
        <v>97.6</v>
      </c>
      <c r="P442" s="3">
        <v>5</v>
      </c>
      <c r="Q442" s="3">
        <v>1</v>
      </c>
      <c r="R442" s="3">
        <v>2</v>
      </c>
      <c r="S442" s="3">
        <v>17</v>
      </c>
      <c r="T442" s="3">
        <v>23</v>
      </c>
      <c r="U442" s="3" t="s">
        <v>32</v>
      </c>
      <c r="V442" s="3">
        <v>5425</v>
      </c>
      <c r="W442" s="3">
        <v>7</v>
      </c>
      <c r="X442" s="3" t="s">
        <v>95</v>
      </c>
      <c r="Y442" s="7" t="s">
        <v>42</v>
      </c>
    </row>
    <row r="443" spans="1:25" x14ac:dyDescent="0.3">
      <c r="A443" s="5" t="s">
        <v>726</v>
      </c>
      <c r="B443" s="3" t="s">
        <v>375</v>
      </c>
      <c r="C443" s="3" t="s">
        <v>58</v>
      </c>
      <c r="D443" s="3">
        <v>47</v>
      </c>
      <c r="E443" s="3" t="s">
        <v>137</v>
      </c>
      <c r="F443" s="3" t="s">
        <v>66</v>
      </c>
      <c r="G443" s="3" t="s">
        <v>122</v>
      </c>
      <c r="H443" s="3" t="s">
        <v>28</v>
      </c>
      <c r="I443" s="3" t="s">
        <v>107</v>
      </c>
      <c r="J443" s="6">
        <v>43111</v>
      </c>
      <c r="K443" s="3" t="s">
        <v>30</v>
      </c>
      <c r="L443" s="3" t="s">
        <v>31</v>
      </c>
      <c r="M443" s="3">
        <v>18700</v>
      </c>
      <c r="N443" s="3">
        <v>23</v>
      </c>
      <c r="O443" s="3">
        <v>82.6</v>
      </c>
      <c r="P443" s="3">
        <v>7</v>
      </c>
      <c r="Q443" s="3">
        <v>4</v>
      </c>
      <c r="R443" s="3">
        <v>4</v>
      </c>
      <c r="S443" s="3">
        <v>11</v>
      </c>
      <c r="T443" s="3">
        <v>29</v>
      </c>
      <c r="U443" s="3" t="s">
        <v>32</v>
      </c>
      <c r="V443" s="3">
        <v>1558</v>
      </c>
      <c r="W443" s="3">
        <v>8.6</v>
      </c>
      <c r="X443" s="3" t="s">
        <v>54</v>
      </c>
      <c r="Y443" s="7" t="s">
        <v>55</v>
      </c>
    </row>
    <row r="444" spans="1:25" x14ac:dyDescent="0.3">
      <c r="A444" s="5" t="s">
        <v>727</v>
      </c>
      <c r="B444" s="3" t="s">
        <v>728</v>
      </c>
      <c r="C444" s="3" t="s">
        <v>24</v>
      </c>
      <c r="D444" s="3">
        <v>29</v>
      </c>
      <c r="E444" s="3" t="s">
        <v>78</v>
      </c>
      <c r="F444" s="3" t="s">
        <v>60</v>
      </c>
      <c r="G444" s="3" t="s">
        <v>171</v>
      </c>
      <c r="H444" s="3" t="s">
        <v>28</v>
      </c>
      <c r="I444" s="3" t="s">
        <v>86</v>
      </c>
      <c r="J444" s="6">
        <v>45475</v>
      </c>
      <c r="K444" s="3" t="s">
        <v>30</v>
      </c>
      <c r="L444" s="3" t="s">
        <v>31</v>
      </c>
      <c r="M444" s="3">
        <v>127200</v>
      </c>
      <c r="N444" s="3">
        <v>5</v>
      </c>
      <c r="O444" s="3">
        <v>89.1</v>
      </c>
      <c r="P444" s="3">
        <v>6</v>
      </c>
      <c r="Q444" s="3">
        <v>11</v>
      </c>
      <c r="R444" s="3">
        <v>1</v>
      </c>
      <c r="S444" s="3">
        <v>15</v>
      </c>
      <c r="T444" s="3">
        <v>5</v>
      </c>
      <c r="U444" s="3" t="s">
        <v>123</v>
      </c>
      <c r="V444" s="3">
        <v>10600</v>
      </c>
      <c r="W444" s="3">
        <v>2.1</v>
      </c>
      <c r="X444" s="3" t="s">
        <v>95</v>
      </c>
      <c r="Y444" s="7" t="s">
        <v>55</v>
      </c>
    </row>
    <row r="445" spans="1:25" x14ac:dyDescent="0.3">
      <c r="A445" s="5" t="s">
        <v>729</v>
      </c>
      <c r="B445" s="3" t="s">
        <v>492</v>
      </c>
      <c r="C445" s="3" t="s">
        <v>58</v>
      </c>
      <c r="D445" s="3">
        <v>37</v>
      </c>
      <c r="E445" s="3" t="s">
        <v>118</v>
      </c>
      <c r="F445" s="3" t="s">
        <v>72</v>
      </c>
      <c r="G445" s="3" t="s">
        <v>80</v>
      </c>
      <c r="H445" s="3" t="s">
        <v>28</v>
      </c>
      <c r="I445" s="3" t="s">
        <v>68</v>
      </c>
      <c r="J445" s="6">
        <v>44822</v>
      </c>
      <c r="K445" s="3" t="s">
        <v>30</v>
      </c>
      <c r="L445" s="3" t="s">
        <v>53</v>
      </c>
      <c r="M445" s="3">
        <v>62700</v>
      </c>
      <c r="N445" s="3">
        <v>15</v>
      </c>
      <c r="O445" s="3">
        <v>98.7</v>
      </c>
      <c r="P445" s="3">
        <v>0</v>
      </c>
      <c r="Q445" s="3">
        <v>10</v>
      </c>
      <c r="R445" s="3">
        <v>0</v>
      </c>
      <c r="S445" s="3">
        <v>13</v>
      </c>
      <c r="T445" s="3">
        <v>6</v>
      </c>
      <c r="U445" s="3" t="s">
        <v>104</v>
      </c>
      <c r="V445" s="3">
        <v>5225</v>
      </c>
      <c r="W445" s="3">
        <v>3.9</v>
      </c>
      <c r="X445" s="3" t="s">
        <v>108</v>
      </c>
      <c r="Y445" s="7" t="s">
        <v>42</v>
      </c>
    </row>
    <row r="446" spans="1:25" x14ac:dyDescent="0.3">
      <c r="A446" s="5" t="s">
        <v>730</v>
      </c>
      <c r="B446" s="3" t="s">
        <v>205</v>
      </c>
      <c r="C446" s="3" t="s">
        <v>24</v>
      </c>
      <c r="D446" s="3">
        <v>41</v>
      </c>
      <c r="E446" s="3" t="s">
        <v>59</v>
      </c>
      <c r="F446" s="3" t="s">
        <v>52</v>
      </c>
      <c r="G446" s="3" t="s">
        <v>80</v>
      </c>
      <c r="H446" s="3" t="s">
        <v>28</v>
      </c>
      <c r="I446" s="3" t="s">
        <v>47</v>
      </c>
      <c r="J446" s="6">
        <v>45527</v>
      </c>
      <c r="K446" s="3" t="s">
        <v>30</v>
      </c>
      <c r="L446" s="3" t="s">
        <v>53</v>
      </c>
      <c r="M446" s="3">
        <v>55100</v>
      </c>
      <c r="N446" s="3">
        <v>21</v>
      </c>
      <c r="O446" s="3">
        <v>92.1</v>
      </c>
      <c r="P446" s="3">
        <v>0</v>
      </c>
      <c r="Q446" s="3">
        <v>8</v>
      </c>
      <c r="R446" s="3">
        <v>4</v>
      </c>
      <c r="S446" s="3">
        <v>3</v>
      </c>
      <c r="T446" s="3">
        <v>8</v>
      </c>
      <c r="U446" s="3" t="s">
        <v>41</v>
      </c>
      <c r="V446" s="3">
        <v>4592</v>
      </c>
      <c r="W446" s="3">
        <v>1.9</v>
      </c>
      <c r="X446" s="3" t="s">
        <v>62</v>
      </c>
      <c r="Y446" s="7" t="s">
        <v>75</v>
      </c>
    </row>
    <row r="447" spans="1:25" x14ac:dyDescent="0.3">
      <c r="A447" s="5" t="s">
        <v>731</v>
      </c>
      <c r="B447" s="3" t="s">
        <v>732</v>
      </c>
      <c r="C447" s="3" t="s">
        <v>24</v>
      </c>
      <c r="D447" s="3">
        <v>46</v>
      </c>
      <c r="E447" s="3" t="s">
        <v>51</v>
      </c>
      <c r="F447" s="3" t="s">
        <v>79</v>
      </c>
      <c r="G447" s="3" t="s">
        <v>80</v>
      </c>
      <c r="H447" s="3" t="s">
        <v>115</v>
      </c>
      <c r="I447" s="3" t="s">
        <v>40</v>
      </c>
      <c r="J447" s="6">
        <v>45379</v>
      </c>
      <c r="K447" s="3" t="s">
        <v>30</v>
      </c>
      <c r="L447" s="3" t="s">
        <v>31</v>
      </c>
      <c r="M447" s="3">
        <v>48300</v>
      </c>
      <c r="N447" s="3">
        <v>27</v>
      </c>
      <c r="O447" s="3">
        <v>86</v>
      </c>
      <c r="P447" s="3">
        <v>3</v>
      </c>
      <c r="Q447" s="3">
        <v>10</v>
      </c>
      <c r="R447" s="3">
        <v>0</v>
      </c>
      <c r="S447" s="3">
        <v>7</v>
      </c>
      <c r="T447" s="3">
        <v>12</v>
      </c>
      <c r="U447" s="3" t="s">
        <v>104</v>
      </c>
      <c r="V447" s="3">
        <v>4025</v>
      </c>
      <c r="W447" s="3">
        <v>2.2999999999999998</v>
      </c>
      <c r="X447" s="3" t="s">
        <v>54</v>
      </c>
      <c r="Y447" s="7" t="s">
        <v>75</v>
      </c>
    </row>
    <row r="448" spans="1:25" x14ac:dyDescent="0.3">
      <c r="A448" s="5" t="s">
        <v>733</v>
      </c>
      <c r="B448" s="3" t="s">
        <v>335</v>
      </c>
      <c r="C448" s="3" t="s">
        <v>24</v>
      </c>
      <c r="D448" s="3">
        <v>47</v>
      </c>
      <c r="E448" s="3" t="s">
        <v>90</v>
      </c>
      <c r="F448" s="3" t="s">
        <v>26</v>
      </c>
      <c r="G448" s="3" t="s">
        <v>39</v>
      </c>
      <c r="H448" s="3" t="s">
        <v>28</v>
      </c>
      <c r="I448" s="3" t="s">
        <v>107</v>
      </c>
      <c r="J448" s="6">
        <v>44265</v>
      </c>
      <c r="K448" s="3" t="s">
        <v>30</v>
      </c>
      <c r="L448" s="3" t="s">
        <v>93</v>
      </c>
      <c r="M448" s="3">
        <v>36500</v>
      </c>
      <c r="N448" s="3">
        <v>25</v>
      </c>
      <c r="O448" s="3">
        <v>97.1</v>
      </c>
      <c r="P448" s="3">
        <v>0</v>
      </c>
      <c r="Q448" s="3">
        <v>13</v>
      </c>
      <c r="R448" s="3">
        <v>3</v>
      </c>
      <c r="S448" s="3">
        <v>26</v>
      </c>
      <c r="T448" s="3">
        <v>13</v>
      </c>
      <c r="U448" s="3" t="s">
        <v>94</v>
      </c>
      <c r="V448" s="3">
        <v>3042</v>
      </c>
      <c r="W448" s="3">
        <v>5.4</v>
      </c>
      <c r="X448" s="3" t="s">
        <v>54</v>
      </c>
      <c r="Y448" s="7" t="s">
        <v>42</v>
      </c>
    </row>
    <row r="449" spans="1:25" x14ac:dyDescent="0.3">
      <c r="A449" s="5" t="s">
        <v>734</v>
      </c>
      <c r="B449" s="3" t="s">
        <v>271</v>
      </c>
      <c r="C449" s="3" t="s">
        <v>24</v>
      </c>
      <c r="D449" s="3">
        <v>30</v>
      </c>
      <c r="E449" s="3" t="s">
        <v>51</v>
      </c>
      <c r="F449" s="3" t="s">
        <v>38</v>
      </c>
      <c r="G449" s="3" t="s">
        <v>46</v>
      </c>
      <c r="H449" s="3" t="s">
        <v>28</v>
      </c>
      <c r="I449" s="3" t="s">
        <v>29</v>
      </c>
      <c r="J449" s="6">
        <v>43718</v>
      </c>
      <c r="K449" s="3" t="s">
        <v>30</v>
      </c>
      <c r="L449" s="3" t="s">
        <v>31</v>
      </c>
      <c r="M449" s="3">
        <v>74200</v>
      </c>
      <c r="N449" s="3">
        <v>10</v>
      </c>
      <c r="O449" s="3">
        <v>91.6</v>
      </c>
      <c r="P449" s="3">
        <v>0</v>
      </c>
      <c r="Q449" s="3">
        <v>8</v>
      </c>
      <c r="R449" s="3">
        <v>0</v>
      </c>
      <c r="S449" s="3">
        <v>23</v>
      </c>
      <c r="T449" s="3">
        <v>9</v>
      </c>
      <c r="U449" s="3" t="s">
        <v>104</v>
      </c>
      <c r="V449" s="3">
        <v>6183</v>
      </c>
      <c r="W449" s="3">
        <v>6.9</v>
      </c>
      <c r="X449" s="3" t="s">
        <v>33</v>
      </c>
      <c r="Y449" s="7" t="s">
        <v>55</v>
      </c>
    </row>
    <row r="450" spans="1:25" x14ac:dyDescent="0.3">
      <c r="A450" s="5" t="s">
        <v>735</v>
      </c>
      <c r="B450" s="3" t="s">
        <v>121</v>
      </c>
      <c r="C450" s="3" t="s">
        <v>24</v>
      </c>
      <c r="D450" s="3">
        <v>46</v>
      </c>
      <c r="E450" s="3" t="s">
        <v>160</v>
      </c>
      <c r="F450" s="3" t="s">
        <v>52</v>
      </c>
      <c r="G450" s="3" t="s">
        <v>171</v>
      </c>
      <c r="H450" s="3" t="s">
        <v>28</v>
      </c>
      <c r="I450" s="3" t="s">
        <v>92</v>
      </c>
      <c r="J450" s="6">
        <v>43865</v>
      </c>
      <c r="K450" s="3" t="s">
        <v>30</v>
      </c>
      <c r="L450" s="3" t="s">
        <v>31</v>
      </c>
      <c r="M450" s="3">
        <v>117500</v>
      </c>
      <c r="N450" s="3">
        <v>22</v>
      </c>
      <c r="O450" s="3">
        <v>97.5</v>
      </c>
      <c r="P450" s="3">
        <v>0</v>
      </c>
      <c r="Q450" s="3">
        <v>3</v>
      </c>
      <c r="R450" s="3">
        <v>1</v>
      </c>
      <c r="S450" s="3">
        <v>29</v>
      </c>
      <c r="T450" s="3">
        <v>22</v>
      </c>
      <c r="U450" s="3" t="s">
        <v>41</v>
      </c>
      <c r="V450" s="3">
        <v>9792</v>
      </c>
      <c r="W450" s="3">
        <v>6.5</v>
      </c>
      <c r="X450" s="3" t="s">
        <v>54</v>
      </c>
      <c r="Y450" s="7" t="s">
        <v>42</v>
      </c>
    </row>
    <row r="451" spans="1:25" x14ac:dyDescent="0.3">
      <c r="A451" s="5" t="s">
        <v>736</v>
      </c>
      <c r="B451" s="3" t="s">
        <v>180</v>
      </c>
      <c r="C451" s="3" t="s">
        <v>58</v>
      </c>
      <c r="D451" s="3">
        <v>42</v>
      </c>
      <c r="E451" s="3" t="s">
        <v>160</v>
      </c>
      <c r="F451" s="3" t="s">
        <v>52</v>
      </c>
      <c r="G451" s="3" t="s">
        <v>80</v>
      </c>
      <c r="H451" s="3" t="s">
        <v>115</v>
      </c>
      <c r="I451" s="3" t="s">
        <v>92</v>
      </c>
      <c r="J451" s="6">
        <v>43149</v>
      </c>
      <c r="K451" s="3" t="s">
        <v>30</v>
      </c>
      <c r="L451" s="3" t="s">
        <v>53</v>
      </c>
      <c r="M451" s="3">
        <v>54700</v>
      </c>
      <c r="N451" s="3">
        <v>19</v>
      </c>
      <c r="O451" s="3">
        <v>91.4</v>
      </c>
      <c r="P451" s="3">
        <v>2</v>
      </c>
      <c r="Q451" s="3">
        <v>7</v>
      </c>
      <c r="R451" s="3">
        <v>1</v>
      </c>
      <c r="S451" s="3">
        <v>11</v>
      </c>
      <c r="T451" s="3">
        <v>8</v>
      </c>
      <c r="U451" s="3" t="s">
        <v>123</v>
      </c>
      <c r="V451" s="3">
        <v>4558</v>
      </c>
      <c r="W451" s="3">
        <v>8.4</v>
      </c>
      <c r="X451" s="3" t="s">
        <v>62</v>
      </c>
      <c r="Y451" s="7" t="s">
        <v>75</v>
      </c>
    </row>
    <row r="452" spans="1:25" x14ac:dyDescent="0.3">
      <c r="A452" s="5" t="s">
        <v>737</v>
      </c>
      <c r="B452" s="3" t="s">
        <v>44</v>
      </c>
      <c r="C452" s="3" t="s">
        <v>58</v>
      </c>
      <c r="D452" s="3">
        <v>20</v>
      </c>
      <c r="E452" s="3" t="s">
        <v>137</v>
      </c>
      <c r="F452" s="3" t="s">
        <v>72</v>
      </c>
      <c r="G452" s="3" t="s">
        <v>171</v>
      </c>
      <c r="H452" s="3" t="s">
        <v>28</v>
      </c>
      <c r="I452" s="3" t="s">
        <v>73</v>
      </c>
      <c r="J452" s="6">
        <v>43551</v>
      </c>
      <c r="K452" s="3" t="s">
        <v>30</v>
      </c>
      <c r="L452" s="3" t="s">
        <v>93</v>
      </c>
      <c r="M452" s="3">
        <v>173100</v>
      </c>
      <c r="N452" s="3">
        <v>0</v>
      </c>
      <c r="O452" s="3">
        <v>80.2</v>
      </c>
      <c r="P452" s="3">
        <v>1</v>
      </c>
      <c r="Q452" s="3">
        <v>4</v>
      </c>
      <c r="R452" s="3">
        <v>2</v>
      </c>
      <c r="S452" s="3">
        <v>10</v>
      </c>
      <c r="T452" s="3">
        <v>4</v>
      </c>
      <c r="U452" s="3" t="s">
        <v>130</v>
      </c>
      <c r="V452" s="3">
        <v>14425</v>
      </c>
      <c r="W452" s="3">
        <v>7.3</v>
      </c>
      <c r="X452" s="3" t="s">
        <v>48</v>
      </c>
      <c r="Y452" s="7" t="s">
        <v>42</v>
      </c>
    </row>
    <row r="453" spans="1:25" x14ac:dyDescent="0.3">
      <c r="A453" s="5" t="s">
        <v>738</v>
      </c>
      <c r="B453" s="3" t="s">
        <v>70</v>
      </c>
      <c r="C453" s="3" t="s">
        <v>58</v>
      </c>
      <c r="D453" s="3">
        <v>26</v>
      </c>
      <c r="E453" s="3" t="s">
        <v>65</v>
      </c>
      <c r="F453" s="3" t="s">
        <v>60</v>
      </c>
      <c r="G453" s="3" t="s">
        <v>27</v>
      </c>
      <c r="H453" s="3" t="s">
        <v>28</v>
      </c>
      <c r="I453" s="3" t="s">
        <v>68</v>
      </c>
      <c r="J453" s="6">
        <v>44899</v>
      </c>
      <c r="K453" s="3" t="s">
        <v>61</v>
      </c>
      <c r="L453" s="3" t="s">
        <v>31</v>
      </c>
      <c r="M453" s="3">
        <v>127500</v>
      </c>
      <c r="N453" s="3">
        <v>3</v>
      </c>
      <c r="O453" s="3">
        <v>100</v>
      </c>
      <c r="P453" s="3">
        <v>7</v>
      </c>
      <c r="Q453" s="3">
        <v>2</v>
      </c>
      <c r="R453" s="3">
        <v>2</v>
      </c>
      <c r="S453" s="3">
        <v>12</v>
      </c>
      <c r="T453" s="3">
        <v>3</v>
      </c>
      <c r="U453" s="3" t="s">
        <v>74</v>
      </c>
      <c r="V453" s="3">
        <v>10625</v>
      </c>
      <c r="W453" s="3">
        <v>3.7</v>
      </c>
      <c r="X453" s="3" t="s">
        <v>95</v>
      </c>
      <c r="Y453" s="7" t="s">
        <v>42</v>
      </c>
    </row>
    <row r="454" spans="1:25" x14ac:dyDescent="0.3">
      <c r="A454" s="5" t="s">
        <v>739</v>
      </c>
      <c r="B454" s="3" t="s">
        <v>597</v>
      </c>
      <c r="C454" s="3" t="s">
        <v>24</v>
      </c>
      <c r="D454" s="3">
        <v>47</v>
      </c>
      <c r="E454" s="3" t="s">
        <v>51</v>
      </c>
      <c r="F454" s="3" t="s">
        <v>72</v>
      </c>
      <c r="G454" s="3" t="s">
        <v>80</v>
      </c>
      <c r="H454" s="3" t="s">
        <v>28</v>
      </c>
      <c r="I454" s="3" t="s">
        <v>73</v>
      </c>
      <c r="J454" s="6">
        <v>43591</v>
      </c>
      <c r="K454" s="3" t="s">
        <v>61</v>
      </c>
      <c r="L454" s="3" t="s">
        <v>31</v>
      </c>
      <c r="M454" s="3">
        <v>75700</v>
      </c>
      <c r="N454" s="3">
        <v>23</v>
      </c>
      <c r="O454" s="3">
        <v>85.5</v>
      </c>
      <c r="P454" s="3">
        <v>6</v>
      </c>
      <c r="Q454" s="3">
        <v>12</v>
      </c>
      <c r="R454" s="3">
        <v>1</v>
      </c>
      <c r="S454" s="3">
        <v>7</v>
      </c>
      <c r="T454" s="3">
        <v>19</v>
      </c>
      <c r="U454" s="3" t="s">
        <v>32</v>
      </c>
      <c r="V454" s="3">
        <v>6308</v>
      </c>
      <c r="W454" s="3">
        <v>7.2</v>
      </c>
      <c r="X454" s="3" t="s">
        <v>54</v>
      </c>
      <c r="Y454" s="7" t="s">
        <v>55</v>
      </c>
    </row>
    <row r="455" spans="1:25" x14ac:dyDescent="0.3">
      <c r="A455" s="5" t="s">
        <v>740</v>
      </c>
      <c r="B455" s="3" t="s">
        <v>251</v>
      </c>
      <c r="C455" s="3" t="s">
        <v>24</v>
      </c>
      <c r="D455" s="3">
        <v>46</v>
      </c>
      <c r="E455" s="3" t="s">
        <v>25</v>
      </c>
      <c r="F455" s="3" t="s">
        <v>26</v>
      </c>
      <c r="G455" s="3" t="s">
        <v>46</v>
      </c>
      <c r="H455" s="3" t="s">
        <v>28</v>
      </c>
      <c r="I455" s="3" t="s">
        <v>29</v>
      </c>
      <c r="J455" s="6">
        <v>44993</v>
      </c>
      <c r="K455" s="3" t="s">
        <v>30</v>
      </c>
      <c r="L455" s="3" t="s">
        <v>53</v>
      </c>
      <c r="M455" s="3">
        <v>69800</v>
      </c>
      <c r="N455" s="3">
        <v>27</v>
      </c>
      <c r="O455" s="3">
        <v>88.8</v>
      </c>
      <c r="P455" s="3">
        <v>7</v>
      </c>
      <c r="Q455" s="3">
        <v>5</v>
      </c>
      <c r="R455" s="3">
        <v>1</v>
      </c>
      <c r="S455" s="3">
        <v>17</v>
      </c>
      <c r="T455" s="3">
        <v>11</v>
      </c>
      <c r="U455" s="3" t="s">
        <v>104</v>
      </c>
      <c r="V455" s="3">
        <v>5817</v>
      </c>
      <c r="W455" s="3">
        <v>3.4</v>
      </c>
      <c r="X455" s="3" t="s">
        <v>54</v>
      </c>
      <c r="Y455" s="7" t="s">
        <v>42</v>
      </c>
    </row>
    <row r="456" spans="1:25" x14ac:dyDescent="0.3">
      <c r="A456" s="5" t="s">
        <v>741</v>
      </c>
      <c r="B456" s="3" t="s">
        <v>742</v>
      </c>
      <c r="C456" s="3" t="s">
        <v>58</v>
      </c>
      <c r="D456" s="3">
        <v>27</v>
      </c>
      <c r="E456" s="3" t="s">
        <v>78</v>
      </c>
      <c r="F456" s="3" t="s">
        <v>26</v>
      </c>
      <c r="G456" s="3" t="s">
        <v>80</v>
      </c>
      <c r="H456" s="3" t="s">
        <v>28</v>
      </c>
      <c r="I456" s="3" t="s">
        <v>73</v>
      </c>
      <c r="J456" s="6">
        <v>44533</v>
      </c>
      <c r="K456" s="3" t="s">
        <v>30</v>
      </c>
      <c r="L456" s="3" t="s">
        <v>53</v>
      </c>
      <c r="M456" s="3">
        <v>54800</v>
      </c>
      <c r="N456" s="3">
        <v>3</v>
      </c>
      <c r="O456" s="3">
        <v>97</v>
      </c>
      <c r="P456" s="3">
        <v>3</v>
      </c>
      <c r="Q456" s="3">
        <v>3</v>
      </c>
      <c r="R456" s="3">
        <v>1</v>
      </c>
      <c r="S456" s="3">
        <v>12</v>
      </c>
      <c r="T456" s="3">
        <v>29</v>
      </c>
      <c r="U456" s="3" t="s">
        <v>104</v>
      </c>
      <c r="V456" s="3">
        <v>4567</v>
      </c>
      <c r="W456" s="3">
        <v>4.7</v>
      </c>
      <c r="X456" s="3" t="s">
        <v>95</v>
      </c>
      <c r="Y456" s="7" t="s">
        <v>55</v>
      </c>
    </row>
    <row r="457" spans="1:25" x14ac:dyDescent="0.3">
      <c r="A457" s="5" t="s">
        <v>743</v>
      </c>
      <c r="B457" s="3" t="s">
        <v>405</v>
      </c>
      <c r="C457" s="3" t="s">
        <v>24</v>
      </c>
      <c r="D457" s="3">
        <v>44</v>
      </c>
      <c r="E457" s="3" t="s">
        <v>45</v>
      </c>
      <c r="F457" s="3" t="s">
        <v>72</v>
      </c>
      <c r="G457" s="3" t="s">
        <v>46</v>
      </c>
      <c r="H457" s="3" t="s">
        <v>122</v>
      </c>
      <c r="I457" s="3" t="s">
        <v>47</v>
      </c>
      <c r="J457" s="6">
        <v>45555</v>
      </c>
      <c r="K457" s="3" t="s">
        <v>30</v>
      </c>
      <c r="L457" s="3" t="s">
        <v>53</v>
      </c>
      <c r="M457" s="3">
        <v>107700</v>
      </c>
      <c r="N457" s="3">
        <v>21</v>
      </c>
      <c r="O457" s="3">
        <v>100</v>
      </c>
      <c r="P457" s="3">
        <v>8</v>
      </c>
      <c r="Q457" s="3">
        <v>12</v>
      </c>
      <c r="R457" s="3">
        <v>4</v>
      </c>
      <c r="S457" s="3">
        <v>3</v>
      </c>
      <c r="T457" s="3">
        <v>20</v>
      </c>
      <c r="U457" s="3" t="s">
        <v>41</v>
      </c>
      <c r="V457" s="3">
        <v>8975</v>
      </c>
      <c r="W457" s="3">
        <v>1.9</v>
      </c>
      <c r="X457" s="3" t="s">
        <v>62</v>
      </c>
      <c r="Y457" s="7" t="s">
        <v>55</v>
      </c>
    </row>
    <row r="458" spans="1:25" x14ac:dyDescent="0.3">
      <c r="A458" s="5" t="s">
        <v>744</v>
      </c>
      <c r="B458" s="3" t="s">
        <v>178</v>
      </c>
      <c r="C458" s="3" t="s">
        <v>24</v>
      </c>
      <c r="D458" s="3">
        <v>33</v>
      </c>
      <c r="E458" s="3" t="s">
        <v>37</v>
      </c>
      <c r="F458" s="3" t="s">
        <v>72</v>
      </c>
      <c r="G458" s="3" t="s">
        <v>39</v>
      </c>
      <c r="H458" s="3" t="s">
        <v>115</v>
      </c>
      <c r="I458" s="3" t="s">
        <v>29</v>
      </c>
      <c r="J458" s="6">
        <v>44175</v>
      </c>
      <c r="K458" s="3" t="s">
        <v>30</v>
      </c>
      <c r="L458" s="3" t="s">
        <v>53</v>
      </c>
      <c r="M458" s="3">
        <v>48000</v>
      </c>
      <c r="N458" s="3">
        <v>10</v>
      </c>
      <c r="O458" s="3">
        <v>90.7</v>
      </c>
      <c r="P458" s="3">
        <v>4</v>
      </c>
      <c r="Q458" s="3">
        <v>15</v>
      </c>
      <c r="R458" s="3">
        <v>0</v>
      </c>
      <c r="S458" s="3">
        <v>25</v>
      </c>
      <c r="T458" s="3">
        <v>23</v>
      </c>
      <c r="U458" s="3" t="s">
        <v>123</v>
      </c>
      <c r="V458" s="3">
        <v>4000</v>
      </c>
      <c r="W458" s="3">
        <v>5.6</v>
      </c>
      <c r="X458" s="3" t="s">
        <v>33</v>
      </c>
      <c r="Y458" s="7" t="s">
        <v>42</v>
      </c>
    </row>
    <row r="459" spans="1:25" x14ac:dyDescent="0.3">
      <c r="A459" s="5" t="s">
        <v>745</v>
      </c>
      <c r="B459" s="3" t="s">
        <v>281</v>
      </c>
      <c r="C459" s="3" t="s">
        <v>24</v>
      </c>
      <c r="D459" s="3">
        <v>43</v>
      </c>
      <c r="E459" s="3" t="s">
        <v>59</v>
      </c>
      <c r="F459" s="3" t="s">
        <v>60</v>
      </c>
      <c r="G459" s="3" t="s">
        <v>46</v>
      </c>
      <c r="H459" s="3" t="s">
        <v>28</v>
      </c>
      <c r="I459" s="3" t="s">
        <v>73</v>
      </c>
      <c r="J459" s="6">
        <v>45323</v>
      </c>
      <c r="K459" s="3" t="s">
        <v>30</v>
      </c>
      <c r="L459" s="3" t="s">
        <v>53</v>
      </c>
      <c r="M459" s="3">
        <v>105400</v>
      </c>
      <c r="N459" s="3">
        <v>24</v>
      </c>
      <c r="O459" s="3">
        <v>92.8</v>
      </c>
      <c r="P459" s="3">
        <v>6</v>
      </c>
      <c r="Q459" s="3">
        <v>12</v>
      </c>
      <c r="R459" s="3">
        <v>4</v>
      </c>
      <c r="S459" s="3">
        <v>30</v>
      </c>
      <c r="T459" s="3">
        <v>16</v>
      </c>
      <c r="U459" s="3" t="s">
        <v>123</v>
      </c>
      <c r="V459" s="3">
        <v>8783</v>
      </c>
      <c r="W459" s="3">
        <v>2.5</v>
      </c>
      <c r="X459" s="3" t="s">
        <v>62</v>
      </c>
      <c r="Y459" s="7" t="s">
        <v>42</v>
      </c>
    </row>
    <row r="460" spans="1:25" x14ac:dyDescent="0.3">
      <c r="A460" s="5" t="s">
        <v>746</v>
      </c>
      <c r="B460" s="3" t="s">
        <v>375</v>
      </c>
      <c r="C460" s="3" t="s">
        <v>58</v>
      </c>
      <c r="D460" s="3">
        <v>38</v>
      </c>
      <c r="E460" s="3" t="s">
        <v>160</v>
      </c>
      <c r="F460" s="3" t="s">
        <v>66</v>
      </c>
      <c r="G460" s="3" t="s">
        <v>39</v>
      </c>
      <c r="H460" s="3" t="s">
        <v>28</v>
      </c>
      <c r="I460" s="3" t="s">
        <v>29</v>
      </c>
      <c r="J460" s="6">
        <v>44385</v>
      </c>
      <c r="K460" s="3" t="s">
        <v>30</v>
      </c>
      <c r="L460" s="3" t="s">
        <v>53</v>
      </c>
      <c r="M460" s="3">
        <v>27800</v>
      </c>
      <c r="N460" s="3">
        <v>19</v>
      </c>
      <c r="O460" s="3">
        <v>85.1</v>
      </c>
      <c r="P460" s="3">
        <v>3</v>
      </c>
      <c r="Q460" s="3">
        <v>2</v>
      </c>
      <c r="R460" s="3">
        <v>3</v>
      </c>
      <c r="S460" s="3">
        <v>0</v>
      </c>
      <c r="T460" s="3">
        <v>28</v>
      </c>
      <c r="U460" s="3" t="s">
        <v>123</v>
      </c>
      <c r="V460" s="3">
        <v>2317</v>
      </c>
      <c r="W460" s="3">
        <v>5.0999999999999996</v>
      </c>
      <c r="X460" s="3" t="s">
        <v>108</v>
      </c>
      <c r="Y460" s="7" t="s">
        <v>42</v>
      </c>
    </row>
    <row r="461" spans="1:25" x14ac:dyDescent="0.3">
      <c r="A461" s="5" t="s">
        <v>747</v>
      </c>
      <c r="B461" s="3" t="s">
        <v>479</v>
      </c>
      <c r="C461" s="3" t="s">
        <v>58</v>
      </c>
      <c r="D461" s="3">
        <v>27</v>
      </c>
      <c r="E461" s="3" t="s">
        <v>51</v>
      </c>
      <c r="F461" s="3" t="s">
        <v>72</v>
      </c>
      <c r="G461" s="3" t="s">
        <v>27</v>
      </c>
      <c r="H461" s="3" t="s">
        <v>122</v>
      </c>
      <c r="I461" s="3" t="s">
        <v>40</v>
      </c>
      <c r="J461" s="6">
        <v>45628</v>
      </c>
      <c r="K461" s="3" t="s">
        <v>30</v>
      </c>
      <c r="L461" s="3" t="s">
        <v>53</v>
      </c>
      <c r="M461" s="3">
        <v>119600</v>
      </c>
      <c r="N461" s="3">
        <v>3</v>
      </c>
      <c r="O461" s="3">
        <v>89.6</v>
      </c>
      <c r="P461" s="3">
        <v>0</v>
      </c>
      <c r="Q461" s="3">
        <v>3</v>
      </c>
      <c r="R461" s="3">
        <v>2</v>
      </c>
      <c r="S461" s="3">
        <v>26</v>
      </c>
      <c r="T461" s="3">
        <v>27</v>
      </c>
      <c r="U461" s="3" t="s">
        <v>94</v>
      </c>
      <c r="V461" s="3">
        <v>9967</v>
      </c>
      <c r="W461" s="3">
        <v>1.7</v>
      </c>
      <c r="X461" s="3" t="s">
        <v>95</v>
      </c>
      <c r="Y461" s="7" t="s">
        <v>42</v>
      </c>
    </row>
    <row r="462" spans="1:25" x14ac:dyDescent="0.3">
      <c r="A462" s="5" t="s">
        <v>748</v>
      </c>
      <c r="B462" s="3" t="s">
        <v>420</v>
      </c>
      <c r="C462" s="3" t="s">
        <v>58</v>
      </c>
      <c r="D462" s="3">
        <v>38</v>
      </c>
      <c r="E462" s="3" t="s">
        <v>71</v>
      </c>
      <c r="F462" s="3" t="s">
        <v>72</v>
      </c>
      <c r="G462" s="3" t="s">
        <v>27</v>
      </c>
      <c r="H462" s="3" t="s">
        <v>28</v>
      </c>
      <c r="I462" s="3" t="s">
        <v>73</v>
      </c>
      <c r="J462" s="6">
        <v>44858</v>
      </c>
      <c r="K462" s="3" t="s">
        <v>30</v>
      </c>
      <c r="L462" s="3" t="s">
        <v>93</v>
      </c>
      <c r="M462" s="3">
        <v>141000</v>
      </c>
      <c r="N462" s="3">
        <v>15</v>
      </c>
      <c r="O462" s="3">
        <v>96.5</v>
      </c>
      <c r="P462" s="3">
        <v>7</v>
      </c>
      <c r="Q462" s="3">
        <v>12</v>
      </c>
      <c r="R462" s="3">
        <v>0</v>
      </c>
      <c r="S462" s="3">
        <v>22</v>
      </c>
      <c r="T462" s="3">
        <v>18</v>
      </c>
      <c r="U462" s="3" t="s">
        <v>104</v>
      </c>
      <c r="V462" s="3">
        <v>11750</v>
      </c>
      <c r="W462" s="3">
        <v>3.8</v>
      </c>
      <c r="X462" s="3" t="s">
        <v>108</v>
      </c>
      <c r="Y462" s="7" t="s">
        <v>55</v>
      </c>
    </row>
    <row r="463" spans="1:25" x14ac:dyDescent="0.3">
      <c r="A463" s="5" t="s">
        <v>749</v>
      </c>
      <c r="B463" s="3" t="s">
        <v>432</v>
      </c>
      <c r="C463" s="3" t="s">
        <v>58</v>
      </c>
      <c r="D463" s="3">
        <v>41</v>
      </c>
      <c r="E463" s="3" t="s">
        <v>65</v>
      </c>
      <c r="F463" s="3" t="s">
        <v>52</v>
      </c>
      <c r="G463" s="3" t="s">
        <v>39</v>
      </c>
      <c r="H463" s="3" t="s">
        <v>28</v>
      </c>
      <c r="I463" s="3" t="s">
        <v>29</v>
      </c>
      <c r="J463" s="6">
        <v>43323</v>
      </c>
      <c r="K463" s="3" t="s">
        <v>30</v>
      </c>
      <c r="L463" s="3" t="s">
        <v>31</v>
      </c>
      <c r="M463" s="3">
        <v>32100</v>
      </c>
      <c r="N463" s="3">
        <v>20</v>
      </c>
      <c r="O463" s="3">
        <v>92.5</v>
      </c>
      <c r="P463" s="3">
        <v>8</v>
      </c>
      <c r="Q463" s="3">
        <v>0</v>
      </c>
      <c r="R463" s="3">
        <v>2</v>
      </c>
      <c r="S463" s="3">
        <v>30</v>
      </c>
      <c r="T463" s="3">
        <v>20</v>
      </c>
      <c r="U463" s="3" t="s">
        <v>74</v>
      </c>
      <c r="V463" s="3">
        <v>2675</v>
      </c>
      <c r="W463" s="3">
        <v>8</v>
      </c>
      <c r="X463" s="3" t="s">
        <v>62</v>
      </c>
      <c r="Y463" s="7" t="s">
        <v>42</v>
      </c>
    </row>
    <row r="464" spans="1:25" x14ac:dyDescent="0.3">
      <c r="A464" s="5" t="s">
        <v>750</v>
      </c>
      <c r="B464" s="3" t="s">
        <v>284</v>
      </c>
      <c r="C464" s="3" t="s">
        <v>58</v>
      </c>
      <c r="D464" s="3">
        <v>23</v>
      </c>
      <c r="E464" s="3" t="s">
        <v>45</v>
      </c>
      <c r="F464" s="3" t="s">
        <v>60</v>
      </c>
      <c r="G464" s="3" t="s">
        <v>80</v>
      </c>
      <c r="H464" s="3" t="s">
        <v>28</v>
      </c>
      <c r="I464" s="3" t="s">
        <v>73</v>
      </c>
      <c r="J464" s="6">
        <v>43369</v>
      </c>
      <c r="K464" s="3" t="s">
        <v>30</v>
      </c>
      <c r="L464" s="3" t="s">
        <v>31</v>
      </c>
      <c r="M464" s="3">
        <v>67800</v>
      </c>
      <c r="N464" s="3">
        <v>2</v>
      </c>
      <c r="O464" s="3">
        <v>99.7</v>
      </c>
      <c r="P464" s="3">
        <v>8</v>
      </c>
      <c r="Q464" s="3">
        <v>9</v>
      </c>
      <c r="R464" s="3">
        <v>3</v>
      </c>
      <c r="S464" s="3">
        <v>9</v>
      </c>
      <c r="T464" s="3">
        <v>4</v>
      </c>
      <c r="U464" s="3" t="s">
        <v>74</v>
      </c>
      <c r="V464" s="3">
        <v>5650</v>
      </c>
      <c r="W464" s="3">
        <v>7.8</v>
      </c>
      <c r="X464" s="3" t="s">
        <v>48</v>
      </c>
      <c r="Y464" s="7" t="s">
        <v>42</v>
      </c>
    </row>
    <row r="465" spans="1:25" x14ac:dyDescent="0.3">
      <c r="A465" s="5" t="s">
        <v>751</v>
      </c>
      <c r="B465" s="3" t="s">
        <v>550</v>
      </c>
      <c r="C465" s="3" t="s">
        <v>24</v>
      </c>
      <c r="D465" s="3">
        <v>42</v>
      </c>
      <c r="E465" s="3" t="s">
        <v>160</v>
      </c>
      <c r="F465" s="3" t="s">
        <v>26</v>
      </c>
      <c r="G465" s="3" t="s">
        <v>80</v>
      </c>
      <c r="H465" s="3" t="s">
        <v>28</v>
      </c>
      <c r="I465" s="3" t="s">
        <v>92</v>
      </c>
      <c r="J465" s="6">
        <v>45958</v>
      </c>
      <c r="K465" s="3" t="s">
        <v>30</v>
      </c>
      <c r="L465" s="3" t="s">
        <v>31</v>
      </c>
      <c r="M465" s="3">
        <v>44700</v>
      </c>
      <c r="N465" s="3">
        <v>20</v>
      </c>
      <c r="O465" s="3">
        <v>84</v>
      </c>
      <c r="P465" s="3">
        <v>7</v>
      </c>
      <c r="Q465" s="3">
        <v>7</v>
      </c>
      <c r="R465" s="3">
        <v>1</v>
      </c>
      <c r="S465" s="3">
        <v>5</v>
      </c>
      <c r="T465" s="3">
        <v>14</v>
      </c>
      <c r="U465" s="3" t="s">
        <v>74</v>
      </c>
      <c r="V465" s="3">
        <v>3725</v>
      </c>
      <c r="W465" s="3">
        <v>0.8</v>
      </c>
      <c r="X465" s="3" t="s">
        <v>62</v>
      </c>
      <c r="Y465" s="7" t="s">
        <v>42</v>
      </c>
    </row>
    <row r="466" spans="1:25" x14ac:dyDescent="0.3">
      <c r="A466" s="5" t="s">
        <v>752</v>
      </c>
      <c r="B466" s="3" t="s">
        <v>550</v>
      </c>
      <c r="C466" s="3" t="s">
        <v>24</v>
      </c>
      <c r="D466" s="3">
        <v>43</v>
      </c>
      <c r="E466" s="3" t="s">
        <v>90</v>
      </c>
      <c r="F466" s="3" t="s">
        <v>72</v>
      </c>
      <c r="G466" s="3" t="s">
        <v>46</v>
      </c>
      <c r="H466" s="3" t="s">
        <v>28</v>
      </c>
      <c r="I466" s="3" t="s">
        <v>40</v>
      </c>
      <c r="J466" s="6">
        <v>46041</v>
      </c>
      <c r="K466" s="3" t="s">
        <v>30</v>
      </c>
      <c r="L466" s="3" t="s">
        <v>31</v>
      </c>
      <c r="M466" s="3">
        <v>101700</v>
      </c>
      <c r="N466" s="3">
        <v>22</v>
      </c>
      <c r="O466" s="3">
        <v>83.8</v>
      </c>
      <c r="P466" s="3">
        <v>0</v>
      </c>
      <c r="Q466" s="3">
        <v>8</v>
      </c>
      <c r="R466" s="3">
        <v>2</v>
      </c>
      <c r="S466" s="3">
        <v>10</v>
      </c>
      <c r="T466" s="3">
        <v>3</v>
      </c>
      <c r="U466" s="3" t="s">
        <v>41</v>
      </c>
      <c r="V466" s="3">
        <v>8475</v>
      </c>
      <c r="W466" s="3">
        <v>0.5</v>
      </c>
      <c r="X466" s="3" t="s">
        <v>62</v>
      </c>
      <c r="Y466" s="7" t="s">
        <v>42</v>
      </c>
    </row>
    <row r="467" spans="1:25" x14ac:dyDescent="0.3">
      <c r="A467" s="5" t="s">
        <v>753</v>
      </c>
      <c r="B467" s="3" t="s">
        <v>537</v>
      </c>
      <c r="C467" s="3" t="s">
        <v>24</v>
      </c>
      <c r="D467" s="3">
        <v>29</v>
      </c>
      <c r="E467" s="3" t="s">
        <v>137</v>
      </c>
      <c r="F467" s="3" t="s">
        <v>26</v>
      </c>
      <c r="G467" s="3" t="s">
        <v>80</v>
      </c>
      <c r="H467" s="3" t="s">
        <v>115</v>
      </c>
      <c r="I467" s="3" t="s">
        <v>68</v>
      </c>
      <c r="J467" s="6">
        <v>44001</v>
      </c>
      <c r="K467" s="3" t="s">
        <v>30</v>
      </c>
      <c r="L467" s="3" t="s">
        <v>53</v>
      </c>
      <c r="M467" s="3">
        <v>60200</v>
      </c>
      <c r="N467" s="3">
        <v>5</v>
      </c>
      <c r="O467" s="3">
        <v>87.6</v>
      </c>
      <c r="P467" s="3">
        <v>2</v>
      </c>
      <c r="Q467" s="3">
        <v>5</v>
      </c>
      <c r="R467" s="3">
        <v>1</v>
      </c>
      <c r="S467" s="3">
        <v>6</v>
      </c>
      <c r="T467" s="3">
        <v>16</v>
      </c>
      <c r="U467" s="3" t="s">
        <v>94</v>
      </c>
      <c r="V467" s="3">
        <v>5017</v>
      </c>
      <c r="W467" s="3">
        <v>6.1</v>
      </c>
      <c r="X467" s="3" t="s">
        <v>95</v>
      </c>
      <c r="Y467" s="7" t="s">
        <v>75</v>
      </c>
    </row>
    <row r="468" spans="1:25" x14ac:dyDescent="0.3">
      <c r="A468" s="5" t="s">
        <v>754</v>
      </c>
      <c r="B468" s="3" t="s">
        <v>342</v>
      </c>
      <c r="C468" s="3" t="s">
        <v>58</v>
      </c>
      <c r="D468" s="3">
        <v>41</v>
      </c>
      <c r="E468" s="3" t="s">
        <v>59</v>
      </c>
      <c r="F468" s="3" t="s">
        <v>72</v>
      </c>
      <c r="G468" s="3" t="s">
        <v>46</v>
      </c>
      <c r="H468" s="3" t="s">
        <v>28</v>
      </c>
      <c r="I468" s="3" t="s">
        <v>47</v>
      </c>
      <c r="J468" s="6">
        <v>44019</v>
      </c>
      <c r="K468" s="3" t="s">
        <v>30</v>
      </c>
      <c r="L468" s="3" t="s">
        <v>53</v>
      </c>
      <c r="M468" s="3">
        <v>92000</v>
      </c>
      <c r="N468" s="3">
        <v>17</v>
      </c>
      <c r="O468" s="3">
        <v>87.8</v>
      </c>
      <c r="P468" s="3">
        <v>4</v>
      </c>
      <c r="Q468" s="3">
        <v>4</v>
      </c>
      <c r="R468" s="3">
        <v>2</v>
      </c>
      <c r="S468" s="3">
        <v>9</v>
      </c>
      <c r="T468" s="3">
        <v>18</v>
      </c>
      <c r="U468" s="3" t="s">
        <v>130</v>
      </c>
      <c r="V468" s="3">
        <v>7667</v>
      </c>
      <c r="W468" s="3">
        <v>6.1</v>
      </c>
      <c r="X468" s="3" t="s">
        <v>62</v>
      </c>
      <c r="Y468" s="7" t="s">
        <v>55</v>
      </c>
    </row>
    <row r="469" spans="1:25" x14ac:dyDescent="0.3">
      <c r="A469" s="5" t="s">
        <v>755</v>
      </c>
      <c r="B469" s="3" t="s">
        <v>756</v>
      </c>
      <c r="C469" s="3" t="s">
        <v>58</v>
      </c>
      <c r="D469" s="3">
        <v>29</v>
      </c>
      <c r="E469" s="3" t="s">
        <v>160</v>
      </c>
      <c r="F469" s="3" t="s">
        <v>72</v>
      </c>
      <c r="G469" s="3" t="s">
        <v>80</v>
      </c>
      <c r="H469" s="3" t="s">
        <v>28</v>
      </c>
      <c r="I469" s="3" t="s">
        <v>73</v>
      </c>
      <c r="J469" s="6">
        <v>45466</v>
      </c>
      <c r="K469" s="3" t="s">
        <v>30</v>
      </c>
      <c r="L469" s="3" t="s">
        <v>53</v>
      </c>
      <c r="M469" s="3">
        <v>55700</v>
      </c>
      <c r="N469" s="3">
        <v>7</v>
      </c>
      <c r="O469" s="3">
        <v>95.8</v>
      </c>
      <c r="P469" s="3">
        <v>6</v>
      </c>
      <c r="Q469" s="3">
        <v>11</v>
      </c>
      <c r="R469" s="3">
        <v>3</v>
      </c>
      <c r="S469" s="3">
        <v>11</v>
      </c>
      <c r="T469" s="3">
        <v>30</v>
      </c>
      <c r="U469" s="3" t="s">
        <v>32</v>
      </c>
      <c r="V469" s="3">
        <v>4642</v>
      </c>
      <c r="W469" s="3">
        <v>2.1</v>
      </c>
      <c r="X469" s="3" t="s">
        <v>95</v>
      </c>
      <c r="Y469" s="7" t="s">
        <v>42</v>
      </c>
    </row>
    <row r="470" spans="1:25" x14ac:dyDescent="0.3">
      <c r="A470" s="5" t="s">
        <v>757</v>
      </c>
      <c r="B470" s="3" t="s">
        <v>591</v>
      </c>
      <c r="C470" s="3" t="s">
        <v>58</v>
      </c>
      <c r="D470" s="3">
        <v>23</v>
      </c>
      <c r="E470" s="3" t="s">
        <v>65</v>
      </c>
      <c r="F470" s="3" t="s">
        <v>38</v>
      </c>
      <c r="G470" s="3" t="s">
        <v>39</v>
      </c>
      <c r="H470" s="3" t="s">
        <v>28</v>
      </c>
      <c r="I470" s="3" t="s">
        <v>92</v>
      </c>
      <c r="J470" s="6">
        <v>43485</v>
      </c>
      <c r="K470" s="3" t="s">
        <v>30</v>
      </c>
      <c r="L470" s="3" t="s">
        <v>53</v>
      </c>
      <c r="M470" s="3">
        <v>28900</v>
      </c>
      <c r="N470" s="3">
        <v>3</v>
      </c>
      <c r="O470" s="3">
        <v>88.9</v>
      </c>
      <c r="P470" s="3">
        <v>7</v>
      </c>
      <c r="Q470" s="3">
        <v>8</v>
      </c>
      <c r="R470" s="3">
        <v>2</v>
      </c>
      <c r="S470" s="3">
        <v>20</v>
      </c>
      <c r="T470" s="3">
        <v>2</v>
      </c>
      <c r="U470" s="3" t="s">
        <v>94</v>
      </c>
      <c r="V470" s="3">
        <v>2408</v>
      </c>
      <c r="W470" s="3">
        <v>7.5</v>
      </c>
      <c r="X470" s="3" t="s">
        <v>48</v>
      </c>
      <c r="Y470" s="7" t="s">
        <v>75</v>
      </c>
    </row>
    <row r="471" spans="1:25" x14ac:dyDescent="0.3">
      <c r="A471" s="5" t="s">
        <v>758</v>
      </c>
      <c r="B471" s="3" t="s">
        <v>200</v>
      </c>
      <c r="C471" s="3" t="s">
        <v>24</v>
      </c>
      <c r="D471" s="3">
        <v>27</v>
      </c>
      <c r="E471" s="3" t="s">
        <v>25</v>
      </c>
      <c r="F471" s="3" t="s">
        <v>26</v>
      </c>
      <c r="G471" s="3" t="s">
        <v>122</v>
      </c>
      <c r="H471" s="3" t="s">
        <v>28</v>
      </c>
      <c r="I471" s="3" t="s">
        <v>73</v>
      </c>
      <c r="J471" s="6">
        <v>44710</v>
      </c>
      <c r="K471" s="3" t="s">
        <v>61</v>
      </c>
      <c r="L471" s="3" t="s">
        <v>53</v>
      </c>
      <c r="M471" s="3">
        <v>26800</v>
      </c>
      <c r="N471" s="3">
        <v>5</v>
      </c>
      <c r="O471" s="3">
        <v>85.1</v>
      </c>
      <c r="P471" s="3">
        <v>0</v>
      </c>
      <c r="Q471" s="3">
        <v>3</v>
      </c>
      <c r="R471" s="3">
        <v>3</v>
      </c>
      <c r="S471" s="3">
        <v>21</v>
      </c>
      <c r="T471" s="3">
        <v>15</v>
      </c>
      <c r="U471" s="3" t="s">
        <v>32</v>
      </c>
      <c r="V471" s="3">
        <v>2233</v>
      </c>
      <c r="W471" s="3">
        <v>4.2</v>
      </c>
      <c r="X471" s="3" t="s">
        <v>95</v>
      </c>
      <c r="Y471" s="7" t="s">
        <v>42</v>
      </c>
    </row>
    <row r="472" spans="1:25" x14ac:dyDescent="0.3">
      <c r="A472" s="5" t="s">
        <v>759</v>
      </c>
      <c r="B472" s="3" t="s">
        <v>597</v>
      </c>
      <c r="C472" s="3" t="s">
        <v>24</v>
      </c>
      <c r="D472" s="3">
        <v>26</v>
      </c>
      <c r="E472" s="3" t="s">
        <v>71</v>
      </c>
      <c r="F472" s="3" t="s">
        <v>79</v>
      </c>
      <c r="G472" s="3" t="s">
        <v>39</v>
      </c>
      <c r="H472" s="3" t="s">
        <v>28</v>
      </c>
      <c r="I472" s="3" t="s">
        <v>40</v>
      </c>
      <c r="J472" s="6">
        <v>43726</v>
      </c>
      <c r="K472" s="3" t="s">
        <v>30</v>
      </c>
      <c r="L472" s="3" t="s">
        <v>93</v>
      </c>
      <c r="M472" s="3">
        <v>38100</v>
      </c>
      <c r="N472" s="3">
        <v>6</v>
      </c>
      <c r="O472" s="3">
        <v>93</v>
      </c>
      <c r="P472" s="3">
        <v>4</v>
      </c>
      <c r="Q472" s="3">
        <v>15</v>
      </c>
      <c r="R472" s="3">
        <v>0</v>
      </c>
      <c r="S472" s="3">
        <v>27</v>
      </c>
      <c r="T472" s="3">
        <v>2</v>
      </c>
      <c r="U472" s="3" t="s">
        <v>104</v>
      </c>
      <c r="V472" s="3">
        <v>3175</v>
      </c>
      <c r="W472" s="3">
        <v>6.9</v>
      </c>
      <c r="X472" s="3" t="s">
        <v>95</v>
      </c>
      <c r="Y472" s="7" t="s">
        <v>42</v>
      </c>
    </row>
    <row r="473" spans="1:25" x14ac:dyDescent="0.3">
      <c r="A473" s="5" t="s">
        <v>760</v>
      </c>
      <c r="B473" s="3" t="s">
        <v>761</v>
      </c>
      <c r="C473" s="3" t="s">
        <v>24</v>
      </c>
      <c r="D473" s="3">
        <v>45</v>
      </c>
      <c r="E473" s="3" t="s">
        <v>98</v>
      </c>
      <c r="F473" s="3" t="s">
        <v>26</v>
      </c>
      <c r="G473" s="3" t="s">
        <v>46</v>
      </c>
      <c r="H473" s="3" t="s">
        <v>28</v>
      </c>
      <c r="I473" s="3" t="s">
        <v>29</v>
      </c>
      <c r="J473" s="6">
        <v>46226</v>
      </c>
      <c r="K473" s="3" t="s">
        <v>30</v>
      </c>
      <c r="L473" s="3" t="s">
        <v>53</v>
      </c>
      <c r="M473" s="3">
        <v>66700</v>
      </c>
      <c r="N473" s="3">
        <v>25</v>
      </c>
      <c r="O473" s="3">
        <v>87.2</v>
      </c>
      <c r="P473" s="3">
        <v>2</v>
      </c>
      <c r="Q473" s="3">
        <v>13</v>
      </c>
      <c r="R473" s="3">
        <v>4</v>
      </c>
      <c r="S473" s="3">
        <v>5</v>
      </c>
      <c r="T473" s="3">
        <v>25</v>
      </c>
      <c r="U473" s="3" t="s">
        <v>32</v>
      </c>
      <c r="V473" s="3">
        <v>5558</v>
      </c>
      <c r="W473" s="3">
        <v>0</v>
      </c>
      <c r="X473" s="3" t="s">
        <v>54</v>
      </c>
      <c r="Y473" s="7" t="s">
        <v>42</v>
      </c>
    </row>
    <row r="474" spans="1:25" x14ac:dyDescent="0.3">
      <c r="A474" s="5" t="s">
        <v>762</v>
      </c>
      <c r="B474" s="3" t="s">
        <v>106</v>
      </c>
      <c r="C474" s="3" t="s">
        <v>24</v>
      </c>
      <c r="D474" s="3">
        <v>34</v>
      </c>
      <c r="E474" s="3" t="s">
        <v>101</v>
      </c>
      <c r="F474" s="3" t="s">
        <v>60</v>
      </c>
      <c r="G474" s="3" t="s">
        <v>171</v>
      </c>
      <c r="H474" s="3" t="s">
        <v>28</v>
      </c>
      <c r="I474" s="3" t="s">
        <v>92</v>
      </c>
      <c r="J474" s="6">
        <v>44324</v>
      </c>
      <c r="K474" s="3" t="s">
        <v>30</v>
      </c>
      <c r="L474" s="3" t="s">
        <v>53</v>
      </c>
      <c r="M474" s="3">
        <v>126500</v>
      </c>
      <c r="N474" s="3">
        <v>11</v>
      </c>
      <c r="O474" s="3">
        <v>85.5</v>
      </c>
      <c r="P474" s="3">
        <v>6</v>
      </c>
      <c r="Q474" s="3">
        <v>0</v>
      </c>
      <c r="R474" s="3">
        <v>3</v>
      </c>
      <c r="S474" s="3">
        <v>5</v>
      </c>
      <c r="T474" s="3">
        <v>23</v>
      </c>
      <c r="U474" s="3" t="s">
        <v>41</v>
      </c>
      <c r="V474" s="3">
        <v>10542</v>
      </c>
      <c r="W474" s="3">
        <v>5.2</v>
      </c>
      <c r="X474" s="3" t="s">
        <v>33</v>
      </c>
      <c r="Y474" s="7" t="s">
        <v>42</v>
      </c>
    </row>
    <row r="475" spans="1:25" x14ac:dyDescent="0.3">
      <c r="A475" s="5" t="s">
        <v>763</v>
      </c>
      <c r="B475" s="3" t="s">
        <v>82</v>
      </c>
      <c r="C475" s="3" t="s">
        <v>58</v>
      </c>
      <c r="D475" s="3">
        <v>27</v>
      </c>
      <c r="E475" s="3" t="s">
        <v>101</v>
      </c>
      <c r="F475" s="3" t="s">
        <v>60</v>
      </c>
      <c r="G475" s="3" t="s">
        <v>80</v>
      </c>
      <c r="H475" s="3" t="s">
        <v>67</v>
      </c>
      <c r="I475" s="3" t="s">
        <v>68</v>
      </c>
      <c r="J475" s="6">
        <v>45008</v>
      </c>
      <c r="K475" s="3" t="s">
        <v>30</v>
      </c>
      <c r="L475" s="3" t="s">
        <v>53</v>
      </c>
      <c r="M475" s="3">
        <v>69200</v>
      </c>
      <c r="N475" s="3">
        <v>8</v>
      </c>
      <c r="O475" s="3">
        <v>96.3</v>
      </c>
      <c r="P475" s="3">
        <v>5</v>
      </c>
      <c r="Q475" s="3">
        <v>11</v>
      </c>
      <c r="R475" s="3">
        <v>2</v>
      </c>
      <c r="S475" s="3">
        <v>24</v>
      </c>
      <c r="T475" s="3">
        <v>26</v>
      </c>
      <c r="U475" s="3" t="s">
        <v>41</v>
      </c>
      <c r="V475" s="3">
        <v>5767</v>
      </c>
      <c r="W475" s="3">
        <v>3.4</v>
      </c>
      <c r="X475" s="3" t="s">
        <v>95</v>
      </c>
      <c r="Y475" s="7" t="s">
        <v>55</v>
      </c>
    </row>
    <row r="476" spans="1:25" x14ac:dyDescent="0.3">
      <c r="A476" s="5" t="s">
        <v>764</v>
      </c>
      <c r="B476" s="3" t="s">
        <v>132</v>
      </c>
      <c r="C476" s="3" t="s">
        <v>58</v>
      </c>
      <c r="D476" s="3">
        <v>48</v>
      </c>
      <c r="E476" s="3" t="s">
        <v>71</v>
      </c>
      <c r="F476" s="3" t="s">
        <v>79</v>
      </c>
      <c r="G476" s="3" t="s">
        <v>80</v>
      </c>
      <c r="H476" s="3" t="s">
        <v>28</v>
      </c>
      <c r="I476" s="3" t="s">
        <v>40</v>
      </c>
      <c r="J476" s="6">
        <v>45791</v>
      </c>
      <c r="K476" s="3" t="s">
        <v>61</v>
      </c>
      <c r="L476" s="3" t="s">
        <v>31</v>
      </c>
      <c r="M476" s="3">
        <v>55900</v>
      </c>
      <c r="N476" s="3">
        <v>27</v>
      </c>
      <c r="O476" s="3">
        <v>97.5</v>
      </c>
      <c r="P476" s="3">
        <v>0</v>
      </c>
      <c r="Q476" s="3">
        <v>12</v>
      </c>
      <c r="R476" s="3">
        <v>0</v>
      </c>
      <c r="S476" s="3">
        <v>29</v>
      </c>
      <c r="T476" s="3">
        <v>29</v>
      </c>
      <c r="U476" s="3" t="s">
        <v>94</v>
      </c>
      <c r="V476" s="3">
        <v>4658</v>
      </c>
      <c r="W476" s="3">
        <v>1.2</v>
      </c>
      <c r="X476" s="3" t="s">
        <v>54</v>
      </c>
      <c r="Y476" s="7" t="s">
        <v>55</v>
      </c>
    </row>
    <row r="477" spans="1:25" x14ac:dyDescent="0.3">
      <c r="A477" s="5" t="s">
        <v>765</v>
      </c>
      <c r="B477" s="3" t="s">
        <v>205</v>
      </c>
      <c r="C477" s="3" t="s">
        <v>58</v>
      </c>
      <c r="D477" s="3">
        <v>29</v>
      </c>
      <c r="E477" s="3" t="s">
        <v>65</v>
      </c>
      <c r="F477" s="3" t="s">
        <v>66</v>
      </c>
      <c r="G477" s="3" t="s">
        <v>39</v>
      </c>
      <c r="H477" s="3" t="s">
        <v>67</v>
      </c>
      <c r="I477" s="3" t="s">
        <v>40</v>
      </c>
      <c r="J477" s="6">
        <v>44463</v>
      </c>
      <c r="K477" s="3" t="s">
        <v>30</v>
      </c>
      <c r="L477" s="3" t="s">
        <v>31</v>
      </c>
      <c r="M477" s="3">
        <v>28000</v>
      </c>
      <c r="N477" s="3">
        <v>9</v>
      </c>
      <c r="O477" s="3">
        <v>95.9</v>
      </c>
      <c r="P477" s="3">
        <v>1</v>
      </c>
      <c r="Q477" s="3">
        <v>10</v>
      </c>
      <c r="R477" s="3">
        <v>3</v>
      </c>
      <c r="S477" s="3">
        <v>3</v>
      </c>
      <c r="T477" s="3">
        <v>12</v>
      </c>
      <c r="U477" s="3" t="s">
        <v>32</v>
      </c>
      <c r="V477" s="3">
        <v>2333</v>
      </c>
      <c r="W477" s="3">
        <v>4.9000000000000004</v>
      </c>
      <c r="X477" s="3" t="s">
        <v>95</v>
      </c>
      <c r="Y477" s="7" t="s">
        <v>42</v>
      </c>
    </row>
    <row r="478" spans="1:25" x14ac:dyDescent="0.3">
      <c r="A478" s="5" t="s">
        <v>766</v>
      </c>
      <c r="B478" s="3" t="s">
        <v>767</v>
      </c>
      <c r="C478" s="3" t="s">
        <v>24</v>
      </c>
      <c r="D478" s="3">
        <v>26</v>
      </c>
      <c r="E478" s="3" t="s">
        <v>101</v>
      </c>
      <c r="F478" s="3" t="s">
        <v>66</v>
      </c>
      <c r="G478" s="3" t="s">
        <v>46</v>
      </c>
      <c r="H478" s="3" t="s">
        <v>28</v>
      </c>
      <c r="I478" s="3" t="s">
        <v>68</v>
      </c>
      <c r="J478" s="6">
        <v>45852</v>
      </c>
      <c r="K478" s="3" t="s">
        <v>30</v>
      </c>
      <c r="L478" s="3" t="s">
        <v>53</v>
      </c>
      <c r="M478" s="3">
        <v>62000</v>
      </c>
      <c r="N478" s="3">
        <v>3</v>
      </c>
      <c r="O478" s="3">
        <v>86.8</v>
      </c>
      <c r="P478" s="3">
        <v>4</v>
      </c>
      <c r="Q478" s="3">
        <v>6</v>
      </c>
      <c r="R478" s="3">
        <v>2</v>
      </c>
      <c r="S478" s="3">
        <v>1</v>
      </c>
      <c r="T478" s="3">
        <v>4</v>
      </c>
      <c r="U478" s="3" t="s">
        <v>32</v>
      </c>
      <c r="V478" s="3">
        <v>5167</v>
      </c>
      <c r="W478" s="3">
        <v>1</v>
      </c>
      <c r="X478" s="3" t="s">
        <v>95</v>
      </c>
      <c r="Y478" s="7" t="s">
        <v>42</v>
      </c>
    </row>
    <row r="479" spans="1:25" x14ac:dyDescent="0.3">
      <c r="A479" s="5" t="s">
        <v>768</v>
      </c>
      <c r="B479" s="3" t="s">
        <v>769</v>
      </c>
      <c r="C479" s="3" t="s">
        <v>58</v>
      </c>
      <c r="D479" s="3">
        <v>49</v>
      </c>
      <c r="E479" s="3" t="s">
        <v>25</v>
      </c>
      <c r="F479" s="3" t="s">
        <v>38</v>
      </c>
      <c r="G479" s="3" t="s">
        <v>39</v>
      </c>
      <c r="H479" s="3" t="s">
        <v>28</v>
      </c>
      <c r="I479" s="3" t="s">
        <v>47</v>
      </c>
      <c r="J479" s="6">
        <v>44815</v>
      </c>
      <c r="K479" s="3" t="s">
        <v>30</v>
      </c>
      <c r="L479" s="3" t="s">
        <v>53</v>
      </c>
      <c r="M479" s="3">
        <v>37200</v>
      </c>
      <c r="N479" s="3">
        <v>27</v>
      </c>
      <c r="O479" s="3">
        <v>88.1</v>
      </c>
      <c r="P479" s="3">
        <v>4</v>
      </c>
      <c r="Q479" s="3">
        <v>0</v>
      </c>
      <c r="R479" s="3">
        <v>3</v>
      </c>
      <c r="S479" s="3">
        <v>24</v>
      </c>
      <c r="T479" s="3">
        <v>14</v>
      </c>
      <c r="U479" s="3" t="s">
        <v>123</v>
      </c>
      <c r="V479" s="3">
        <v>3100</v>
      </c>
      <c r="W479" s="3">
        <v>3.9</v>
      </c>
      <c r="X479" s="3" t="s">
        <v>54</v>
      </c>
      <c r="Y479" s="7" t="s">
        <v>75</v>
      </c>
    </row>
    <row r="480" spans="1:25" x14ac:dyDescent="0.3">
      <c r="A480" s="5" t="s">
        <v>770</v>
      </c>
      <c r="B480" s="3" t="s">
        <v>687</v>
      </c>
      <c r="C480" s="3" t="s">
        <v>24</v>
      </c>
      <c r="D480" s="3">
        <v>38</v>
      </c>
      <c r="E480" s="3" t="s">
        <v>83</v>
      </c>
      <c r="F480" s="3" t="s">
        <v>52</v>
      </c>
      <c r="G480" s="3" t="s">
        <v>46</v>
      </c>
      <c r="H480" s="3" t="s">
        <v>28</v>
      </c>
      <c r="I480" s="3" t="s">
        <v>68</v>
      </c>
      <c r="J480" s="6">
        <v>45453</v>
      </c>
      <c r="K480" s="3" t="s">
        <v>30</v>
      </c>
      <c r="L480" s="3" t="s">
        <v>53</v>
      </c>
      <c r="M480" s="3">
        <v>69700</v>
      </c>
      <c r="N480" s="3">
        <v>16</v>
      </c>
      <c r="O480" s="3">
        <v>93.7</v>
      </c>
      <c r="P480" s="3">
        <v>0</v>
      </c>
      <c r="Q480" s="3">
        <v>13</v>
      </c>
      <c r="R480" s="3">
        <v>3</v>
      </c>
      <c r="S480" s="3">
        <v>25</v>
      </c>
      <c r="T480" s="3">
        <v>24</v>
      </c>
      <c r="U480" s="3" t="s">
        <v>74</v>
      </c>
      <c r="V480" s="3">
        <v>5808</v>
      </c>
      <c r="W480" s="3">
        <v>2.1</v>
      </c>
      <c r="X480" s="3" t="s">
        <v>108</v>
      </c>
      <c r="Y480" s="7" t="s">
        <v>75</v>
      </c>
    </row>
    <row r="481" spans="1:25" x14ac:dyDescent="0.3">
      <c r="A481" s="5" t="s">
        <v>771</v>
      </c>
      <c r="B481" s="3" t="s">
        <v>268</v>
      </c>
      <c r="C481" s="3" t="s">
        <v>24</v>
      </c>
      <c r="D481" s="3">
        <v>22</v>
      </c>
      <c r="E481" s="3" t="s">
        <v>59</v>
      </c>
      <c r="F481" s="3" t="s">
        <v>38</v>
      </c>
      <c r="G481" s="3" t="s">
        <v>171</v>
      </c>
      <c r="H481" s="3" t="s">
        <v>28</v>
      </c>
      <c r="I481" s="3" t="s">
        <v>73</v>
      </c>
      <c r="J481" s="6">
        <v>44876</v>
      </c>
      <c r="K481" s="3" t="s">
        <v>30</v>
      </c>
      <c r="L481" s="3" t="s">
        <v>53</v>
      </c>
      <c r="M481" s="3">
        <v>131500</v>
      </c>
      <c r="N481" s="3">
        <v>2</v>
      </c>
      <c r="O481" s="3">
        <v>94.7</v>
      </c>
      <c r="P481" s="3">
        <v>3</v>
      </c>
      <c r="Q481" s="3">
        <v>14</v>
      </c>
      <c r="R481" s="3">
        <v>1</v>
      </c>
      <c r="S481" s="3">
        <v>6</v>
      </c>
      <c r="T481" s="3">
        <v>23</v>
      </c>
      <c r="U481" s="3" t="s">
        <v>41</v>
      </c>
      <c r="V481" s="3">
        <v>10958</v>
      </c>
      <c r="W481" s="3">
        <v>3.7</v>
      </c>
      <c r="X481" s="3" t="s">
        <v>48</v>
      </c>
      <c r="Y481" s="7" t="s">
        <v>75</v>
      </c>
    </row>
    <row r="482" spans="1:25" x14ac:dyDescent="0.3">
      <c r="A482" s="5" t="s">
        <v>772</v>
      </c>
      <c r="B482" s="3" t="s">
        <v>200</v>
      </c>
      <c r="C482" s="3" t="s">
        <v>24</v>
      </c>
      <c r="D482" s="3">
        <v>28</v>
      </c>
      <c r="E482" s="3" t="s">
        <v>65</v>
      </c>
      <c r="F482" s="3" t="s">
        <v>60</v>
      </c>
      <c r="G482" s="3" t="s">
        <v>39</v>
      </c>
      <c r="H482" s="3" t="s">
        <v>28</v>
      </c>
      <c r="I482" s="3" t="s">
        <v>47</v>
      </c>
      <c r="J482" s="6">
        <v>44369</v>
      </c>
      <c r="K482" s="3" t="s">
        <v>30</v>
      </c>
      <c r="L482" s="3" t="s">
        <v>31</v>
      </c>
      <c r="M482" s="3">
        <v>43800</v>
      </c>
      <c r="N482" s="3">
        <v>5</v>
      </c>
      <c r="O482" s="3">
        <v>89.9</v>
      </c>
      <c r="P482" s="3">
        <v>8</v>
      </c>
      <c r="Q482" s="3">
        <v>11</v>
      </c>
      <c r="R482" s="3">
        <v>2</v>
      </c>
      <c r="S482" s="3">
        <v>20</v>
      </c>
      <c r="T482" s="3">
        <v>10</v>
      </c>
      <c r="U482" s="3" t="s">
        <v>104</v>
      </c>
      <c r="V482" s="3">
        <v>3650</v>
      </c>
      <c r="W482" s="3">
        <v>5.0999999999999996</v>
      </c>
      <c r="X482" s="3" t="s">
        <v>95</v>
      </c>
      <c r="Y482" s="7" t="s">
        <v>34</v>
      </c>
    </row>
    <row r="483" spans="1:25" x14ac:dyDescent="0.3">
      <c r="A483" s="5" t="s">
        <v>773</v>
      </c>
      <c r="B483" s="3" t="s">
        <v>350</v>
      </c>
      <c r="C483" s="3" t="s">
        <v>24</v>
      </c>
      <c r="D483" s="3">
        <v>35</v>
      </c>
      <c r="E483" s="3" t="s">
        <v>25</v>
      </c>
      <c r="F483" s="3" t="s">
        <v>60</v>
      </c>
      <c r="G483" s="3" t="s">
        <v>46</v>
      </c>
      <c r="H483" s="3" t="s">
        <v>28</v>
      </c>
      <c r="I483" s="3" t="s">
        <v>86</v>
      </c>
      <c r="J483" s="6">
        <v>43942</v>
      </c>
      <c r="K483" s="3" t="s">
        <v>30</v>
      </c>
      <c r="L483" s="3" t="s">
        <v>93</v>
      </c>
      <c r="M483" s="3">
        <v>96500</v>
      </c>
      <c r="N483" s="3">
        <v>11</v>
      </c>
      <c r="O483" s="3">
        <v>97</v>
      </c>
      <c r="P483" s="3">
        <v>8</v>
      </c>
      <c r="Q483" s="3">
        <v>8</v>
      </c>
      <c r="R483" s="3">
        <v>4</v>
      </c>
      <c r="S483" s="3">
        <v>21</v>
      </c>
      <c r="T483" s="3">
        <v>16</v>
      </c>
      <c r="U483" s="3" t="s">
        <v>104</v>
      </c>
      <c r="V483" s="3">
        <v>8042</v>
      </c>
      <c r="W483" s="3">
        <v>6.3</v>
      </c>
      <c r="X483" s="3" t="s">
        <v>108</v>
      </c>
      <c r="Y483" s="7" t="s">
        <v>42</v>
      </c>
    </row>
    <row r="484" spans="1:25" x14ac:dyDescent="0.3">
      <c r="A484" s="5" t="s">
        <v>774</v>
      </c>
      <c r="B484" s="3" t="s">
        <v>153</v>
      </c>
      <c r="C484" s="3" t="s">
        <v>58</v>
      </c>
      <c r="D484" s="3">
        <v>33</v>
      </c>
      <c r="E484" s="3" t="s">
        <v>51</v>
      </c>
      <c r="F484" s="3" t="s">
        <v>66</v>
      </c>
      <c r="G484" s="3" t="s">
        <v>122</v>
      </c>
      <c r="H484" s="3" t="s">
        <v>28</v>
      </c>
      <c r="I484" s="3" t="s">
        <v>92</v>
      </c>
      <c r="J484" s="6">
        <v>44753</v>
      </c>
      <c r="K484" s="3" t="s">
        <v>30</v>
      </c>
      <c r="L484" s="3" t="s">
        <v>31</v>
      </c>
      <c r="M484" s="3">
        <v>20600</v>
      </c>
      <c r="N484" s="3">
        <v>14</v>
      </c>
      <c r="O484" s="3">
        <v>80.8</v>
      </c>
      <c r="P484" s="3">
        <v>4</v>
      </c>
      <c r="Q484" s="3">
        <v>3</v>
      </c>
      <c r="R484" s="3">
        <v>3</v>
      </c>
      <c r="S484" s="3">
        <v>26</v>
      </c>
      <c r="T484" s="3">
        <v>10</v>
      </c>
      <c r="U484" s="3" t="s">
        <v>32</v>
      </c>
      <c r="V484" s="3">
        <v>1717</v>
      </c>
      <c r="W484" s="3">
        <v>4.0999999999999996</v>
      </c>
      <c r="X484" s="3" t="s">
        <v>33</v>
      </c>
      <c r="Y484" s="7" t="s">
        <v>42</v>
      </c>
    </row>
    <row r="485" spans="1:25" x14ac:dyDescent="0.3">
      <c r="A485" s="5" t="s">
        <v>775</v>
      </c>
      <c r="B485" s="3" t="s">
        <v>333</v>
      </c>
      <c r="C485" s="3" t="s">
        <v>24</v>
      </c>
      <c r="D485" s="3">
        <v>26</v>
      </c>
      <c r="E485" s="3" t="s">
        <v>71</v>
      </c>
      <c r="F485" s="3" t="s">
        <v>79</v>
      </c>
      <c r="G485" s="3" t="s">
        <v>80</v>
      </c>
      <c r="H485" s="3" t="s">
        <v>28</v>
      </c>
      <c r="I485" s="3" t="s">
        <v>86</v>
      </c>
      <c r="J485" s="6">
        <v>44332</v>
      </c>
      <c r="K485" s="3" t="s">
        <v>30</v>
      </c>
      <c r="L485" s="3" t="s">
        <v>53</v>
      </c>
      <c r="M485" s="3">
        <v>58100</v>
      </c>
      <c r="N485" s="3">
        <v>7</v>
      </c>
      <c r="O485" s="3">
        <v>88.1</v>
      </c>
      <c r="P485" s="3">
        <v>6</v>
      </c>
      <c r="Q485" s="3">
        <v>11</v>
      </c>
      <c r="R485" s="3">
        <v>0</v>
      </c>
      <c r="S485" s="3">
        <v>6</v>
      </c>
      <c r="T485" s="3">
        <v>28</v>
      </c>
      <c r="U485" s="3" t="s">
        <v>32</v>
      </c>
      <c r="V485" s="3">
        <v>4842</v>
      </c>
      <c r="W485" s="3">
        <v>5.2</v>
      </c>
      <c r="X485" s="3" t="s">
        <v>95</v>
      </c>
      <c r="Y485" s="7" t="s">
        <v>55</v>
      </c>
    </row>
    <row r="486" spans="1:25" x14ac:dyDescent="0.3">
      <c r="A486" s="5" t="s">
        <v>776</v>
      </c>
      <c r="B486" s="3" t="s">
        <v>777</v>
      </c>
      <c r="C486" s="3" t="s">
        <v>24</v>
      </c>
      <c r="D486" s="3">
        <v>31</v>
      </c>
      <c r="E486" s="3" t="s">
        <v>98</v>
      </c>
      <c r="F486" s="3" t="s">
        <v>72</v>
      </c>
      <c r="G486" s="3" t="s">
        <v>39</v>
      </c>
      <c r="H486" s="3" t="s">
        <v>28</v>
      </c>
      <c r="I486" s="3" t="s">
        <v>47</v>
      </c>
      <c r="J486" s="6">
        <v>44848</v>
      </c>
      <c r="K486" s="3" t="s">
        <v>30</v>
      </c>
      <c r="L486" s="3" t="s">
        <v>53</v>
      </c>
      <c r="M486" s="3">
        <v>44700</v>
      </c>
      <c r="N486" s="3">
        <v>10</v>
      </c>
      <c r="O486" s="3">
        <v>100</v>
      </c>
      <c r="P486" s="3">
        <v>1</v>
      </c>
      <c r="Q486" s="3">
        <v>2</v>
      </c>
      <c r="R486" s="3">
        <v>2</v>
      </c>
      <c r="S486" s="3">
        <v>20</v>
      </c>
      <c r="T486" s="3">
        <v>26</v>
      </c>
      <c r="U486" s="3" t="s">
        <v>32</v>
      </c>
      <c r="V486" s="3">
        <v>3725</v>
      </c>
      <c r="W486" s="3">
        <v>3.8</v>
      </c>
      <c r="X486" s="3" t="s">
        <v>33</v>
      </c>
      <c r="Y486" s="7" t="s">
        <v>42</v>
      </c>
    </row>
    <row r="487" spans="1:25" x14ac:dyDescent="0.3">
      <c r="A487" s="5" t="s">
        <v>778</v>
      </c>
      <c r="B487" s="3" t="s">
        <v>89</v>
      </c>
      <c r="C487" s="3" t="s">
        <v>58</v>
      </c>
      <c r="D487" s="3">
        <v>20</v>
      </c>
      <c r="E487" s="3" t="s">
        <v>65</v>
      </c>
      <c r="F487" s="3" t="s">
        <v>26</v>
      </c>
      <c r="G487" s="3" t="s">
        <v>80</v>
      </c>
      <c r="H487" s="3" t="s">
        <v>28</v>
      </c>
      <c r="I487" s="3" t="s">
        <v>92</v>
      </c>
      <c r="J487" s="6">
        <v>45659</v>
      </c>
      <c r="K487" s="3" t="s">
        <v>30</v>
      </c>
      <c r="L487" s="3" t="s">
        <v>31</v>
      </c>
      <c r="M487" s="3">
        <v>48100</v>
      </c>
      <c r="N487" s="3">
        <v>0</v>
      </c>
      <c r="O487" s="3">
        <v>90.9</v>
      </c>
      <c r="P487" s="3">
        <v>0</v>
      </c>
      <c r="Q487" s="3">
        <v>3</v>
      </c>
      <c r="R487" s="3">
        <v>4</v>
      </c>
      <c r="S487" s="3">
        <v>20</v>
      </c>
      <c r="T487" s="3">
        <v>8</v>
      </c>
      <c r="U487" s="3" t="s">
        <v>104</v>
      </c>
      <c r="V487" s="3">
        <v>4008</v>
      </c>
      <c r="W487" s="3">
        <v>1.6</v>
      </c>
      <c r="X487" s="3" t="s">
        <v>48</v>
      </c>
      <c r="Y487" s="7" t="s">
        <v>42</v>
      </c>
    </row>
    <row r="488" spans="1:25" x14ac:dyDescent="0.3">
      <c r="A488" s="5" t="s">
        <v>779</v>
      </c>
      <c r="B488" s="3" t="s">
        <v>180</v>
      </c>
      <c r="C488" s="3" t="s">
        <v>24</v>
      </c>
      <c r="D488" s="3">
        <v>35</v>
      </c>
      <c r="E488" s="3" t="s">
        <v>51</v>
      </c>
      <c r="F488" s="3" t="s">
        <v>38</v>
      </c>
      <c r="G488" s="3" t="s">
        <v>39</v>
      </c>
      <c r="H488" s="3" t="s">
        <v>28</v>
      </c>
      <c r="I488" s="3" t="s">
        <v>29</v>
      </c>
      <c r="J488" s="6">
        <v>44383</v>
      </c>
      <c r="K488" s="3" t="s">
        <v>87</v>
      </c>
      <c r="L488" s="3" t="s">
        <v>53</v>
      </c>
      <c r="M488" s="3">
        <v>32200</v>
      </c>
      <c r="N488" s="3">
        <v>11</v>
      </c>
      <c r="O488" s="3">
        <v>88.6</v>
      </c>
      <c r="P488" s="3">
        <v>1</v>
      </c>
      <c r="Q488" s="3">
        <v>0</v>
      </c>
      <c r="R488" s="3">
        <v>2</v>
      </c>
      <c r="S488" s="3">
        <v>21</v>
      </c>
      <c r="T488" s="3">
        <v>26</v>
      </c>
      <c r="U488" s="3" t="s">
        <v>104</v>
      </c>
      <c r="V488" s="3">
        <v>2683</v>
      </c>
      <c r="W488" s="3">
        <v>5.0999999999999996</v>
      </c>
      <c r="X488" s="3" t="s">
        <v>108</v>
      </c>
      <c r="Y488" s="7" t="s">
        <v>42</v>
      </c>
    </row>
    <row r="489" spans="1:25" x14ac:dyDescent="0.3">
      <c r="A489" s="5" t="s">
        <v>780</v>
      </c>
      <c r="B489" s="3" t="s">
        <v>290</v>
      </c>
      <c r="C489" s="3" t="s">
        <v>24</v>
      </c>
      <c r="D489" s="3">
        <v>22</v>
      </c>
      <c r="E489" s="3" t="s">
        <v>160</v>
      </c>
      <c r="F489" s="3" t="s">
        <v>26</v>
      </c>
      <c r="G489" s="3" t="s">
        <v>80</v>
      </c>
      <c r="H489" s="3" t="s">
        <v>28</v>
      </c>
      <c r="I489" s="3" t="s">
        <v>40</v>
      </c>
      <c r="J489" s="6">
        <v>45311</v>
      </c>
      <c r="K489" s="3" t="s">
        <v>30</v>
      </c>
      <c r="L489" s="3" t="s">
        <v>53</v>
      </c>
      <c r="M489" s="3">
        <v>58800</v>
      </c>
      <c r="N489" s="3">
        <v>1</v>
      </c>
      <c r="O489" s="3">
        <v>93.4</v>
      </c>
      <c r="P489" s="3">
        <v>3</v>
      </c>
      <c r="Q489" s="3">
        <v>5</v>
      </c>
      <c r="R489" s="3">
        <v>4</v>
      </c>
      <c r="S489" s="3">
        <v>23</v>
      </c>
      <c r="T489" s="3">
        <v>8</v>
      </c>
      <c r="U489" s="3" t="s">
        <v>130</v>
      </c>
      <c r="V489" s="3">
        <v>4900</v>
      </c>
      <c r="W489" s="3">
        <v>2.5</v>
      </c>
      <c r="X489" s="3" t="s">
        <v>48</v>
      </c>
      <c r="Y489" s="7" t="s">
        <v>75</v>
      </c>
    </row>
    <row r="490" spans="1:25" x14ac:dyDescent="0.3">
      <c r="A490" s="5" t="s">
        <v>781</v>
      </c>
      <c r="B490" s="3" t="s">
        <v>345</v>
      </c>
      <c r="C490" s="3" t="s">
        <v>58</v>
      </c>
      <c r="D490" s="3">
        <v>46</v>
      </c>
      <c r="E490" s="3" t="s">
        <v>51</v>
      </c>
      <c r="F490" s="3" t="s">
        <v>60</v>
      </c>
      <c r="G490" s="3" t="s">
        <v>80</v>
      </c>
      <c r="H490" s="3" t="s">
        <v>28</v>
      </c>
      <c r="I490" s="3" t="s">
        <v>68</v>
      </c>
      <c r="J490" s="6">
        <v>43838</v>
      </c>
      <c r="K490" s="3" t="s">
        <v>30</v>
      </c>
      <c r="L490" s="3" t="s">
        <v>31</v>
      </c>
      <c r="M490" s="3">
        <v>62900</v>
      </c>
      <c r="N490" s="3">
        <v>22</v>
      </c>
      <c r="O490" s="3">
        <v>86.2</v>
      </c>
      <c r="P490" s="3">
        <v>5</v>
      </c>
      <c r="Q490" s="3">
        <v>6</v>
      </c>
      <c r="R490" s="3">
        <v>4</v>
      </c>
      <c r="S490" s="3">
        <v>28</v>
      </c>
      <c r="T490" s="3">
        <v>26</v>
      </c>
      <c r="U490" s="3" t="s">
        <v>94</v>
      </c>
      <c r="V490" s="3">
        <v>5242</v>
      </c>
      <c r="W490" s="3">
        <v>6.6</v>
      </c>
      <c r="X490" s="3" t="s">
        <v>54</v>
      </c>
      <c r="Y490" s="7" t="s">
        <v>42</v>
      </c>
    </row>
    <row r="491" spans="1:25" x14ac:dyDescent="0.3">
      <c r="A491" s="5" t="s">
        <v>782</v>
      </c>
      <c r="B491" s="3" t="s">
        <v>241</v>
      </c>
      <c r="C491" s="3" t="s">
        <v>24</v>
      </c>
      <c r="D491" s="3">
        <v>20</v>
      </c>
      <c r="E491" s="3" t="s">
        <v>83</v>
      </c>
      <c r="F491" s="3" t="s">
        <v>72</v>
      </c>
      <c r="G491" s="3" t="s">
        <v>80</v>
      </c>
      <c r="H491" s="3" t="s">
        <v>28</v>
      </c>
      <c r="I491" s="3" t="s">
        <v>92</v>
      </c>
      <c r="J491" s="6">
        <v>43441</v>
      </c>
      <c r="K491" s="3" t="s">
        <v>30</v>
      </c>
      <c r="L491" s="3" t="s">
        <v>53</v>
      </c>
      <c r="M491" s="3">
        <v>62800</v>
      </c>
      <c r="N491" s="3">
        <v>1</v>
      </c>
      <c r="O491" s="3">
        <v>79.3</v>
      </c>
      <c r="P491" s="3">
        <v>2</v>
      </c>
      <c r="Q491" s="3">
        <v>6</v>
      </c>
      <c r="R491" s="3">
        <v>3</v>
      </c>
      <c r="S491" s="3">
        <v>1</v>
      </c>
      <c r="T491" s="3">
        <v>3</v>
      </c>
      <c r="U491" s="3" t="s">
        <v>104</v>
      </c>
      <c r="V491" s="3">
        <v>5233</v>
      </c>
      <c r="W491" s="3">
        <v>7.6</v>
      </c>
      <c r="X491" s="3" t="s">
        <v>48</v>
      </c>
      <c r="Y491" s="7" t="s">
        <v>42</v>
      </c>
    </row>
    <row r="492" spans="1:25" x14ac:dyDescent="0.3">
      <c r="A492" s="5" t="s">
        <v>783</v>
      </c>
      <c r="B492" s="3" t="s">
        <v>394</v>
      </c>
      <c r="C492" s="3" t="s">
        <v>58</v>
      </c>
      <c r="D492" s="3">
        <v>25</v>
      </c>
      <c r="E492" s="3" t="s">
        <v>65</v>
      </c>
      <c r="F492" s="3" t="s">
        <v>38</v>
      </c>
      <c r="G492" s="3" t="s">
        <v>46</v>
      </c>
      <c r="H492" s="3" t="s">
        <v>28</v>
      </c>
      <c r="I492" s="3" t="s">
        <v>47</v>
      </c>
      <c r="J492" s="6">
        <v>46080</v>
      </c>
      <c r="K492" s="3" t="s">
        <v>30</v>
      </c>
      <c r="L492" s="3" t="s">
        <v>53</v>
      </c>
      <c r="M492" s="3">
        <v>71700</v>
      </c>
      <c r="N492" s="3">
        <v>2</v>
      </c>
      <c r="O492" s="3">
        <v>100</v>
      </c>
      <c r="P492" s="3">
        <v>1</v>
      </c>
      <c r="Q492" s="3">
        <v>4</v>
      </c>
      <c r="R492" s="3">
        <v>1</v>
      </c>
      <c r="S492" s="3">
        <v>30</v>
      </c>
      <c r="T492" s="3">
        <v>3</v>
      </c>
      <c r="U492" s="3" t="s">
        <v>130</v>
      </c>
      <c r="V492" s="3">
        <v>5975</v>
      </c>
      <c r="W492" s="3">
        <v>0.4</v>
      </c>
      <c r="X492" s="3" t="s">
        <v>95</v>
      </c>
      <c r="Y492" s="7" t="s">
        <v>75</v>
      </c>
    </row>
    <row r="493" spans="1:25" x14ac:dyDescent="0.3">
      <c r="A493" s="5" t="s">
        <v>784</v>
      </c>
      <c r="B493" s="3" t="s">
        <v>117</v>
      </c>
      <c r="C493" s="3" t="s">
        <v>24</v>
      </c>
      <c r="D493" s="3">
        <v>48</v>
      </c>
      <c r="E493" s="3" t="s">
        <v>118</v>
      </c>
      <c r="F493" s="3" t="s">
        <v>52</v>
      </c>
      <c r="G493" s="3" t="s">
        <v>27</v>
      </c>
      <c r="H493" s="3" t="s">
        <v>28</v>
      </c>
      <c r="I493" s="3" t="s">
        <v>92</v>
      </c>
      <c r="J493" s="6">
        <v>45052</v>
      </c>
      <c r="K493" s="3" t="s">
        <v>30</v>
      </c>
      <c r="L493" s="3" t="s">
        <v>31</v>
      </c>
      <c r="M493" s="3">
        <v>77700</v>
      </c>
      <c r="N493" s="3">
        <v>28</v>
      </c>
      <c r="O493" s="3">
        <v>86.7</v>
      </c>
      <c r="P493" s="3">
        <v>6</v>
      </c>
      <c r="Q493" s="3">
        <v>13</v>
      </c>
      <c r="R493" s="3">
        <v>2</v>
      </c>
      <c r="S493" s="3">
        <v>26</v>
      </c>
      <c r="T493" s="3">
        <v>24</v>
      </c>
      <c r="U493" s="3" t="s">
        <v>94</v>
      </c>
      <c r="V493" s="3">
        <v>6475</v>
      </c>
      <c r="W493" s="3">
        <v>3.2</v>
      </c>
      <c r="X493" s="3" t="s">
        <v>54</v>
      </c>
      <c r="Y493" s="7" t="s">
        <v>55</v>
      </c>
    </row>
    <row r="494" spans="1:25" x14ac:dyDescent="0.3">
      <c r="A494" s="5" t="s">
        <v>785</v>
      </c>
      <c r="B494" s="3" t="s">
        <v>309</v>
      </c>
      <c r="C494" s="3" t="s">
        <v>58</v>
      </c>
      <c r="D494" s="3">
        <v>21</v>
      </c>
      <c r="E494" s="3" t="s">
        <v>101</v>
      </c>
      <c r="F494" s="3" t="s">
        <v>52</v>
      </c>
      <c r="G494" s="3" t="s">
        <v>80</v>
      </c>
      <c r="H494" s="3" t="s">
        <v>28</v>
      </c>
      <c r="I494" s="3" t="s">
        <v>68</v>
      </c>
      <c r="J494" s="6">
        <v>44882</v>
      </c>
      <c r="K494" s="3" t="s">
        <v>87</v>
      </c>
      <c r="L494" s="3" t="s">
        <v>31</v>
      </c>
      <c r="M494" s="3">
        <v>40000</v>
      </c>
      <c r="N494" s="3">
        <v>0</v>
      </c>
      <c r="O494" s="3">
        <v>92.1</v>
      </c>
      <c r="P494" s="3">
        <v>7</v>
      </c>
      <c r="Q494" s="3">
        <v>9</v>
      </c>
      <c r="R494" s="3">
        <v>0</v>
      </c>
      <c r="S494" s="3">
        <v>9</v>
      </c>
      <c r="T494" s="3">
        <v>27</v>
      </c>
      <c r="U494" s="3" t="s">
        <v>94</v>
      </c>
      <c r="V494" s="3">
        <v>3333</v>
      </c>
      <c r="W494" s="3">
        <v>3.7</v>
      </c>
      <c r="X494" s="3" t="s">
        <v>48</v>
      </c>
      <c r="Y494" s="7" t="s">
        <v>75</v>
      </c>
    </row>
    <row r="495" spans="1:25" x14ac:dyDescent="0.3">
      <c r="A495" s="5" t="s">
        <v>786</v>
      </c>
      <c r="B495" s="3" t="s">
        <v>465</v>
      </c>
      <c r="C495" s="3" t="s">
        <v>24</v>
      </c>
      <c r="D495" s="3">
        <v>26</v>
      </c>
      <c r="E495" s="3" t="s">
        <v>78</v>
      </c>
      <c r="F495" s="3" t="s">
        <v>66</v>
      </c>
      <c r="G495" s="3" t="s">
        <v>39</v>
      </c>
      <c r="H495" s="3" t="s">
        <v>67</v>
      </c>
      <c r="I495" s="3" t="s">
        <v>40</v>
      </c>
      <c r="J495" s="6">
        <v>43630</v>
      </c>
      <c r="K495" s="3" t="s">
        <v>30</v>
      </c>
      <c r="L495" s="3" t="s">
        <v>31</v>
      </c>
      <c r="M495" s="3">
        <v>29700</v>
      </c>
      <c r="N495" s="3">
        <v>2</v>
      </c>
      <c r="O495" s="3">
        <v>91.9</v>
      </c>
      <c r="P495" s="3">
        <v>8</v>
      </c>
      <c r="Q495" s="3">
        <v>11</v>
      </c>
      <c r="R495" s="3">
        <v>0</v>
      </c>
      <c r="S495" s="3">
        <v>24</v>
      </c>
      <c r="T495" s="3">
        <v>23</v>
      </c>
      <c r="U495" s="3" t="s">
        <v>32</v>
      </c>
      <c r="V495" s="3">
        <v>2475</v>
      </c>
      <c r="W495" s="3">
        <v>7.1</v>
      </c>
      <c r="X495" s="3" t="s">
        <v>95</v>
      </c>
      <c r="Y495" s="7" t="s">
        <v>42</v>
      </c>
    </row>
    <row r="496" spans="1:25" x14ac:dyDescent="0.3">
      <c r="A496" s="5" t="s">
        <v>787</v>
      </c>
      <c r="B496" s="3" t="s">
        <v>694</v>
      </c>
      <c r="C496" s="3" t="s">
        <v>24</v>
      </c>
      <c r="D496" s="3">
        <v>27</v>
      </c>
      <c r="E496" s="3" t="s">
        <v>59</v>
      </c>
      <c r="F496" s="3" t="s">
        <v>60</v>
      </c>
      <c r="G496" s="3" t="s">
        <v>80</v>
      </c>
      <c r="H496" s="3" t="s">
        <v>28</v>
      </c>
      <c r="I496" s="3" t="s">
        <v>68</v>
      </c>
      <c r="J496" s="6">
        <v>43134</v>
      </c>
      <c r="K496" s="3" t="s">
        <v>30</v>
      </c>
      <c r="L496" s="3" t="s">
        <v>93</v>
      </c>
      <c r="M496" s="3">
        <v>65100</v>
      </c>
      <c r="N496" s="3">
        <v>3</v>
      </c>
      <c r="O496" s="3">
        <v>93.5</v>
      </c>
      <c r="P496" s="3">
        <v>7</v>
      </c>
      <c r="Q496" s="3">
        <v>9</v>
      </c>
      <c r="R496" s="3">
        <v>1</v>
      </c>
      <c r="S496" s="3">
        <v>13</v>
      </c>
      <c r="T496" s="3">
        <v>23</v>
      </c>
      <c r="U496" s="3" t="s">
        <v>130</v>
      </c>
      <c r="V496" s="3">
        <v>5425</v>
      </c>
      <c r="W496" s="3">
        <v>8.5</v>
      </c>
      <c r="X496" s="3" t="s">
        <v>95</v>
      </c>
      <c r="Y496" s="7" t="s">
        <v>34</v>
      </c>
    </row>
    <row r="497" spans="1:25" x14ac:dyDescent="0.3">
      <c r="A497" s="5" t="s">
        <v>788</v>
      </c>
      <c r="B497" s="3" t="s">
        <v>489</v>
      </c>
      <c r="C497" s="3" t="s">
        <v>58</v>
      </c>
      <c r="D497" s="3">
        <v>50</v>
      </c>
      <c r="E497" s="3" t="s">
        <v>25</v>
      </c>
      <c r="F497" s="3" t="s">
        <v>79</v>
      </c>
      <c r="G497" s="3" t="s">
        <v>27</v>
      </c>
      <c r="H497" s="3" t="s">
        <v>115</v>
      </c>
      <c r="I497" s="3" t="s">
        <v>107</v>
      </c>
      <c r="J497" s="6">
        <v>46146</v>
      </c>
      <c r="K497" s="3" t="s">
        <v>30</v>
      </c>
      <c r="L497" s="3" t="s">
        <v>53</v>
      </c>
      <c r="M497" s="3">
        <v>100300</v>
      </c>
      <c r="N497" s="3">
        <v>31</v>
      </c>
      <c r="O497" s="3">
        <v>87</v>
      </c>
      <c r="P497" s="3">
        <v>1</v>
      </c>
      <c r="Q497" s="3">
        <v>4</v>
      </c>
      <c r="R497" s="3">
        <v>0</v>
      </c>
      <c r="S497" s="3">
        <v>25</v>
      </c>
      <c r="T497" s="3">
        <v>22</v>
      </c>
      <c r="U497" s="3" t="s">
        <v>123</v>
      </c>
      <c r="V497" s="3">
        <v>8358</v>
      </c>
      <c r="W497" s="3">
        <v>0.2</v>
      </c>
      <c r="X497" s="3" t="s">
        <v>54</v>
      </c>
      <c r="Y497" s="7" t="s">
        <v>75</v>
      </c>
    </row>
    <row r="498" spans="1:25" x14ac:dyDescent="0.3">
      <c r="A498" s="5" t="s">
        <v>789</v>
      </c>
      <c r="B498" s="3" t="s">
        <v>790</v>
      </c>
      <c r="C498" s="3" t="s">
        <v>58</v>
      </c>
      <c r="D498" s="3">
        <v>32</v>
      </c>
      <c r="E498" s="3" t="s">
        <v>160</v>
      </c>
      <c r="F498" s="3" t="s">
        <v>38</v>
      </c>
      <c r="G498" s="3" t="s">
        <v>46</v>
      </c>
      <c r="H498" s="3" t="s">
        <v>28</v>
      </c>
      <c r="I498" s="3" t="s">
        <v>92</v>
      </c>
      <c r="J498" s="6">
        <v>43423</v>
      </c>
      <c r="K498" s="3" t="s">
        <v>30</v>
      </c>
      <c r="L498" s="3" t="s">
        <v>93</v>
      </c>
      <c r="M498" s="3">
        <v>78100</v>
      </c>
      <c r="N498" s="3">
        <v>12</v>
      </c>
      <c r="O498" s="3">
        <v>78.099999999999994</v>
      </c>
      <c r="P498" s="3">
        <v>2</v>
      </c>
      <c r="Q498" s="3">
        <v>5</v>
      </c>
      <c r="R498" s="3">
        <v>2</v>
      </c>
      <c r="S498" s="3">
        <v>4</v>
      </c>
      <c r="T498" s="3">
        <v>2</v>
      </c>
      <c r="U498" s="3" t="s">
        <v>32</v>
      </c>
      <c r="V498" s="3">
        <v>6508</v>
      </c>
      <c r="W498" s="3">
        <v>7.7</v>
      </c>
      <c r="X498" s="3" t="s">
        <v>33</v>
      </c>
      <c r="Y498" s="7" t="s">
        <v>55</v>
      </c>
    </row>
    <row r="499" spans="1:25" x14ac:dyDescent="0.3">
      <c r="A499" s="5" t="s">
        <v>791</v>
      </c>
      <c r="B499" s="3" t="s">
        <v>792</v>
      </c>
      <c r="C499" s="3" t="s">
        <v>58</v>
      </c>
      <c r="D499" s="3">
        <v>48</v>
      </c>
      <c r="E499" s="3" t="s">
        <v>137</v>
      </c>
      <c r="F499" s="3" t="s">
        <v>72</v>
      </c>
      <c r="G499" s="3" t="s">
        <v>80</v>
      </c>
      <c r="H499" s="3" t="s">
        <v>122</v>
      </c>
      <c r="I499" s="3" t="s">
        <v>68</v>
      </c>
      <c r="J499" s="6">
        <v>44305</v>
      </c>
      <c r="K499" s="3" t="s">
        <v>30</v>
      </c>
      <c r="L499" s="3" t="s">
        <v>53</v>
      </c>
      <c r="M499" s="3">
        <v>75100</v>
      </c>
      <c r="N499" s="3">
        <v>25</v>
      </c>
      <c r="O499" s="3">
        <v>87.7</v>
      </c>
      <c r="P499" s="3">
        <v>0</v>
      </c>
      <c r="Q499" s="3">
        <v>9</v>
      </c>
      <c r="R499" s="3">
        <v>0</v>
      </c>
      <c r="S499" s="3">
        <v>19</v>
      </c>
      <c r="T499" s="3">
        <v>24</v>
      </c>
      <c r="U499" s="3" t="s">
        <v>41</v>
      </c>
      <c r="V499" s="3">
        <v>6258</v>
      </c>
      <c r="W499" s="3">
        <v>5.3</v>
      </c>
      <c r="X499" s="3" t="s">
        <v>54</v>
      </c>
      <c r="Y499" s="7" t="s">
        <v>75</v>
      </c>
    </row>
    <row r="500" spans="1:25" x14ac:dyDescent="0.3">
      <c r="A500" s="5" t="s">
        <v>793</v>
      </c>
      <c r="B500" s="3" t="s">
        <v>337</v>
      </c>
      <c r="C500" s="3" t="s">
        <v>58</v>
      </c>
      <c r="D500" s="3">
        <v>35</v>
      </c>
      <c r="E500" s="3" t="s">
        <v>137</v>
      </c>
      <c r="F500" s="3" t="s">
        <v>38</v>
      </c>
      <c r="G500" s="3" t="s">
        <v>39</v>
      </c>
      <c r="H500" s="3" t="s">
        <v>28</v>
      </c>
      <c r="I500" s="3" t="s">
        <v>47</v>
      </c>
      <c r="J500" s="6">
        <v>45087</v>
      </c>
      <c r="K500" s="3" t="s">
        <v>30</v>
      </c>
      <c r="L500" s="3" t="s">
        <v>53</v>
      </c>
      <c r="M500" s="3">
        <v>33100</v>
      </c>
      <c r="N500" s="3">
        <v>12</v>
      </c>
      <c r="O500" s="3">
        <v>91.2</v>
      </c>
      <c r="P500" s="3">
        <v>0</v>
      </c>
      <c r="Q500" s="3">
        <v>11</v>
      </c>
      <c r="R500" s="3">
        <v>2</v>
      </c>
      <c r="S500" s="3">
        <v>7</v>
      </c>
      <c r="T500" s="3">
        <v>19</v>
      </c>
      <c r="U500" s="3" t="s">
        <v>41</v>
      </c>
      <c r="V500" s="3">
        <v>2758</v>
      </c>
      <c r="W500" s="3">
        <v>3.1</v>
      </c>
      <c r="X500" s="3" t="s">
        <v>108</v>
      </c>
      <c r="Y500" s="7" t="s">
        <v>75</v>
      </c>
    </row>
    <row r="501" spans="1:25" x14ac:dyDescent="0.3">
      <c r="A501" s="5" t="s">
        <v>794</v>
      </c>
      <c r="B501" s="3" t="s">
        <v>139</v>
      </c>
      <c r="C501" s="3" t="s">
        <v>58</v>
      </c>
      <c r="D501" s="3">
        <v>48</v>
      </c>
      <c r="E501" s="3" t="s">
        <v>59</v>
      </c>
      <c r="F501" s="3" t="s">
        <v>91</v>
      </c>
      <c r="G501" s="3" t="s">
        <v>80</v>
      </c>
      <c r="H501" s="3" t="s">
        <v>122</v>
      </c>
      <c r="I501" s="3" t="s">
        <v>29</v>
      </c>
      <c r="J501" s="6">
        <v>43447</v>
      </c>
      <c r="K501" s="3" t="s">
        <v>30</v>
      </c>
      <c r="L501" s="3" t="s">
        <v>93</v>
      </c>
      <c r="M501" s="3">
        <v>39400</v>
      </c>
      <c r="N501" s="3">
        <v>24</v>
      </c>
      <c r="O501" s="3">
        <v>91.5</v>
      </c>
      <c r="P501" s="3">
        <v>5</v>
      </c>
      <c r="Q501" s="3">
        <v>7</v>
      </c>
      <c r="R501" s="3">
        <v>4</v>
      </c>
      <c r="S501" s="3">
        <v>19</v>
      </c>
      <c r="T501" s="3">
        <v>17</v>
      </c>
      <c r="U501" s="3" t="s">
        <v>123</v>
      </c>
      <c r="V501" s="3">
        <v>3283</v>
      </c>
      <c r="W501" s="3">
        <v>7.6</v>
      </c>
      <c r="X501" s="3" t="s">
        <v>54</v>
      </c>
      <c r="Y501" s="7" t="s">
        <v>55</v>
      </c>
    </row>
    <row r="502" spans="1:25" x14ac:dyDescent="0.3">
      <c r="A502" s="5" t="s">
        <v>795</v>
      </c>
      <c r="B502" s="3" t="s">
        <v>651</v>
      </c>
      <c r="C502" s="3" t="s">
        <v>24</v>
      </c>
      <c r="D502" s="3">
        <v>50</v>
      </c>
      <c r="E502" s="3" t="s">
        <v>118</v>
      </c>
      <c r="F502" s="3" t="s">
        <v>52</v>
      </c>
      <c r="G502" s="3" t="s">
        <v>80</v>
      </c>
      <c r="H502" s="3" t="s">
        <v>28</v>
      </c>
      <c r="I502" s="3" t="s">
        <v>107</v>
      </c>
      <c r="J502" s="6">
        <v>44830</v>
      </c>
      <c r="K502" s="3" t="s">
        <v>30</v>
      </c>
      <c r="L502" s="3" t="s">
        <v>53</v>
      </c>
      <c r="M502" s="3">
        <v>41100</v>
      </c>
      <c r="N502" s="3">
        <v>27</v>
      </c>
      <c r="O502" s="3">
        <v>98.8</v>
      </c>
      <c r="P502" s="3">
        <v>2</v>
      </c>
      <c r="Q502" s="3">
        <v>8</v>
      </c>
      <c r="R502" s="3">
        <v>3</v>
      </c>
      <c r="S502" s="3">
        <v>17</v>
      </c>
      <c r="T502" s="3">
        <v>25</v>
      </c>
      <c r="U502" s="3" t="s">
        <v>104</v>
      </c>
      <c r="V502" s="3">
        <v>3425</v>
      </c>
      <c r="W502" s="3">
        <v>3.8</v>
      </c>
      <c r="X502" s="3" t="s">
        <v>54</v>
      </c>
      <c r="Y502" s="7" t="s">
        <v>42</v>
      </c>
    </row>
    <row r="503" spans="1:25" x14ac:dyDescent="0.3">
      <c r="A503" s="5" t="s">
        <v>796</v>
      </c>
      <c r="B503" s="3" t="s">
        <v>168</v>
      </c>
      <c r="C503" s="3" t="s">
        <v>24</v>
      </c>
      <c r="D503" s="3">
        <v>41</v>
      </c>
      <c r="E503" s="3" t="s">
        <v>25</v>
      </c>
      <c r="F503" s="3" t="s">
        <v>91</v>
      </c>
      <c r="G503" s="3" t="s">
        <v>171</v>
      </c>
      <c r="H503" s="3" t="s">
        <v>28</v>
      </c>
      <c r="I503" s="3" t="s">
        <v>73</v>
      </c>
      <c r="J503" s="6">
        <v>44316</v>
      </c>
      <c r="K503" s="3" t="s">
        <v>30</v>
      </c>
      <c r="L503" s="3" t="s">
        <v>53</v>
      </c>
      <c r="M503" s="3">
        <v>73500</v>
      </c>
      <c r="N503" s="3">
        <v>20</v>
      </c>
      <c r="O503" s="3">
        <v>89.6</v>
      </c>
      <c r="P503" s="3">
        <v>3</v>
      </c>
      <c r="Q503" s="3">
        <v>13</v>
      </c>
      <c r="R503" s="3">
        <v>1</v>
      </c>
      <c r="S503" s="3">
        <v>20</v>
      </c>
      <c r="T503" s="3">
        <v>11</v>
      </c>
      <c r="U503" s="3" t="s">
        <v>32</v>
      </c>
      <c r="V503" s="3">
        <v>6125</v>
      </c>
      <c r="W503" s="3">
        <v>5.3</v>
      </c>
      <c r="X503" s="3" t="s">
        <v>62</v>
      </c>
      <c r="Y503" s="7" t="s">
        <v>42</v>
      </c>
    </row>
    <row r="504" spans="1:25" x14ac:dyDescent="0.3">
      <c r="A504" s="5" t="s">
        <v>797</v>
      </c>
      <c r="B504" s="3" t="s">
        <v>249</v>
      </c>
      <c r="C504" s="3" t="s">
        <v>24</v>
      </c>
      <c r="D504" s="3">
        <v>40</v>
      </c>
      <c r="E504" s="3" t="s">
        <v>83</v>
      </c>
      <c r="F504" s="3" t="s">
        <v>79</v>
      </c>
      <c r="G504" s="3" t="s">
        <v>27</v>
      </c>
      <c r="H504" s="3" t="s">
        <v>28</v>
      </c>
      <c r="I504" s="3" t="s">
        <v>29</v>
      </c>
      <c r="J504" s="6">
        <v>44703</v>
      </c>
      <c r="K504" s="3" t="s">
        <v>30</v>
      </c>
      <c r="L504" s="3" t="s">
        <v>53</v>
      </c>
      <c r="M504" s="3">
        <v>82400</v>
      </c>
      <c r="N504" s="3">
        <v>17</v>
      </c>
      <c r="O504" s="3">
        <v>92</v>
      </c>
      <c r="P504" s="3">
        <v>7</v>
      </c>
      <c r="Q504" s="3">
        <v>5</v>
      </c>
      <c r="R504" s="3">
        <v>1</v>
      </c>
      <c r="S504" s="3">
        <v>4</v>
      </c>
      <c r="T504" s="3">
        <v>24</v>
      </c>
      <c r="U504" s="3" t="s">
        <v>130</v>
      </c>
      <c r="V504" s="3">
        <v>6867</v>
      </c>
      <c r="W504" s="3">
        <v>4.2</v>
      </c>
      <c r="X504" s="3" t="s">
        <v>62</v>
      </c>
      <c r="Y504" s="7" t="s">
        <v>42</v>
      </c>
    </row>
    <row r="505" spans="1:25" x14ac:dyDescent="0.3">
      <c r="A505" s="5" t="s">
        <v>798</v>
      </c>
      <c r="B505" s="3" t="s">
        <v>799</v>
      </c>
      <c r="C505" s="3" t="s">
        <v>24</v>
      </c>
      <c r="D505" s="3">
        <v>29</v>
      </c>
      <c r="E505" s="3" t="s">
        <v>160</v>
      </c>
      <c r="F505" s="3" t="s">
        <v>72</v>
      </c>
      <c r="G505" s="3" t="s">
        <v>39</v>
      </c>
      <c r="H505" s="3" t="s">
        <v>28</v>
      </c>
      <c r="I505" s="3" t="s">
        <v>29</v>
      </c>
      <c r="J505" s="6">
        <v>45869</v>
      </c>
      <c r="K505" s="3" t="s">
        <v>30</v>
      </c>
      <c r="L505" s="3" t="s">
        <v>53</v>
      </c>
      <c r="M505" s="3">
        <v>45400</v>
      </c>
      <c r="N505" s="3">
        <v>5</v>
      </c>
      <c r="O505" s="3">
        <v>87</v>
      </c>
      <c r="P505" s="3">
        <v>4</v>
      </c>
      <c r="Q505" s="3">
        <v>2</v>
      </c>
      <c r="R505" s="3">
        <v>0</v>
      </c>
      <c r="S505" s="3">
        <v>3</v>
      </c>
      <c r="T505" s="3">
        <v>17</v>
      </c>
      <c r="U505" s="3" t="s">
        <v>130</v>
      </c>
      <c r="V505" s="3">
        <v>3783</v>
      </c>
      <c r="W505" s="3">
        <v>1</v>
      </c>
      <c r="X505" s="3" t="s">
        <v>95</v>
      </c>
      <c r="Y505" s="7" t="s">
        <v>75</v>
      </c>
    </row>
    <row r="506" spans="1:25" x14ac:dyDescent="0.3">
      <c r="A506" s="5" t="s">
        <v>800</v>
      </c>
      <c r="B506" s="3" t="s">
        <v>264</v>
      </c>
      <c r="C506" s="3" t="s">
        <v>58</v>
      </c>
      <c r="D506" s="3">
        <v>23</v>
      </c>
      <c r="E506" s="3" t="s">
        <v>71</v>
      </c>
      <c r="F506" s="3" t="s">
        <v>72</v>
      </c>
      <c r="G506" s="3" t="s">
        <v>80</v>
      </c>
      <c r="H506" s="3" t="s">
        <v>67</v>
      </c>
      <c r="I506" s="3" t="s">
        <v>40</v>
      </c>
      <c r="J506" s="6">
        <v>44803</v>
      </c>
      <c r="K506" s="3" t="s">
        <v>30</v>
      </c>
      <c r="L506" s="3" t="s">
        <v>31</v>
      </c>
      <c r="M506" s="3">
        <v>59800</v>
      </c>
      <c r="N506" s="3">
        <v>2</v>
      </c>
      <c r="O506" s="3">
        <v>88</v>
      </c>
      <c r="P506" s="3">
        <v>5</v>
      </c>
      <c r="Q506" s="3">
        <v>5</v>
      </c>
      <c r="R506" s="3">
        <v>2</v>
      </c>
      <c r="S506" s="3">
        <v>18</v>
      </c>
      <c r="T506" s="3">
        <v>29</v>
      </c>
      <c r="U506" s="3" t="s">
        <v>123</v>
      </c>
      <c r="V506" s="3">
        <v>4983</v>
      </c>
      <c r="W506" s="3">
        <v>3.9</v>
      </c>
      <c r="X506" s="3" t="s">
        <v>48</v>
      </c>
      <c r="Y506" s="7" t="s">
        <v>75</v>
      </c>
    </row>
    <row r="507" spans="1:25" x14ac:dyDescent="0.3">
      <c r="A507" s="5" t="s">
        <v>801</v>
      </c>
      <c r="B507" s="3" t="s">
        <v>174</v>
      </c>
      <c r="C507" s="3" t="s">
        <v>58</v>
      </c>
      <c r="D507" s="3">
        <v>44</v>
      </c>
      <c r="E507" s="3" t="s">
        <v>78</v>
      </c>
      <c r="F507" s="3" t="s">
        <v>66</v>
      </c>
      <c r="G507" s="3" t="s">
        <v>39</v>
      </c>
      <c r="H507" s="3" t="s">
        <v>28</v>
      </c>
      <c r="I507" s="3" t="s">
        <v>29</v>
      </c>
      <c r="J507" s="6">
        <v>43345</v>
      </c>
      <c r="K507" s="3" t="s">
        <v>87</v>
      </c>
      <c r="L507" s="3" t="s">
        <v>31</v>
      </c>
      <c r="M507" s="3">
        <v>29800</v>
      </c>
      <c r="N507" s="3">
        <v>24</v>
      </c>
      <c r="O507" s="3">
        <v>100</v>
      </c>
      <c r="P507" s="3">
        <v>8</v>
      </c>
      <c r="Q507" s="3">
        <v>14</v>
      </c>
      <c r="R507" s="3">
        <v>3</v>
      </c>
      <c r="S507" s="3">
        <v>10</v>
      </c>
      <c r="T507" s="3">
        <v>14</v>
      </c>
      <c r="U507" s="3" t="s">
        <v>130</v>
      </c>
      <c r="V507" s="3">
        <v>2483</v>
      </c>
      <c r="W507" s="3">
        <v>7.9</v>
      </c>
      <c r="X507" s="3" t="s">
        <v>62</v>
      </c>
      <c r="Y507" s="7" t="s">
        <v>55</v>
      </c>
    </row>
    <row r="508" spans="1:25" x14ac:dyDescent="0.3">
      <c r="A508" s="5" t="s">
        <v>802</v>
      </c>
      <c r="B508" s="3" t="s">
        <v>57</v>
      </c>
      <c r="C508" s="3" t="s">
        <v>24</v>
      </c>
      <c r="D508" s="3">
        <v>43</v>
      </c>
      <c r="E508" s="3" t="s">
        <v>25</v>
      </c>
      <c r="F508" s="3" t="s">
        <v>52</v>
      </c>
      <c r="G508" s="3" t="s">
        <v>80</v>
      </c>
      <c r="H508" s="3" t="s">
        <v>122</v>
      </c>
      <c r="I508" s="3" t="s">
        <v>29</v>
      </c>
      <c r="J508" s="6">
        <v>45826</v>
      </c>
      <c r="K508" s="3" t="s">
        <v>30</v>
      </c>
      <c r="L508" s="3" t="s">
        <v>31</v>
      </c>
      <c r="M508" s="3">
        <v>50000</v>
      </c>
      <c r="N508" s="3">
        <v>21</v>
      </c>
      <c r="O508" s="3">
        <v>87.4</v>
      </c>
      <c r="P508" s="3">
        <v>1</v>
      </c>
      <c r="Q508" s="3">
        <v>3</v>
      </c>
      <c r="R508" s="3">
        <v>0</v>
      </c>
      <c r="S508" s="3">
        <v>4</v>
      </c>
      <c r="T508" s="3">
        <v>3</v>
      </c>
      <c r="U508" s="3" t="s">
        <v>130</v>
      </c>
      <c r="V508" s="3">
        <v>4167</v>
      </c>
      <c r="W508" s="3">
        <v>1.1000000000000001</v>
      </c>
      <c r="X508" s="3" t="s">
        <v>62</v>
      </c>
      <c r="Y508" s="7" t="s">
        <v>42</v>
      </c>
    </row>
    <row r="509" spans="1:25" x14ac:dyDescent="0.3">
      <c r="A509" s="5" t="s">
        <v>803</v>
      </c>
      <c r="B509" s="3" t="s">
        <v>222</v>
      </c>
      <c r="C509" s="3" t="s">
        <v>58</v>
      </c>
      <c r="D509" s="3">
        <v>40</v>
      </c>
      <c r="E509" s="3" t="s">
        <v>71</v>
      </c>
      <c r="F509" s="3" t="s">
        <v>91</v>
      </c>
      <c r="G509" s="3" t="s">
        <v>27</v>
      </c>
      <c r="H509" s="3" t="s">
        <v>28</v>
      </c>
      <c r="I509" s="3" t="s">
        <v>68</v>
      </c>
      <c r="J509" s="6">
        <v>44932</v>
      </c>
      <c r="K509" s="3" t="s">
        <v>30</v>
      </c>
      <c r="L509" s="3" t="s">
        <v>53</v>
      </c>
      <c r="M509" s="3">
        <v>64500</v>
      </c>
      <c r="N509" s="3">
        <v>21</v>
      </c>
      <c r="O509" s="3">
        <v>89.1</v>
      </c>
      <c r="P509" s="3">
        <v>2</v>
      </c>
      <c r="Q509" s="3">
        <v>15</v>
      </c>
      <c r="R509" s="3">
        <v>3</v>
      </c>
      <c r="S509" s="3">
        <v>15</v>
      </c>
      <c r="T509" s="3">
        <v>3</v>
      </c>
      <c r="U509" s="3" t="s">
        <v>104</v>
      </c>
      <c r="V509" s="3">
        <v>5375</v>
      </c>
      <c r="W509" s="3">
        <v>3.6</v>
      </c>
      <c r="X509" s="3" t="s">
        <v>62</v>
      </c>
      <c r="Y509" s="7" t="s">
        <v>42</v>
      </c>
    </row>
    <row r="510" spans="1:25" x14ac:dyDescent="0.3">
      <c r="A510" s="5" t="s">
        <v>804</v>
      </c>
      <c r="B510" s="3" t="s">
        <v>281</v>
      </c>
      <c r="C510" s="3" t="s">
        <v>24</v>
      </c>
      <c r="D510" s="3">
        <v>32</v>
      </c>
      <c r="E510" s="3" t="s">
        <v>98</v>
      </c>
      <c r="F510" s="3" t="s">
        <v>26</v>
      </c>
      <c r="G510" s="3" t="s">
        <v>80</v>
      </c>
      <c r="H510" s="3" t="s">
        <v>28</v>
      </c>
      <c r="I510" s="3" t="s">
        <v>86</v>
      </c>
      <c r="J510" s="6">
        <v>46063</v>
      </c>
      <c r="K510" s="3" t="s">
        <v>30</v>
      </c>
      <c r="L510" s="3" t="s">
        <v>31</v>
      </c>
      <c r="M510" s="3">
        <v>53800</v>
      </c>
      <c r="N510" s="3">
        <v>9</v>
      </c>
      <c r="O510" s="3">
        <v>96.4</v>
      </c>
      <c r="P510" s="3">
        <v>4</v>
      </c>
      <c r="Q510" s="3">
        <v>3</v>
      </c>
      <c r="R510" s="3">
        <v>2</v>
      </c>
      <c r="S510" s="3">
        <v>8</v>
      </c>
      <c r="T510" s="3">
        <v>11</v>
      </c>
      <c r="U510" s="3" t="s">
        <v>104</v>
      </c>
      <c r="V510" s="3">
        <v>4483</v>
      </c>
      <c r="W510" s="3">
        <v>0.5</v>
      </c>
      <c r="X510" s="3" t="s">
        <v>33</v>
      </c>
      <c r="Y510" s="7" t="s">
        <v>55</v>
      </c>
    </row>
    <row r="511" spans="1:25" x14ac:dyDescent="0.3">
      <c r="A511" s="5" t="s">
        <v>805</v>
      </c>
      <c r="B511" s="3" t="s">
        <v>806</v>
      </c>
      <c r="C511" s="3" t="s">
        <v>24</v>
      </c>
      <c r="D511" s="3">
        <v>36</v>
      </c>
      <c r="E511" s="3" t="s">
        <v>25</v>
      </c>
      <c r="F511" s="3" t="s">
        <v>79</v>
      </c>
      <c r="G511" s="3" t="s">
        <v>80</v>
      </c>
      <c r="H511" s="3" t="s">
        <v>28</v>
      </c>
      <c r="I511" s="3" t="s">
        <v>107</v>
      </c>
      <c r="J511" s="6">
        <v>45871</v>
      </c>
      <c r="K511" s="3" t="s">
        <v>30</v>
      </c>
      <c r="L511" s="3" t="s">
        <v>53</v>
      </c>
      <c r="M511" s="3">
        <v>49300</v>
      </c>
      <c r="N511" s="3">
        <v>15</v>
      </c>
      <c r="O511" s="3">
        <v>100</v>
      </c>
      <c r="P511" s="3">
        <v>1</v>
      </c>
      <c r="Q511" s="3">
        <v>10</v>
      </c>
      <c r="R511" s="3">
        <v>0</v>
      </c>
      <c r="S511" s="3">
        <v>24</v>
      </c>
      <c r="T511" s="3">
        <v>25</v>
      </c>
      <c r="U511" s="3" t="s">
        <v>130</v>
      </c>
      <c r="V511" s="3">
        <v>4108</v>
      </c>
      <c r="W511" s="3">
        <v>1</v>
      </c>
      <c r="X511" s="3" t="s">
        <v>108</v>
      </c>
      <c r="Y511" s="7" t="s">
        <v>75</v>
      </c>
    </row>
    <row r="512" spans="1:25" x14ac:dyDescent="0.3">
      <c r="A512" s="5" t="s">
        <v>807</v>
      </c>
      <c r="B512" s="3" t="s">
        <v>479</v>
      </c>
      <c r="C512" s="3" t="s">
        <v>58</v>
      </c>
      <c r="D512" s="3">
        <v>27</v>
      </c>
      <c r="E512" s="3" t="s">
        <v>71</v>
      </c>
      <c r="F512" s="3" t="s">
        <v>38</v>
      </c>
      <c r="G512" s="3" t="s">
        <v>39</v>
      </c>
      <c r="H512" s="3" t="s">
        <v>122</v>
      </c>
      <c r="I512" s="3" t="s">
        <v>107</v>
      </c>
      <c r="J512" s="6">
        <v>46152</v>
      </c>
      <c r="K512" s="3" t="s">
        <v>30</v>
      </c>
      <c r="L512" s="3" t="s">
        <v>53</v>
      </c>
      <c r="M512" s="3">
        <v>30400</v>
      </c>
      <c r="N512" s="3">
        <v>5</v>
      </c>
      <c r="O512" s="3">
        <v>95.1</v>
      </c>
      <c r="P512" s="3">
        <v>7</v>
      </c>
      <c r="Q512" s="3">
        <v>10</v>
      </c>
      <c r="R512" s="3">
        <v>0</v>
      </c>
      <c r="S512" s="3">
        <v>24</v>
      </c>
      <c r="T512" s="3">
        <v>29</v>
      </c>
      <c r="U512" s="3" t="s">
        <v>74</v>
      </c>
      <c r="V512" s="3">
        <v>2533</v>
      </c>
      <c r="W512" s="3">
        <v>0.2</v>
      </c>
      <c r="X512" s="3" t="s">
        <v>95</v>
      </c>
      <c r="Y512" s="7" t="s">
        <v>42</v>
      </c>
    </row>
    <row r="513" spans="1:25" x14ac:dyDescent="0.3">
      <c r="A513" s="5" t="s">
        <v>808</v>
      </c>
      <c r="B513" s="3" t="s">
        <v>550</v>
      </c>
      <c r="C513" s="3" t="s">
        <v>24</v>
      </c>
      <c r="D513" s="3">
        <v>27</v>
      </c>
      <c r="E513" s="3" t="s">
        <v>83</v>
      </c>
      <c r="F513" s="3" t="s">
        <v>38</v>
      </c>
      <c r="G513" s="3" t="s">
        <v>27</v>
      </c>
      <c r="H513" s="3" t="s">
        <v>28</v>
      </c>
      <c r="I513" s="3" t="s">
        <v>68</v>
      </c>
      <c r="J513" s="6">
        <v>43233</v>
      </c>
      <c r="K513" s="3" t="s">
        <v>30</v>
      </c>
      <c r="L513" s="3" t="s">
        <v>53</v>
      </c>
      <c r="M513" s="3">
        <v>77600</v>
      </c>
      <c r="N513" s="3">
        <v>7</v>
      </c>
      <c r="O513" s="3">
        <v>95.1</v>
      </c>
      <c r="P513" s="3">
        <v>1</v>
      </c>
      <c r="Q513" s="3">
        <v>6</v>
      </c>
      <c r="R513" s="3">
        <v>3</v>
      </c>
      <c r="S513" s="3">
        <v>5</v>
      </c>
      <c r="T513" s="3">
        <v>13</v>
      </c>
      <c r="U513" s="3" t="s">
        <v>74</v>
      </c>
      <c r="V513" s="3">
        <v>6467</v>
      </c>
      <c r="W513" s="3">
        <v>8.1999999999999993</v>
      </c>
      <c r="X513" s="3" t="s">
        <v>95</v>
      </c>
      <c r="Y513" s="7" t="s">
        <v>42</v>
      </c>
    </row>
    <row r="514" spans="1:25" x14ac:dyDescent="0.3">
      <c r="A514" s="5" t="s">
        <v>809</v>
      </c>
      <c r="B514" s="3" t="s">
        <v>287</v>
      </c>
      <c r="C514" s="3" t="s">
        <v>58</v>
      </c>
      <c r="D514" s="3">
        <v>42</v>
      </c>
      <c r="E514" s="3" t="s">
        <v>45</v>
      </c>
      <c r="F514" s="3" t="s">
        <v>26</v>
      </c>
      <c r="G514" s="3" t="s">
        <v>46</v>
      </c>
      <c r="H514" s="3" t="s">
        <v>28</v>
      </c>
      <c r="I514" s="3" t="s">
        <v>47</v>
      </c>
      <c r="J514" s="6">
        <v>46058</v>
      </c>
      <c r="K514" s="3" t="s">
        <v>30</v>
      </c>
      <c r="L514" s="3" t="s">
        <v>93</v>
      </c>
      <c r="M514" s="3">
        <v>70000</v>
      </c>
      <c r="N514" s="3">
        <v>20</v>
      </c>
      <c r="O514" s="3">
        <v>84.7</v>
      </c>
      <c r="P514" s="3">
        <v>3</v>
      </c>
      <c r="Q514" s="3">
        <v>5</v>
      </c>
      <c r="R514" s="3">
        <v>0</v>
      </c>
      <c r="S514" s="3">
        <v>7</v>
      </c>
      <c r="T514" s="3">
        <v>6</v>
      </c>
      <c r="U514" s="3" t="s">
        <v>41</v>
      </c>
      <c r="V514" s="3">
        <v>5833</v>
      </c>
      <c r="W514" s="3">
        <v>0.5</v>
      </c>
      <c r="X514" s="3" t="s">
        <v>62</v>
      </c>
      <c r="Y514" s="7" t="s">
        <v>42</v>
      </c>
    </row>
    <row r="515" spans="1:25" x14ac:dyDescent="0.3">
      <c r="A515" s="5" t="s">
        <v>810</v>
      </c>
      <c r="B515" s="3" t="s">
        <v>320</v>
      </c>
      <c r="C515" s="3" t="s">
        <v>58</v>
      </c>
      <c r="D515" s="3">
        <v>26</v>
      </c>
      <c r="E515" s="3" t="s">
        <v>51</v>
      </c>
      <c r="F515" s="3" t="s">
        <v>72</v>
      </c>
      <c r="G515" s="3" t="s">
        <v>80</v>
      </c>
      <c r="H515" s="3" t="s">
        <v>28</v>
      </c>
      <c r="I515" s="3" t="s">
        <v>107</v>
      </c>
      <c r="J515" s="6">
        <v>44471</v>
      </c>
      <c r="K515" s="3" t="s">
        <v>30</v>
      </c>
      <c r="L515" s="3" t="s">
        <v>31</v>
      </c>
      <c r="M515" s="3">
        <v>56500</v>
      </c>
      <c r="N515" s="3">
        <v>6</v>
      </c>
      <c r="O515" s="3">
        <v>93.6</v>
      </c>
      <c r="P515" s="3">
        <v>2</v>
      </c>
      <c r="Q515" s="3">
        <v>7</v>
      </c>
      <c r="R515" s="3">
        <v>3</v>
      </c>
      <c r="S515" s="3">
        <v>0</v>
      </c>
      <c r="T515" s="3">
        <v>9</v>
      </c>
      <c r="U515" s="3" t="s">
        <v>130</v>
      </c>
      <c r="V515" s="3">
        <v>4708</v>
      </c>
      <c r="W515" s="3">
        <v>4.8</v>
      </c>
      <c r="X515" s="3" t="s">
        <v>95</v>
      </c>
      <c r="Y515" s="7" t="s">
        <v>55</v>
      </c>
    </row>
    <row r="516" spans="1:25" x14ac:dyDescent="0.3">
      <c r="A516" s="5" t="s">
        <v>811</v>
      </c>
      <c r="B516" s="3" t="s">
        <v>205</v>
      </c>
      <c r="C516" s="3" t="s">
        <v>58</v>
      </c>
      <c r="D516" s="3">
        <v>43</v>
      </c>
      <c r="E516" s="3" t="s">
        <v>101</v>
      </c>
      <c r="F516" s="3" t="s">
        <v>72</v>
      </c>
      <c r="G516" s="3" t="s">
        <v>39</v>
      </c>
      <c r="H516" s="3" t="s">
        <v>28</v>
      </c>
      <c r="I516" s="3" t="s">
        <v>107</v>
      </c>
      <c r="J516" s="6">
        <v>45197</v>
      </c>
      <c r="K516" s="3" t="s">
        <v>30</v>
      </c>
      <c r="L516" s="3" t="s">
        <v>53</v>
      </c>
      <c r="M516" s="3">
        <v>48000</v>
      </c>
      <c r="N516" s="3">
        <v>19</v>
      </c>
      <c r="O516" s="3">
        <v>89.5</v>
      </c>
      <c r="P516" s="3">
        <v>3</v>
      </c>
      <c r="Q516" s="3">
        <v>10</v>
      </c>
      <c r="R516" s="3">
        <v>2</v>
      </c>
      <c r="S516" s="3">
        <v>30</v>
      </c>
      <c r="T516" s="3">
        <v>18</v>
      </c>
      <c r="U516" s="3" t="s">
        <v>123</v>
      </c>
      <c r="V516" s="3">
        <v>4000</v>
      </c>
      <c r="W516" s="3">
        <v>2.8</v>
      </c>
      <c r="X516" s="3" t="s">
        <v>62</v>
      </c>
      <c r="Y516" s="7" t="s">
        <v>75</v>
      </c>
    </row>
    <row r="517" spans="1:25" x14ac:dyDescent="0.3">
      <c r="A517" s="5" t="s">
        <v>812</v>
      </c>
      <c r="B517" s="3" t="s">
        <v>363</v>
      </c>
      <c r="C517" s="3" t="s">
        <v>58</v>
      </c>
      <c r="D517" s="3">
        <v>20</v>
      </c>
      <c r="E517" s="3" t="s">
        <v>98</v>
      </c>
      <c r="F517" s="3" t="s">
        <v>72</v>
      </c>
      <c r="G517" s="3" t="s">
        <v>80</v>
      </c>
      <c r="H517" s="3" t="s">
        <v>115</v>
      </c>
      <c r="I517" s="3" t="s">
        <v>86</v>
      </c>
      <c r="J517" s="6">
        <v>44188</v>
      </c>
      <c r="K517" s="3" t="s">
        <v>30</v>
      </c>
      <c r="L517" s="3" t="s">
        <v>53</v>
      </c>
      <c r="M517" s="3">
        <v>72300</v>
      </c>
      <c r="N517" s="3">
        <v>0</v>
      </c>
      <c r="O517" s="3">
        <v>93.4</v>
      </c>
      <c r="P517" s="3">
        <v>3</v>
      </c>
      <c r="Q517" s="3">
        <v>7</v>
      </c>
      <c r="R517" s="3">
        <v>3</v>
      </c>
      <c r="S517" s="3">
        <v>0</v>
      </c>
      <c r="T517" s="3">
        <v>10</v>
      </c>
      <c r="U517" s="3" t="s">
        <v>104</v>
      </c>
      <c r="V517" s="3">
        <v>6025</v>
      </c>
      <c r="W517" s="3">
        <v>5.6</v>
      </c>
      <c r="X517" s="3" t="s">
        <v>48</v>
      </c>
      <c r="Y517" s="7" t="s">
        <v>75</v>
      </c>
    </row>
    <row r="518" spans="1:25" x14ac:dyDescent="0.3">
      <c r="A518" s="5" t="s">
        <v>813</v>
      </c>
      <c r="B518" s="3" t="s">
        <v>224</v>
      </c>
      <c r="C518" s="3" t="s">
        <v>24</v>
      </c>
      <c r="D518" s="3">
        <v>34</v>
      </c>
      <c r="E518" s="3" t="s">
        <v>78</v>
      </c>
      <c r="F518" s="3" t="s">
        <v>72</v>
      </c>
      <c r="G518" s="3" t="s">
        <v>171</v>
      </c>
      <c r="H518" s="3" t="s">
        <v>28</v>
      </c>
      <c r="I518" s="3" t="s">
        <v>107</v>
      </c>
      <c r="J518" s="6">
        <v>44748</v>
      </c>
      <c r="K518" s="3" t="s">
        <v>30</v>
      </c>
      <c r="L518" s="3" t="s">
        <v>31</v>
      </c>
      <c r="M518" s="3">
        <v>147000</v>
      </c>
      <c r="N518" s="3">
        <v>15</v>
      </c>
      <c r="O518" s="3">
        <v>89.6</v>
      </c>
      <c r="P518" s="3">
        <v>5</v>
      </c>
      <c r="Q518" s="3">
        <v>2</v>
      </c>
      <c r="R518" s="3">
        <v>2</v>
      </c>
      <c r="S518" s="3">
        <v>22</v>
      </c>
      <c r="T518" s="3">
        <v>25</v>
      </c>
      <c r="U518" s="3" t="s">
        <v>32</v>
      </c>
      <c r="V518" s="3">
        <v>12250</v>
      </c>
      <c r="W518" s="3">
        <v>4.0999999999999996</v>
      </c>
      <c r="X518" s="3" t="s">
        <v>33</v>
      </c>
      <c r="Y518" s="7" t="s">
        <v>75</v>
      </c>
    </row>
    <row r="519" spans="1:25" x14ac:dyDescent="0.3">
      <c r="A519" s="5" t="s">
        <v>814</v>
      </c>
      <c r="B519" s="3" t="s">
        <v>756</v>
      </c>
      <c r="C519" s="3" t="s">
        <v>24</v>
      </c>
      <c r="D519" s="3">
        <v>34</v>
      </c>
      <c r="E519" s="3" t="s">
        <v>45</v>
      </c>
      <c r="F519" s="3" t="s">
        <v>72</v>
      </c>
      <c r="G519" s="3" t="s">
        <v>80</v>
      </c>
      <c r="H519" s="3" t="s">
        <v>28</v>
      </c>
      <c r="I519" s="3" t="s">
        <v>86</v>
      </c>
      <c r="J519" s="6">
        <v>44992</v>
      </c>
      <c r="K519" s="3" t="s">
        <v>30</v>
      </c>
      <c r="L519" s="3" t="s">
        <v>53</v>
      </c>
      <c r="M519" s="3">
        <v>63600</v>
      </c>
      <c r="N519" s="3">
        <v>15</v>
      </c>
      <c r="O519" s="3">
        <v>88.1</v>
      </c>
      <c r="P519" s="3">
        <v>8</v>
      </c>
      <c r="Q519" s="3">
        <v>10</v>
      </c>
      <c r="R519" s="3">
        <v>2</v>
      </c>
      <c r="S519" s="3">
        <v>27</v>
      </c>
      <c r="T519" s="3">
        <v>23</v>
      </c>
      <c r="U519" s="3" t="s">
        <v>74</v>
      </c>
      <c r="V519" s="3">
        <v>5300</v>
      </c>
      <c r="W519" s="3">
        <v>3.4</v>
      </c>
      <c r="X519" s="3" t="s">
        <v>33</v>
      </c>
      <c r="Y519" s="7" t="s">
        <v>75</v>
      </c>
    </row>
    <row r="520" spans="1:25" x14ac:dyDescent="0.3">
      <c r="A520" s="5" t="s">
        <v>815</v>
      </c>
      <c r="B520" s="3" t="s">
        <v>816</v>
      </c>
      <c r="C520" s="3" t="s">
        <v>58</v>
      </c>
      <c r="D520" s="3">
        <v>47</v>
      </c>
      <c r="E520" s="3" t="s">
        <v>51</v>
      </c>
      <c r="F520" s="3" t="s">
        <v>52</v>
      </c>
      <c r="G520" s="3" t="s">
        <v>80</v>
      </c>
      <c r="H520" s="3" t="s">
        <v>28</v>
      </c>
      <c r="I520" s="3" t="s">
        <v>40</v>
      </c>
      <c r="J520" s="6">
        <v>44821</v>
      </c>
      <c r="K520" s="3" t="s">
        <v>30</v>
      </c>
      <c r="L520" s="3" t="s">
        <v>93</v>
      </c>
      <c r="M520" s="3">
        <v>52600</v>
      </c>
      <c r="N520" s="3">
        <v>27</v>
      </c>
      <c r="O520" s="3">
        <v>83.7</v>
      </c>
      <c r="P520" s="3">
        <v>2</v>
      </c>
      <c r="Q520" s="3">
        <v>3</v>
      </c>
      <c r="R520" s="3">
        <v>4</v>
      </c>
      <c r="S520" s="3">
        <v>4</v>
      </c>
      <c r="T520" s="3">
        <v>16</v>
      </c>
      <c r="U520" s="3" t="s">
        <v>32</v>
      </c>
      <c r="V520" s="3">
        <v>4383</v>
      </c>
      <c r="W520" s="3">
        <v>3.9</v>
      </c>
      <c r="X520" s="3" t="s">
        <v>54</v>
      </c>
      <c r="Y520" s="7" t="s">
        <v>42</v>
      </c>
    </row>
    <row r="521" spans="1:25" x14ac:dyDescent="0.3">
      <c r="A521" s="5" t="s">
        <v>817</v>
      </c>
      <c r="B521" s="3" t="s">
        <v>818</v>
      </c>
      <c r="C521" s="3" t="s">
        <v>24</v>
      </c>
      <c r="D521" s="3">
        <v>38</v>
      </c>
      <c r="E521" s="3" t="s">
        <v>25</v>
      </c>
      <c r="F521" s="3" t="s">
        <v>66</v>
      </c>
      <c r="G521" s="3" t="s">
        <v>80</v>
      </c>
      <c r="H521" s="3" t="s">
        <v>67</v>
      </c>
      <c r="I521" s="3" t="s">
        <v>86</v>
      </c>
      <c r="J521" s="6">
        <v>44228</v>
      </c>
      <c r="K521" s="3" t="s">
        <v>30</v>
      </c>
      <c r="L521" s="3" t="s">
        <v>53</v>
      </c>
      <c r="M521" s="3">
        <v>41600</v>
      </c>
      <c r="N521" s="3">
        <v>16</v>
      </c>
      <c r="O521" s="3">
        <v>90.6</v>
      </c>
      <c r="P521" s="3">
        <v>0</v>
      </c>
      <c r="Q521" s="3">
        <v>1</v>
      </c>
      <c r="R521" s="3">
        <v>3</v>
      </c>
      <c r="S521" s="3">
        <v>17</v>
      </c>
      <c r="T521" s="3">
        <v>14</v>
      </c>
      <c r="U521" s="3" t="s">
        <v>104</v>
      </c>
      <c r="V521" s="3">
        <v>3467</v>
      </c>
      <c r="W521" s="3">
        <v>5.5</v>
      </c>
      <c r="X521" s="3" t="s">
        <v>108</v>
      </c>
      <c r="Y521" s="7" t="s">
        <v>55</v>
      </c>
    </row>
    <row r="522" spans="1:25" x14ac:dyDescent="0.3">
      <c r="A522" s="5" t="s">
        <v>819</v>
      </c>
      <c r="B522" s="3" t="s">
        <v>820</v>
      </c>
      <c r="C522" s="3" t="s">
        <v>58</v>
      </c>
      <c r="D522" s="3">
        <v>23</v>
      </c>
      <c r="E522" s="3" t="s">
        <v>45</v>
      </c>
      <c r="F522" s="3" t="s">
        <v>60</v>
      </c>
      <c r="G522" s="3" t="s">
        <v>46</v>
      </c>
      <c r="H522" s="3" t="s">
        <v>28</v>
      </c>
      <c r="I522" s="3" t="s">
        <v>107</v>
      </c>
      <c r="J522" s="6">
        <v>45361</v>
      </c>
      <c r="K522" s="3" t="s">
        <v>30</v>
      </c>
      <c r="L522" s="3" t="s">
        <v>31</v>
      </c>
      <c r="M522" s="3">
        <v>80000</v>
      </c>
      <c r="N522" s="3">
        <v>4</v>
      </c>
      <c r="O522" s="3">
        <v>91.9</v>
      </c>
      <c r="P522" s="3">
        <v>7</v>
      </c>
      <c r="Q522" s="3">
        <v>0</v>
      </c>
      <c r="R522" s="3">
        <v>1</v>
      </c>
      <c r="S522" s="3">
        <v>3</v>
      </c>
      <c r="T522" s="3">
        <v>15</v>
      </c>
      <c r="U522" s="3" t="s">
        <v>130</v>
      </c>
      <c r="V522" s="3">
        <v>6667</v>
      </c>
      <c r="W522" s="3">
        <v>2.4</v>
      </c>
      <c r="X522" s="3" t="s">
        <v>48</v>
      </c>
      <c r="Y522" s="7" t="s">
        <v>42</v>
      </c>
    </row>
    <row r="523" spans="1:25" x14ac:dyDescent="0.3">
      <c r="A523" s="5" t="s">
        <v>821</v>
      </c>
      <c r="B523" s="3" t="s">
        <v>315</v>
      </c>
      <c r="C523" s="3" t="s">
        <v>24</v>
      </c>
      <c r="D523" s="3">
        <v>46</v>
      </c>
      <c r="E523" s="3" t="s">
        <v>51</v>
      </c>
      <c r="F523" s="3" t="s">
        <v>72</v>
      </c>
      <c r="G523" s="3" t="s">
        <v>80</v>
      </c>
      <c r="H523" s="3" t="s">
        <v>28</v>
      </c>
      <c r="I523" s="3" t="s">
        <v>47</v>
      </c>
      <c r="J523" s="6">
        <v>44641</v>
      </c>
      <c r="K523" s="3" t="s">
        <v>30</v>
      </c>
      <c r="L523" s="3" t="s">
        <v>31</v>
      </c>
      <c r="M523" s="3">
        <v>66000</v>
      </c>
      <c r="N523" s="3">
        <v>23</v>
      </c>
      <c r="O523" s="3">
        <v>80.599999999999994</v>
      </c>
      <c r="P523" s="3">
        <v>6</v>
      </c>
      <c r="Q523" s="3">
        <v>6</v>
      </c>
      <c r="R523" s="3">
        <v>4</v>
      </c>
      <c r="S523" s="3">
        <v>15</v>
      </c>
      <c r="T523" s="3">
        <v>9</v>
      </c>
      <c r="U523" s="3" t="s">
        <v>104</v>
      </c>
      <c r="V523" s="3">
        <v>5500</v>
      </c>
      <c r="W523" s="3">
        <v>4.4000000000000004</v>
      </c>
      <c r="X523" s="3" t="s">
        <v>54</v>
      </c>
      <c r="Y523" s="7" t="s">
        <v>42</v>
      </c>
    </row>
    <row r="524" spans="1:25" x14ac:dyDescent="0.3">
      <c r="A524" s="5" t="s">
        <v>822</v>
      </c>
      <c r="B524" s="3" t="s">
        <v>687</v>
      </c>
      <c r="C524" s="3" t="s">
        <v>58</v>
      </c>
      <c r="D524" s="3">
        <v>25</v>
      </c>
      <c r="E524" s="3" t="s">
        <v>137</v>
      </c>
      <c r="F524" s="3" t="s">
        <v>66</v>
      </c>
      <c r="G524" s="3" t="s">
        <v>39</v>
      </c>
      <c r="H524" s="3" t="s">
        <v>28</v>
      </c>
      <c r="I524" s="3" t="s">
        <v>107</v>
      </c>
      <c r="J524" s="6">
        <v>43219</v>
      </c>
      <c r="K524" s="3" t="s">
        <v>87</v>
      </c>
      <c r="L524" s="3" t="s">
        <v>31</v>
      </c>
      <c r="M524" s="3">
        <v>33500</v>
      </c>
      <c r="N524" s="3">
        <v>3</v>
      </c>
      <c r="O524" s="3">
        <v>87.9</v>
      </c>
      <c r="P524" s="3">
        <v>1</v>
      </c>
      <c r="Q524" s="3">
        <v>7</v>
      </c>
      <c r="R524" s="3">
        <v>4</v>
      </c>
      <c r="S524" s="3">
        <v>19</v>
      </c>
      <c r="T524" s="3">
        <v>18</v>
      </c>
      <c r="U524" s="3" t="s">
        <v>41</v>
      </c>
      <c r="V524" s="3">
        <v>2792</v>
      </c>
      <c r="W524" s="3">
        <v>8.3000000000000007</v>
      </c>
      <c r="X524" s="3" t="s">
        <v>95</v>
      </c>
      <c r="Y524" s="7" t="s">
        <v>75</v>
      </c>
    </row>
    <row r="525" spans="1:25" x14ac:dyDescent="0.3">
      <c r="A525" s="5" t="s">
        <v>823</v>
      </c>
      <c r="B525" s="3" t="s">
        <v>275</v>
      </c>
      <c r="C525" s="3" t="s">
        <v>58</v>
      </c>
      <c r="D525" s="3">
        <v>29</v>
      </c>
      <c r="E525" s="3" t="s">
        <v>45</v>
      </c>
      <c r="F525" s="3" t="s">
        <v>66</v>
      </c>
      <c r="G525" s="3" t="s">
        <v>46</v>
      </c>
      <c r="H525" s="3" t="s">
        <v>28</v>
      </c>
      <c r="I525" s="3" t="s">
        <v>73</v>
      </c>
      <c r="J525" s="6">
        <v>46004</v>
      </c>
      <c r="K525" s="3" t="s">
        <v>30</v>
      </c>
      <c r="L525" s="3" t="s">
        <v>31</v>
      </c>
      <c r="M525" s="3">
        <v>68400</v>
      </c>
      <c r="N525" s="3">
        <v>10</v>
      </c>
      <c r="O525" s="3">
        <v>89.7</v>
      </c>
      <c r="P525" s="3">
        <v>4</v>
      </c>
      <c r="Q525" s="3">
        <v>11</v>
      </c>
      <c r="R525" s="3">
        <v>3</v>
      </c>
      <c r="S525" s="3">
        <v>21</v>
      </c>
      <c r="T525" s="3">
        <v>12</v>
      </c>
      <c r="U525" s="3" t="s">
        <v>32</v>
      </c>
      <c r="V525" s="3">
        <v>5700</v>
      </c>
      <c r="W525" s="3">
        <v>0.6</v>
      </c>
      <c r="X525" s="3" t="s">
        <v>95</v>
      </c>
      <c r="Y525" s="7" t="s">
        <v>42</v>
      </c>
    </row>
    <row r="526" spans="1:25" x14ac:dyDescent="0.3">
      <c r="A526" s="5" t="s">
        <v>824</v>
      </c>
      <c r="B526" s="3" t="s">
        <v>153</v>
      </c>
      <c r="C526" s="3" t="s">
        <v>58</v>
      </c>
      <c r="D526" s="3">
        <v>50</v>
      </c>
      <c r="E526" s="3" t="s">
        <v>37</v>
      </c>
      <c r="F526" s="3" t="s">
        <v>72</v>
      </c>
      <c r="G526" s="3" t="s">
        <v>46</v>
      </c>
      <c r="H526" s="3" t="s">
        <v>28</v>
      </c>
      <c r="I526" s="3" t="s">
        <v>47</v>
      </c>
      <c r="J526" s="6">
        <v>45909</v>
      </c>
      <c r="K526" s="3" t="s">
        <v>30</v>
      </c>
      <c r="L526" s="3" t="s">
        <v>53</v>
      </c>
      <c r="M526" s="3">
        <v>102300</v>
      </c>
      <c r="N526" s="3">
        <v>28</v>
      </c>
      <c r="O526" s="3">
        <v>93.9</v>
      </c>
      <c r="P526" s="3">
        <v>3</v>
      </c>
      <c r="Q526" s="3">
        <v>14</v>
      </c>
      <c r="R526" s="3">
        <v>4</v>
      </c>
      <c r="S526" s="3">
        <v>23</v>
      </c>
      <c r="T526" s="3">
        <v>9</v>
      </c>
      <c r="U526" s="3" t="s">
        <v>41</v>
      </c>
      <c r="V526" s="3">
        <v>8525</v>
      </c>
      <c r="W526" s="3">
        <v>0.9</v>
      </c>
      <c r="X526" s="3" t="s">
        <v>54</v>
      </c>
      <c r="Y526" s="7" t="s">
        <v>55</v>
      </c>
    </row>
    <row r="527" spans="1:25" x14ac:dyDescent="0.3">
      <c r="A527" s="5" t="s">
        <v>825</v>
      </c>
      <c r="B527" s="3" t="s">
        <v>675</v>
      </c>
      <c r="C527" s="3" t="s">
        <v>58</v>
      </c>
      <c r="D527" s="3">
        <v>31</v>
      </c>
      <c r="E527" s="3" t="s">
        <v>71</v>
      </c>
      <c r="F527" s="3" t="s">
        <v>91</v>
      </c>
      <c r="G527" s="3" t="s">
        <v>46</v>
      </c>
      <c r="H527" s="3" t="s">
        <v>28</v>
      </c>
      <c r="I527" s="3" t="s">
        <v>107</v>
      </c>
      <c r="J527" s="6">
        <v>45827</v>
      </c>
      <c r="K527" s="3" t="s">
        <v>30</v>
      </c>
      <c r="L527" s="3" t="s">
        <v>53</v>
      </c>
      <c r="M527" s="3">
        <v>45300</v>
      </c>
      <c r="N527" s="3">
        <v>8</v>
      </c>
      <c r="O527" s="3">
        <v>88.1</v>
      </c>
      <c r="P527" s="3">
        <v>8</v>
      </c>
      <c r="Q527" s="3">
        <v>7</v>
      </c>
      <c r="R527" s="3">
        <v>4</v>
      </c>
      <c r="S527" s="3">
        <v>28</v>
      </c>
      <c r="T527" s="3">
        <v>15</v>
      </c>
      <c r="U527" s="3" t="s">
        <v>74</v>
      </c>
      <c r="V527" s="3">
        <v>3775</v>
      </c>
      <c r="W527" s="3">
        <v>1.1000000000000001</v>
      </c>
      <c r="X527" s="3" t="s">
        <v>33</v>
      </c>
      <c r="Y527" s="7" t="s">
        <v>42</v>
      </c>
    </row>
    <row r="528" spans="1:25" x14ac:dyDescent="0.3">
      <c r="A528" s="5" t="s">
        <v>826</v>
      </c>
      <c r="B528" s="3" t="s">
        <v>391</v>
      </c>
      <c r="C528" s="3" t="s">
        <v>24</v>
      </c>
      <c r="D528" s="3">
        <v>45</v>
      </c>
      <c r="E528" s="3" t="s">
        <v>78</v>
      </c>
      <c r="F528" s="3" t="s">
        <v>72</v>
      </c>
      <c r="G528" s="3" t="s">
        <v>27</v>
      </c>
      <c r="H528" s="3" t="s">
        <v>122</v>
      </c>
      <c r="I528" s="3" t="s">
        <v>92</v>
      </c>
      <c r="J528" s="6">
        <v>43995</v>
      </c>
      <c r="K528" s="3" t="s">
        <v>30</v>
      </c>
      <c r="L528" s="3" t="s">
        <v>31</v>
      </c>
      <c r="M528" s="3">
        <v>119200</v>
      </c>
      <c r="N528" s="3">
        <v>23</v>
      </c>
      <c r="O528" s="3">
        <v>94.1</v>
      </c>
      <c r="P528" s="3">
        <v>3</v>
      </c>
      <c r="Q528" s="3">
        <v>12</v>
      </c>
      <c r="R528" s="3">
        <v>0</v>
      </c>
      <c r="S528" s="3">
        <v>18</v>
      </c>
      <c r="T528" s="3">
        <v>2</v>
      </c>
      <c r="U528" s="3" t="s">
        <v>130</v>
      </c>
      <c r="V528" s="3">
        <v>9933</v>
      </c>
      <c r="W528" s="3">
        <v>6.1</v>
      </c>
      <c r="X528" s="3" t="s">
        <v>54</v>
      </c>
      <c r="Y528" s="7" t="s">
        <v>55</v>
      </c>
    </row>
    <row r="529" spans="1:25" x14ac:dyDescent="0.3">
      <c r="A529" s="5" t="s">
        <v>827</v>
      </c>
      <c r="B529" s="3" t="s">
        <v>64</v>
      </c>
      <c r="C529" s="3" t="s">
        <v>24</v>
      </c>
      <c r="D529" s="3">
        <v>44</v>
      </c>
      <c r="E529" s="3" t="s">
        <v>101</v>
      </c>
      <c r="F529" s="3" t="s">
        <v>60</v>
      </c>
      <c r="G529" s="3" t="s">
        <v>80</v>
      </c>
      <c r="H529" s="3" t="s">
        <v>122</v>
      </c>
      <c r="I529" s="3" t="s">
        <v>73</v>
      </c>
      <c r="J529" s="6">
        <v>44366</v>
      </c>
      <c r="K529" s="3" t="s">
        <v>30</v>
      </c>
      <c r="L529" s="3" t="s">
        <v>93</v>
      </c>
      <c r="M529" s="3">
        <v>57600</v>
      </c>
      <c r="N529" s="3">
        <v>22</v>
      </c>
      <c r="O529" s="3">
        <v>92.4</v>
      </c>
      <c r="P529" s="3">
        <v>4</v>
      </c>
      <c r="Q529" s="3">
        <v>5</v>
      </c>
      <c r="R529" s="3">
        <v>2</v>
      </c>
      <c r="S529" s="3">
        <v>27</v>
      </c>
      <c r="T529" s="3">
        <v>13</v>
      </c>
      <c r="U529" s="3" t="s">
        <v>130</v>
      </c>
      <c r="V529" s="3">
        <v>4800</v>
      </c>
      <c r="W529" s="3">
        <v>5.0999999999999996</v>
      </c>
      <c r="X529" s="3" t="s">
        <v>62</v>
      </c>
      <c r="Y529" s="7" t="s">
        <v>55</v>
      </c>
    </row>
    <row r="530" spans="1:25" x14ac:dyDescent="0.3">
      <c r="A530" s="5" t="s">
        <v>828</v>
      </c>
      <c r="B530" s="3" t="s">
        <v>275</v>
      </c>
      <c r="C530" s="3" t="s">
        <v>58</v>
      </c>
      <c r="D530" s="3">
        <v>23</v>
      </c>
      <c r="E530" s="3" t="s">
        <v>98</v>
      </c>
      <c r="F530" s="3" t="s">
        <v>60</v>
      </c>
      <c r="G530" s="3" t="s">
        <v>39</v>
      </c>
      <c r="H530" s="3" t="s">
        <v>28</v>
      </c>
      <c r="I530" s="3" t="s">
        <v>47</v>
      </c>
      <c r="J530" s="6">
        <v>45428</v>
      </c>
      <c r="K530" s="3" t="s">
        <v>30</v>
      </c>
      <c r="L530" s="3" t="s">
        <v>53</v>
      </c>
      <c r="M530" s="3">
        <v>47800</v>
      </c>
      <c r="N530" s="3">
        <v>2</v>
      </c>
      <c r="O530" s="3">
        <v>95.3</v>
      </c>
      <c r="P530" s="3">
        <v>7</v>
      </c>
      <c r="Q530" s="3">
        <v>6</v>
      </c>
      <c r="R530" s="3">
        <v>1</v>
      </c>
      <c r="S530" s="3">
        <v>27</v>
      </c>
      <c r="T530" s="3">
        <v>21</v>
      </c>
      <c r="U530" s="3" t="s">
        <v>130</v>
      </c>
      <c r="V530" s="3">
        <v>3983</v>
      </c>
      <c r="W530" s="3">
        <v>2.2000000000000002</v>
      </c>
      <c r="X530" s="3" t="s">
        <v>48</v>
      </c>
      <c r="Y530" s="7" t="s">
        <v>55</v>
      </c>
    </row>
    <row r="531" spans="1:25" x14ac:dyDescent="0.3">
      <c r="A531" s="5" t="s">
        <v>829</v>
      </c>
      <c r="B531" s="3" t="s">
        <v>830</v>
      </c>
      <c r="C531" s="3" t="s">
        <v>58</v>
      </c>
      <c r="D531" s="3">
        <v>25</v>
      </c>
      <c r="E531" s="3" t="s">
        <v>51</v>
      </c>
      <c r="F531" s="3" t="s">
        <v>79</v>
      </c>
      <c r="G531" s="3" t="s">
        <v>171</v>
      </c>
      <c r="H531" s="3" t="s">
        <v>28</v>
      </c>
      <c r="I531" s="3" t="s">
        <v>92</v>
      </c>
      <c r="J531" s="6">
        <v>45572</v>
      </c>
      <c r="K531" s="3" t="s">
        <v>30</v>
      </c>
      <c r="L531" s="3" t="s">
        <v>93</v>
      </c>
      <c r="M531" s="3">
        <v>133700</v>
      </c>
      <c r="N531" s="3">
        <v>5</v>
      </c>
      <c r="O531" s="3">
        <v>88.4</v>
      </c>
      <c r="P531" s="3">
        <v>2</v>
      </c>
      <c r="Q531" s="3">
        <v>7</v>
      </c>
      <c r="R531" s="3">
        <v>3</v>
      </c>
      <c r="S531" s="3">
        <v>29</v>
      </c>
      <c r="T531" s="3">
        <v>11</v>
      </c>
      <c r="U531" s="3" t="s">
        <v>104</v>
      </c>
      <c r="V531" s="3">
        <v>11142</v>
      </c>
      <c r="W531" s="3">
        <v>1.8</v>
      </c>
      <c r="X531" s="3" t="s">
        <v>95</v>
      </c>
      <c r="Y531" s="7" t="s">
        <v>55</v>
      </c>
    </row>
    <row r="532" spans="1:25" x14ac:dyDescent="0.3">
      <c r="A532" s="5" t="s">
        <v>831</v>
      </c>
      <c r="B532" s="3" t="s">
        <v>832</v>
      </c>
      <c r="C532" s="3" t="s">
        <v>58</v>
      </c>
      <c r="D532" s="3">
        <v>44</v>
      </c>
      <c r="E532" s="3" t="s">
        <v>25</v>
      </c>
      <c r="F532" s="3" t="s">
        <v>79</v>
      </c>
      <c r="G532" s="3" t="s">
        <v>80</v>
      </c>
      <c r="H532" s="3" t="s">
        <v>28</v>
      </c>
      <c r="I532" s="3" t="s">
        <v>92</v>
      </c>
      <c r="J532" s="6">
        <v>43463</v>
      </c>
      <c r="K532" s="3" t="s">
        <v>30</v>
      </c>
      <c r="L532" s="3" t="s">
        <v>31</v>
      </c>
      <c r="M532" s="3">
        <v>47100</v>
      </c>
      <c r="N532" s="3">
        <v>20</v>
      </c>
      <c r="O532" s="3">
        <v>89.6</v>
      </c>
      <c r="P532" s="3">
        <v>5</v>
      </c>
      <c r="Q532" s="3">
        <v>3</v>
      </c>
      <c r="R532" s="3">
        <v>0</v>
      </c>
      <c r="S532" s="3">
        <v>6</v>
      </c>
      <c r="T532" s="3">
        <v>13</v>
      </c>
      <c r="U532" s="3" t="s">
        <v>123</v>
      </c>
      <c r="V532" s="3">
        <v>3925</v>
      </c>
      <c r="W532" s="3">
        <v>7.6</v>
      </c>
      <c r="X532" s="3" t="s">
        <v>62</v>
      </c>
      <c r="Y532" s="7" t="s">
        <v>55</v>
      </c>
    </row>
    <row r="533" spans="1:25" x14ac:dyDescent="0.3">
      <c r="A533" s="5" t="s">
        <v>833</v>
      </c>
      <c r="B533" s="3" t="s">
        <v>239</v>
      </c>
      <c r="C533" s="3" t="s">
        <v>24</v>
      </c>
      <c r="D533" s="3">
        <v>33</v>
      </c>
      <c r="E533" s="3" t="s">
        <v>37</v>
      </c>
      <c r="F533" s="3" t="s">
        <v>52</v>
      </c>
      <c r="G533" s="3" t="s">
        <v>46</v>
      </c>
      <c r="H533" s="3" t="s">
        <v>28</v>
      </c>
      <c r="I533" s="3" t="s">
        <v>68</v>
      </c>
      <c r="J533" s="6">
        <v>46169</v>
      </c>
      <c r="K533" s="3" t="s">
        <v>30</v>
      </c>
      <c r="L533" s="3" t="s">
        <v>31</v>
      </c>
      <c r="M533" s="3">
        <v>60100</v>
      </c>
      <c r="N533" s="3">
        <v>14</v>
      </c>
      <c r="O533" s="3">
        <v>93.9</v>
      </c>
      <c r="P533" s="3">
        <v>5</v>
      </c>
      <c r="Q533" s="3">
        <v>7</v>
      </c>
      <c r="R533" s="3">
        <v>1</v>
      </c>
      <c r="S533" s="3">
        <v>14</v>
      </c>
      <c r="T533" s="3">
        <v>20</v>
      </c>
      <c r="U533" s="3" t="s">
        <v>74</v>
      </c>
      <c r="V533" s="3">
        <v>5008</v>
      </c>
      <c r="W533" s="3">
        <v>0.2</v>
      </c>
      <c r="X533" s="3" t="s">
        <v>33</v>
      </c>
      <c r="Y533" s="7" t="s">
        <v>75</v>
      </c>
    </row>
    <row r="534" spans="1:25" x14ac:dyDescent="0.3">
      <c r="A534" s="5" t="s">
        <v>834</v>
      </c>
      <c r="B534" s="3" t="s">
        <v>835</v>
      </c>
      <c r="C534" s="3" t="s">
        <v>58</v>
      </c>
      <c r="D534" s="3">
        <v>49</v>
      </c>
      <c r="E534" s="3" t="s">
        <v>45</v>
      </c>
      <c r="F534" s="3" t="s">
        <v>66</v>
      </c>
      <c r="G534" s="3" t="s">
        <v>46</v>
      </c>
      <c r="H534" s="3" t="s">
        <v>28</v>
      </c>
      <c r="I534" s="3" t="s">
        <v>92</v>
      </c>
      <c r="J534" s="6">
        <v>44874</v>
      </c>
      <c r="K534" s="3" t="s">
        <v>30</v>
      </c>
      <c r="L534" s="3" t="s">
        <v>31</v>
      </c>
      <c r="M534" s="3">
        <v>60900</v>
      </c>
      <c r="N534" s="3">
        <v>30</v>
      </c>
      <c r="O534" s="3">
        <v>85.9</v>
      </c>
      <c r="P534" s="3">
        <v>6</v>
      </c>
      <c r="Q534" s="3">
        <v>5</v>
      </c>
      <c r="R534" s="3">
        <v>1</v>
      </c>
      <c r="S534" s="3">
        <v>17</v>
      </c>
      <c r="T534" s="3">
        <v>28</v>
      </c>
      <c r="U534" s="3" t="s">
        <v>94</v>
      </c>
      <c r="V534" s="3">
        <v>5075</v>
      </c>
      <c r="W534" s="3">
        <v>3.7</v>
      </c>
      <c r="X534" s="3" t="s">
        <v>54</v>
      </c>
      <c r="Y534" s="7" t="s">
        <v>42</v>
      </c>
    </row>
    <row r="535" spans="1:25" x14ac:dyDescent="0.3">
      <c r="A535" s="5" t="s">
        <v>836</v>
      </c>
      <c r="B535" s="3" t="s">
        <v>698</v>
      </c>
      <c r="C535" s="3" t="s">
        <v>58</v>
      </c>
      <c r="D535" s="3">
        <v>32</v>
      </c>
      <c r="E535" s="3" t="s">
        <v>160</v>
      </c>
      <c r="F535" s="3" t="s">
        <v>52</v>
      </c>
      <c r="G535" s="3" t="s">
        <v>80</v>
      </c>
      <c r="H535" s="3" t="s">
        <v>28</v>
      </c>
      <c r="I535" s="3" t="s">
        <v>107</v>
      </c>
      <c r="J535" s="6">
        <v>44841</v>
      </c>
      <c r="K535" s="3" t="s">
        <v>30</v>
      </c>
      <c r="L535" s="3" t="s">
        <v>53</v>
      </c>
      <c r="M535" s="3">
        <v>41600</v>
      </c>
      <c r="N535" s="3">
        <v>13</v>
      </c>
      <c r="O535" s="3">
        <v>90.7</v>
      </c>
      <c r="P535" s="3">
        <v>8</v>
      </c>
      <c r="Q535" s="3">
        <v>11</v>
      </c>
      <c r="R535" s="3">
        <v>0</v>
      </c>
      <c r="S535" s="3">
        <v>8</v>
      </c>
      <c r="T535" s="3">
        <v>16</v>
      </c>
      <c r="U535" s="3" t="s">
        <v>41</v>
      </c>
      <c r="V535" s="3">
        <v>3467</v>
      </c>
      <c r="W535" s="3">
        <v>3.8</v>
      </c>
      <c r="X535" s="3" t="s">
        <v>33</v>
      </c>
      <c r="Y535" s="7" t="s">
        <v>75</v>
      </c>
    </row>
    <row r="536" spans="1:25" x14ac:dyDescent="0.3">
      <c r="A536" s="5" t="s">
        <v>837</v>
      </c>
      <c r="B536" s="3" t="s">
        <v>266</v>
      </c>
      <c r="C536" s="3" t="s">
        <v>58</v>
      </c>
      <c r="D536" s="3">
        <v>44</v>
      </c>
      <c r="E536" s="3" t="s">
        <v>25</v>
      </c>
      <c r="F536" s="3" t="s">
        <v>72</v>
      </c>
      <c r="G536" s="3" t="s">
        <v>39</v>
      </c>
      <c r="H536" s="3" t="s">
        <v>28</v>
      </c>
      <c r="I536" s="3" t="s">
        <v>86</v>
      </c>
      <c r="J536" s="6">
        <v>43414</v>
      </c>
      <c r="K536" s="3" t="s">
        <v>30</v>
      </c>
      <c r="L536" s="3" t="s">
        <v>53</v>
      </c>
      <c r="M536" s="3">
        <v>43500</v>
      </c>
      <c r="N536" s="3">
        <v>24</v>
      </c>
      <c r="O536" s="3">
        <v>96</v>
      </c>
      <c r="P536" s="3">
        <v>2</v>
      </c>
      <c r="Q536" s="3">
        <v>6</v>
      </c>
      <c r="R536" s="3">
        <v>3</v>
      </c>
      <c r="S536" s="3">
        <v>27</v>
      </c>
      <c r="T536" s="3">
        <v>4</v>
      </c>
      <c r="U536" s="3" t="s">
        <v>74</v>
      </c>
      <c r="V536" s="3">
        <v>3625</v>
      </c>
      <c r="W536" s="3">
        <v>7.7</v>
      </c>
      <c r="X536" s="3" t="s">
        <v>62</v>
      </c>
      <c r="Y536" s="7" t="s">
        <v>42</v>
      </c>
    </row>
    <row r="537" spans="1:25" x14ac:dyDescent="0.3">
      <c r="A537" s="5" t="s">
        <v>838</v>
      </c>
      <c r="B537" s="3" t="s">
        <v>820</v>
      </c>
      <c r="C537" s="3" t="s">
        <v>24</v>
      </c>
      <c r="D537" s="3">
        <v>50</v>
      </c>
      <c r="E537" s="3" t="s">
        <v>78</v>
      </c>
      <c r="F537" s="3" t="s">
        <v>72</v>
      </c>
      <c r="G537" s="3" t="s">
        <v>46</v>
      </c>
      <c r="H537" s="3" t="s">
        <v>28</v>
      </c>
      <c r="I537" s="3" t="s">
        <v>92</v>
      </c>
      <c r="J537" s="6">
        <v>44637</v>
      </c>
      <c r="K537" s="3" t="s">
        <v>30</v>
      </c>
      <c r="L537" s="3" t="s">
        <v>31</v>
      </c>
      <c r="M537" s="3">
        <v>96900</v>
      </c>
      <c r="N537" s="3">
        <v>28</v>
      </c>
      <c r="O537" s="3">
        <v>87.7</v>
      </c>
      <c r="P537" s="3">
        <v>4</v>
      </c>
      <c r="Q537" s="3">
        <v>9</v>
      </c>
      <c r="R537" s="3">
        <v>2</v>
      </c>
      <c r="S537" s="3">
        <v>6</v>
      </c>
      <c r="T537" s="3">
        <v>27</v>
      </c>
      <c r="U537" s="3" t="s">
        <v>74</v>
      </c>
      <c r="V537" s="3">
        <v>8075</v>
      </c>
      <c r="W537" s="3">
        <v>4.4000000000000004</v>
      </c>
      <c r="X537" s="3" t="s">
        <v>54</v>
      </c>
      <c r="Y537" s="7" t="s">
        <v>55</v>
      </c>
    </row>
    <row r="538" spans="1:25" x14ac:dyDescent="0.3">
      <c r="A538" s="5" t="s">
        <v>839</v>
      </c>
      <c r="B538" s="3" t="s">
        <v>366</v>
      </c>
      <c r="C538" s="3" t="s">
        <v>58</v>
      </c>
      <c r="D538" s="3">
        <v>41</v>
      </c>
      <c r="E538" s="3" t="s">
        <v>160</v>
      </c>
      <c r="F538" s="3" t="s">
        <v>38</v>
      </c>
      <c r="G538" s="3" t="s">
        <v>27</v>
      </c>
      <c r="H538" s="3" t="s">
        <v>67</v>
      </c>
      <c r="I538" s="3" t="s">
        <v>92</v>
      </c>
      <c r="J538" s="6">
        <v>44807</v>
      </c>
      <c r="K538" s="3" t="s">
        <v>30</v>
      </c>
      <c r="L538" s="3" t="s">
        <v>53</v>
      </c>
      <c r="M538" s="3">
        <v>104000</v>
      </c>
      <c r="N538" s="3">
        <v>18</v>
      </c>
      <c r="O538" s="3">
        <v>92.6</v>
      </c>
      <c r="P538" s="3">
        <v>4</v>
      </c>
      <c r="Q538" s="3">
        <v>13</v>
      </c>
      <c r="R538" s="3">
        <v>0</v>
      </c>
      <c r="S538" s="3">
        <v>30</v>
      </c>
      <c r="T538" s="3">
        <v>10</v>
      </c>
      <c r="U538" s="3" t="s">
        <v>94</v>
      </c>
      <c r="V538" s="3">
        <v>8667</v>
      </c>
      <c r="W538" s="3">
        <v>3.9</v>
      </c>
      <c r="X538" s="3" t="s">
        <v>62</v>
      </c>
      <c r="Y538" s="7" t="s">
        <v>42</v>
      </c>
    </row>
    <row r="539" spans="1:25" x14ac:dyDescent="0.3">
      <c r="A539" s="5" t="s">
        <v>840</v>
      </c>
      <c r="B539" s="3" t="s">
        <v>290</v>
      </c>
      <c r="C539" s="3" t="s">
        <v>58</v>
      </c>
      <c r="D539" s="3">
        <v>40</v>
      </c>
      <c r="E539" s="3" t="s">
        <v>90</v>
      </c>
      <c r="F539" s="3" t="s">
        <v>79</v>
      </c>
      <c r="G539" s="3" t="s">
        <v>46</v>
      </c>
      <c r="H539" s="3" t="s">
        <v>28</v>
      </c>
      <c r="I539" s="3" t="s">
        <v>86</v>
      </c>
      <c r="J539" s="6">
        <v>45918</v>
      </c>
      <c r="K539" s="3" t="s">
        <v>30</v>
      </c>
      <c r="L539" s="3" t="s">
        <v>31</v>
      </c>
      <c r="M539" s="3">
        <v>71200</v>
      </c>
      <c r="N539" s="3">
        <v>17</v>
      </c>
      <c r="O539" s="3">
        <v>91</v>
      </c>
      <c r="P539" s="3">
        <v>4</v>
      </c>
      <c r="Q539" s="3">
        <v>6</v>
      </c>
      <c r="R539" s="3">
        <v>4</v>
      </c>
      <c r="S539" s="3">
        <v>0</v>
      </c>
      <c r="T539" s="3">
        <v>9</v>
      </c>
      <c r="U539" s="3" t="s">
        <v>32</v>
      </c>
      <c r="V539" s="3">
        <v>5933</v>
      </c>
      <c r="W539" s="3">
        <v>0.9</v>
      </c>
      <c r="X539" s="3" t="s">
        <v>62</v>
      </c>
      <c r="Y539" s="7" t="s">
        <v>42</v>
      </c>
    </row>
    <row r="540" spans="1:25" x14ac:dyDescent="0.3">
      <c r="A540" s="5" t="s">
        <v>841</v>
      </c>
      <c r="B540" s="3" t="s">
        <v>295</v>
      </c>
      <c r="C540" s="3" t="s">
        <v>58</v>
      </c>
      <c r="D540" s="3">
        <v>22</v>
      </c>
      <c r="E540" s="3" t="s">
        <v>78</v>
      </c>
      <c r="F540" s="3" t="s">
        <v>60</v>
      </c>
      <c r="G540" s="3" t="s">
        <v>80</v>
      </c>
      <c r="H540" s="3" t="s">
        <v>28</v>
      </c>
      <c r="I540" s="3" t="s">
        <v>47</v>
      </c>
      <c r="J540" s="6">
        <v>44187</v>
      </c>
      <c r="K540" s="3" t="s">
        <v>30</v>
      </c>
      <c r="L540" s="3" t="s">
        <v>31</v>
      </c>
      <c r="M540" s="3">
        <v>57200</v>
      </c>
      <c r="N540" s="3">
        <v>0</v>
      </c>
      <c r="O540" s="3">
        <v>98.3</v>
      </c>
      <c r="P540" s="3">
        <v>5</v>
      </c>
      <c r="Q540" s="3">
        <v>7</v>
      </c>
      <c r="R540" s="3">
        <v>1</v>
      </c>
      <c r="S540" s="3">
        <v>12</v>
      </c>
      <c r="T540" s="3">
        <v>11</v>
      </c>
      <c r="U540" s="3" t="s">
        <v>74</v>
      </c>
      <c r="V540" s="3">
        <v>4767</v>
      </c>
      <c r="W540" s="3">
        <v>5.6</v>
      </c>
      <c r="X540" s="3" t="s">
        <v>48</v>
      </c>
      <c r="Y540" s="7" t="s">
        <v>42</v>
      </c>
    </row>
    <row r="541" spans="1:25" x14ac:dyDescent="0.3">
      <c r="A541" s="5" t="s">
        <v>842</v>
      </c>
      <c r="B541" s="3" t="s">
        <v>843</v>
      </c>
      <c r="C541" s="3" t="s">
        <v>24</v>
      </c>
      <c r="D541" s="3">
        <v>40</v>
      </c>
      <c r="E541" s="3" t="s">
        <v>160</v>
      </c>
      <c r="F541" s="3" t="s">
        <v>72</v>
      </c>
      <c r="G541" s="3" t="s">
        <v>39</v>
      </c>
      <c r="H541" s="3" t="s">
        <v>28</v>
      </c>
      <c r="I541" s="3" t="s">
        <v>40</v>
      </c>
      <c r="J541" s="6">
        <v>43372</v>
      </c>
      <c r="K541" s="3" t="s">
        <v>30</v>
      </c>
      <c r="L541" s="3" t="s">
        <v>93</v>
      </c>
      <c r="M541" s="3">
        <v>41200</v>
      </c>
      <c r="N541" s="3">
        <v>16</v>
      </c>
      <c r="O541" s="3">
        <v>91.4</v>
      </c>
      <c r="P541" s="3">
        <v>0</v>
      </c>
      <c r="Q541" s="3">
        <v>10</v>
      </c>
      <c r="R541" s="3">
        <v>4</v>
      </c>
      <c r="S541" s="3">
        <v>3</v>
      </c>
      <c r="T541" s="3">
        <v>29</v>
      </c>
      <c r="U541" s="3" t="s">
        <v>41</v>
      </c>
      <c r="V541" s="3">
        <v>3433</v>
      </c>
      <c r="W541" s="3">
        <v>7.8</v>
      </c>
      <c r="X541" s="3" t="s">
        <v>62</v>
      </c>
      <c r="Y541" s="7" t="s">
        <v>55</v>
      </c>
    </row>
    <row r="542" spans="1:25" x14ac:dyDescent="0.3">
      <c r="A542" s="5" t="s">
        <v>844</v>
      </c>
      <c r="B542" s="3" t="s">
        <v>335</v>
      </c>
      <c r="C542" s="3" t="s">
        <v>24</v>
      </c>
      <c r="D542" s="3">
        <v>34</v>
      </c>
      <c r="E542" s="3" t="s">
        <v>65</v>
      </c>
      <c r="F542" s="3" t="s">
        <v>91</v>
      </c>
      <c r="G542" s="3" t="s">
        <v>39</v>
      </c>
      <c r="H542" s="3" t="s">
        <v>28</v>
      </c>
      <c r="I542" s="3" t="s">
        <v>92</v>
      </c>
      <c r="J542" s="6">
        <v>44161</v>
      </c>
      <c r="K542" s="3" t="s">
        <v>30</v>
      </c>
      <c r="L542" s="3" t="s">
        <v>53</v>
      </c>
      <c r="M542" s="3">
        <v>22900</v>
      </c>
      <c r="N542" s="3">
        <v>10</v>
      </c>
      <c r="O542" s="3">
        <v>93.7</v>
      </c>
      <c r="P542" s="3">
        <v>8</v>
      </c>
      <c r="Q542" s="3">
        <v>13</v>
      </c>
      <c r="R542" s="3">
        <v>3</v>
      </c>
      <c r="S542" s="3">
        <v>1</v>
      </c>
      <c r="T542" s="3">
        <v>9</v>
      </c>
      <c r="U542" s="3" t="s">
        <v>130</v>
      </c>
      <c r="V542" s="3">
        <v>1908</v>
      </c>
      <c r="W542" s="3">
        <v>5.7</v>
      </c>
      <c r="X542" s="3" t="s">
        <v>33</v>
      </c>
      <c r="Y542" s="7" t="s">
        <v>42</v>
      </c>
    </row>
    <row r="543" spans="1:25" x14ac:dyDescent="0.3">
      <c r="A543" s="5" t="s">
        <v>845</v>
      </c>
      <c r="B543" s="3" t="s">
        <v>846</v>
      </c>
      <c r="C543" s="3" t="s">
        <v>58</v>
      </c>
      <c r="D543" s="3">
        <v>22</v>
      </c>
      <c r="E543" s="3" t="s">
        <v>98</v>
      </c>
      <c r="F543" s="3" t="s">
        <v>26</v>
      </c>
      <c r="G543" s="3" t="s">
        <v>80</v>
      </c>
      <c r="H543" s="3" t="s">
        <v>28</v>
      </c>
      <c r="I543" s="3" t="s">
        <v>40</v>
      </c>
      <c r="J543" s="6">
        <v>46188</v>
      </c>
      <c r="K543" s="3" t="s">
        <v>30</v>
      </c>
      <c r="L543" s="3" t="s">
        <v>31</v>
      </c>
      <c r="M543" s="3">
        <v>47500</v>
      </c>
      <c r="N543" s="3">
        <v>0</v>
      </c>
      <c r="O543" s="3">
        <v>90.2</v>
      </c>
      <c r="P543" s="3">
        <v>2</v>
      </c>
      <c r="Q543" s="3">
        <v>15</v>
      </c>
      <c r="R543" s="3">
        <v>2</v>
      </c>
      <c r="S543" s="3">
        <v>9</v>
      </c>
      <c r="T543" s="3">
        <v>17</v>
      </c>
      <c r="U543" s="3" t="s">
        <v>130</v>
      </c>
      <c r="V543" s="3">
        <v>3958</v>
      </c>
      <c r="W543" s="3">
        <v>0.1</v>
      </c>
      <c r="X543" s="3" t="s">
        <v>48</v>
      </c>
      <c r="Y543" s="7" t="s">
        <v>75</v>
      </c>
    </row>
    <row r="544" spans="1:25" x14ac:dyDescent="0.3">
      <c r="A544" s="5" t="s">
        <v>847</v>
      </c>
      <c r="B544" s="3" t="s">
        <v>846</v>
      </c>
      <c r="C544" s="3" t="s">
        <v>58</v>
      </c>
      <c r="D544" s="3">
        <v>24</v>
      </c>
      <c r="E544" s="3" t="s">
        <v>83</v>
      </c>
      <c r="F544" s="3" t="s">
        <v>38</v>
      </c>
      <c r="G544" s="3" t="s">
        <v>80</v>
      </c>
      <c r="H544" s="3" t="s">
        <v>28</v>
      </c>
      <c r="I544" s="3" t="s">
        <v>68</v>
      </c>
      <c r="J544" s="6">
        <v>44890</v>
      </c>
      <c r="K544" s="3" t="s">
        <v>30</v>
      </c>
      <c r="L544" s="3" t="s">
        <v>93</v>
      </c>
      <c r="M544" s="3">
        <v>52900</v>
      </c>
      <c r="N544" s="3">
        <v>2</v>
      </c>
      <c r="O544" s="3">
        <v>88.4</v>
      </c>
      <c r="P544" s="3">
        <v>5</v>
      </c>
      <c r="Q544" s="3">
        <v>14</v>
      </c>
      <c r="R544" s="3">
        <v>2</v>
      </c>
      <c r="S544" s="3">
        <v>4</v>
      </c>
      <c r="T544" s="3">
        <v>12</v>
      </c>
      <c r="U544" s="3" t="s">
        <v>104</v>
      </c>
      <c r="V544" s="3">
        <v>4408</v>
      </c>
      <c r="W544" s="3">
        <v>3.7</v>
      </c>
      <c r="X544" s="3" t="s">
        <v>48</v>
      </c>
      <c r="Y544" s="7" t="s">
        <v>75</v>
      </c>
    </row>
    <row r="545" spans="1:25" x14ac:dyDescent="0.3">
      <c r="A545" s="5" t="s">
        <v>848</v>
      </c>
      <c r="B545" s="3" t="s">
        <v>816</v>
      </c>
      <c r="C545" s="3" t="s">
        <v>24</v>
      </c>
      <c r="D545" s="3">
        <v>32</v>
      </c>
      <c r="E545" s="3" t="s">
        <v>90</v>
      </c>
      <c r="F545" s="3" t="s">
        <v>66</v>
      </c>
      <c r="G545" s="3" t="s">
        <v>171</v>
      </c>
      <c r="H545" s="3" t="s">
        <v>67</v>
      </c>
      <c r="I545" s="3" t="s">
        <v>29</v>
      </c>
      <c r="J545" s="6">
        <v>45491</v>
      </c>
      <c r="K545" s="3" t="s">
        <v>30</v>
      </c>
      <c r="L545" s="3" t="s">
        <v>53</v>
      </c>
      <c r="M545" s="3">
        <v>92000</v>
      </c>
      <c r="N545" s="3">
        <v>8</v>
      </c>
      <c r="O545" s="3">
        <v>92.1</v>
      </c>
      <c r="P545" s="3">
        <v>3</v>
      </c>
      <c r="Q545" s="3">
        <v>4</v>
      </c>
      <c r="R545" s="3">
        <v>2</v>
      </c>
      <c r="S545" s="3">
        <v>24</v>
      </c>
      <c r="T545" s="3">
        <v>24</v>
      </c>
      <c r="U545" s="3" t="s">
        <v>94</v>
      </c>
      <c r="V545" s="3">
        <v>7667</v>
      </c>
      <c r="W545" s="3">
        <v>2</v>
      </c>
      <c r="X545" s="3" t="s">
        <v>33</v>
      </c>
      <c r="Y545" s="7" t="s">
        <v>75</v>
      </c>
    </row>
    <row r="546" spans="1:25" x14ac:dyDescent="0.3">
      <c r="A546" s="5" t="s">
        <v>849</v>
      </c>
      <c r="B546" s="3" t="s">
        <v>850</v>
      </c>
      <c r="C546" s="3" t="s">
        <v>58</v>
      </c>
      <c r="D546" s="3">
        <v>45</v>
      </c>
      <c r="E546" s="3" t="s">
        <v>90</v>
      </c>
      <c r="F546" s="3" t="s">
        <v>38</v>
      </c>
      <c r="G546" s="3" t="s">
        <v>46</v>
      </c>
      <c r="H546" s="3" t="s">
        <v>28</v>
      </c>
      <c r="I546" s="3" t="s">
        <v>40</v>
      </c>
      <c r="J546" s="6">
        <v>45494</v>
      </c>
      <c r="K546" s="3" t="s">
        <v>30</v>
      </c>
      <c r="L546" s="3" t="s">
        <v>31</v>
      </c>
      <c r="M546" s="3">
        <v>82100</v>
      </c>
      <c r="N546" s="3">
        <v>21</v>
      </c>
      <c r="O546" s="3">
        <v>88.2</v>
      </c>
      <c r="P546" s="3">
        <v>6</v>
      </c>
      <c r="Q546" s="3">
        <v>1</v>
      </c>
      <c r="R546" s="3">
        <v>4</v>
      </c>
      <c r="S546" s="3">
        <v>2</v>
      </c>
      <c r="T546" s="3">
        <v>25</v>
      </c>
      <c r="U546" s="3" t="s">
        <v>130</v>
      </c>
      <c r="V546" s="3">
        <v>6842</v>
      </c>
      <c r="W546" s="3">
        <v>2</v>
      </c>
      <c r="X546" s="3" t="s">
        <v>54</v>
      </c>
      <c r="Y546" s="7" t="s">
        <v>42</v>
      </c>
    </row>
    <row r="547" spans="1:25" x14ac:dyDescent="0.3">
      <c r="A547" s="5" t="s">
        <v>851</v>
      </c>
      <c r="B547" s="3" t="s">
        <v>546</v>
      </c>
      <c r="C547" s="3" t="s">
        <v>58</v>
      </c>
      <c r="D547" s="3">
        <v>45</v>
      </c>
      <c r="E547" s="3" t="s">
        <v>51</v>
      </c>
      <c r="F547" s="3" t="s">
        <v>72</v>
      </c>
      <c r="G547" s="3" t="s">
        <v>46</v>
      </c>
      <c r="H547" s="3" t="s">
        <v>28</v>
      </c>
      <c r="I547" s="3" t="s">
        <v>107</v>
      </c>
      <c r="J547" s="6">
        <v>45381</v>
      </c>
      <c r="K547" s="3" t="s">
        <v>30</v>
      </c>
      <c r="L547" s="3" t="s">
        <v>53</v>
      </c>
      <c r="M547" s="3">
        <v>96400</v>
      </c>
      <c r="N547" s="3">
        <v>22</v>
      </c>
      <c r="O547" s="3">
        <v>96.2</v>
      </c>
      <c r="P547" s="3">
        <v>7</v>
      </c>
      <c r="Q547" s="3">
        <v>7</v>
      </c>
      <c r="R547" s="3">
        <v>3</v>
      </c>
      <c r="S547" s="3">
        <v>4</v>
      </c>
      <c r="T547" s="3">
        <v>25</v>
      </c>
      <c r="U547" s="3" t="s">
        <v>41</v>
      </c>
      <c r="V547" s="3">
        <v>8033</v>
      </c>
      <c r="W547" s="3">
        <v>2.2999999999999998</v>
      </c>
      <c r="X547" s="3" t="s">
        <v>54</v>
      </c>
      <c r="Y547" s="7" t="s">
        <v>75</v>
      </c>
    </row>
    <row r="548" spans="1:25" x14ac:dyDescent="0.3">
      <c r="A548" s="5" t="s">
        <v>852</v>
      </c>
      <c r="B548" s="3" t="s">
        <v>850</v>
      </c>
      <c r="C548" s="3" t="s">
        <v>24</v>
      </c>
      <c r="D548" s="3">
        <v>34</v>
      </c>
      <c r="E548" s="3" t="s">
        <v>78</v>
      </c>
      <c r="F548" s="3" t="s">
        <v>79</v>
      </c>
      <c r="G548" s="3" t="s">
        <v>80</v>
      </c>
      <c r="H548" s="3" t="s">
        <v>28</v>
      </c>
      <c r="I548" s="3" t="s">
        <v>68</v>
      </c>
      <c r="J548" s="6">
        <v>44090</v>
      </c>
      <c r="K548" s="3" t="s">
        <v>61</v>
      </c>
      <c r="L548" s="3" t="s">
        <v>93</v>
      </c>
      <c r="M548" s="3">
        <v>51500</v>
      </c>
      <c r="N548" s="3">
        <v>15</v>
      </c>
      <c r="O548" s="3">
        <v>96.9</v>
      </c>
      <c r="P548" s="3">
        <v>3</v>
      </c>
      <c r="Q548" s="3">
        <v>0</v>
      </c>
      <c r="R548" s="3">
        <v>4</v>
      </c>
      <c r="S548" s="3">
        <v>10</v>
      </c>
      <c r="T548" s="3">
        <v>27</v>
      </c>
      <c r="U548" s="3" t="s">
        <v>41</v>
      </c>
      <c r="V548" s="3">
        <v>4292</v>
      </c>
      <c r="W548" s="3">
        <v>5.9</v>
      </c>
      <c r="X548" s="3" t="s">
        <v>33</v>
      </c>
      <c r="Y548" s="7" t="s">
        <v>42</v>
      </c>
    </row>
    <row r="549" spans="1:25" x14ac:dyDescent="0.3">
      <c r="A549" s="5" t="s">
        <v>853</v>
      </c>
      <c r="B549" s="3" t="s">
        <v>854</v>
      </c>
      <c r="C549" s="3" t="s">
        <v>24</v>
      </c>
      <c r="D549" s="3">
        <v>36</v>
      </c>
      <c r="E549" s="3" t="s">
        <v>101</v>
      </c>
      <c r="F549" s="3" t="s">
        <v>91</v>
      </c>
      <c r="G549" s="3" t="s">
        <v>39</v>
      </c>
      <c r="H549" s="3" t="s">
        <v>115</v>
      </c>
      <c r="I549" s="3" t="s">
        <v>47</v>
      </c>
      <c r="J549" s="6">
        <v>45724</v>
      </c>
      <c r="K549" s="3" t="s">
        <v>30</v>
      </c>
      <c r="L549" s="3" t="s">
        <v>31</v>
      </c>
      <c r="M549" s="3">
        <v>24400</v>
      </c>
      <c r="N549" s="3">
        <v>14</v>
      </c>
      <c r="O549" s="3">
        <v>91.4</v>
      </c>
      <c r="P549" s="3">
        <v>5</v>
      </c>
      <c r="Q549" s="3">
        <v>14</v>
      </c>
      <c r="R549" s="3">
        <v>1</v>
      </c>
      <c r="S549" s="3">
        <v>25</v>
      </c>
      <c r="T549" s="3">
        <v>23</v>
      </c>
      <c r="U549" s="3" t="s">
        <v>94</v>
      </c>
      <c r="V549" s="3">
        <v>2033</v>
      </c>
      <c r="W549" s="3">
        <v>1.4</v>
      </c>
      <c r="X549" s="3" t="s">
        <v>108</v>
      </c>
      <c r="Y549" s="7" t="s">
        <v>42</v>
      </c>
    </row>
    <row r="550" spans="1:25" x14ac:dyDescent="0.3">
      <c r="A550" s="5" t="s">
        <v>855</v>
      </c>
      <c r="B550" s="3" t="s">
        <v>205</v>
      </c>
      <c r="C550" s="3" t="s">
        <v>24</v>
      </c>
      <c r="D550" s="3">
        <v>25</v>
      </c>
      <c r="E550" s="3" t="s">
        <v>37</v>
      </c>
      <c r="F550" s="3" t="s">
        <v>38</v>
      </c>
      <c r="G550" s="3" t="s">
        <v>171</v>
      </c>
      <c r="H550" s="3" t="s">
        <v>28</v>
      </c>
      <c r="I550" s="3" t="s">
        <v>73</v>
      </c>
      <c r="J550" s="6">
        <v>45564</v>
      </c>
      <c r="K550" s="3" t="s">
        <v>30</v>
      </c>
      <c r="L550" s="3" t="s">
        <v>53</v>
      </c>
      <c r="M550" s="3">
        <v>121600</v>
      </c>
      <c r="N550" s="3">
        <v>1</v>
      </c>
      <c r="O550" s="3">
        <v>88.8</v>
      </c>
      <c r="P550" s="3">
        <v>6</v>
      </c>
      <c r="Q550" s="3">
        <v>15</v>
      </c>
      <c r="R550" s="3">
        <v>2</v>
      </c>
      <c r="S550" s="3">
        <v>17</v>
      </c>
      <c r="T550" s="3">
        <v>9</v>
      </c>
      <c r="U550" s="3" t="s">
        <v>130</v>
      </c>
      <c r="V550" s="3">
        <v>10133</v>
      </c>
      <c r="W550" s="3">
        <v>1.8</v>
      </c>
      <c r="X550" s="3" t="s">
        <v>95</v>
      </c>
      <c r="Y550" s="7" t="s">
        <v>42</v>
      </c>
    </row>
    <row r="551" spans="1:25" x14ac:dyDescent="0.3">
      <c r="A551" s="5" t="s">
        <v>856</v>
      </c>
      <c r="B551" s="3" t="s">
        <v>439</v>
      </c>
      <c r="C551" s="3" t="s">
        <v>24</v>
      </c>
      <c r="D551" s="3">
        <v>42</v>
      </c>
      <c r="E551" s="3" t="s">
        <v>101</v>
      </c>
      <c r="F551" s="3" t="s">
        <v>79</v>
      </c>
      <c r="G551" s="3" t="s">
        <v>80</v>
      </c>
      <c r="H551" s="3" t="s">
        <v>28</v>
      </c>
      <c r="I551" s="3" t="s">
        <v>73</v>
      </c>
      <c r="J551" s="6">
        <v>44005</v>
      </c>
      <c r="K551" s="3" t="s">
        <v>30</v>
      </c>
      <c r="L551" s="3" t="s">
        <v>93</v>
      </c>
      <c r="M551" s="3">
        <v>50300</v>
      </c>
      <c r="N551" s="3">
        <v>20</v>
      </c>
      <c r="O551" s="3">
        <v>92.1</v>
      </c>
      <c r="P551" s="3">
        <v>6</v>
      </c>
      <c r="Q551" s="3">
        <v>15</v>
      </c>
      <c r="R551" s="3">
        <v>3</v>
      </c>
      <c r="S551" s="3">
        <v>30</v>
      </c>
      <c r="T551" s="3">
        <v>19</v>
      </c>
      <c r="U551" s="3" t="s">
        <v>74</v>
      </c>
      <c r="V551" s="3">
        <v>4192</v>
      </c>
      <c r="W551" s="3">
        <v>6.1</v>
      </c>
      <c r="X551" s="3" t="s">
        <v>62</v>
      </c>
      <c r="Y551" s="7" t="s">
        <v>42</v>
      </c>
    </row>
    <row r="552" spans="1:25" x14ac:dyDescent="0.3">
      <c r="A552" s="5" t="s">
        <v>857</v>
      </c>
      <c r="B552" s="3" t="s">
        <v>567</v>
      </c>
      <c r="C552" s="3" t="s">
        <v>24</v>
      </c>
      <c r="D552" s="3">
        <v>37</v>
      </c>
      <c r="E552" s="3" t="s">
        <v>83</v>
      </c>
      <c r="F552" s="3" t="s">
        <v>91</v>
      </c>
      <c r="G552" s="3" t="s">
        <v>39</v>
      </c>
      <c r="H552" s="3" t="s">
        <v>28</v>
      </c>
      <c r="I552" s="3" t="s">
        <v>73</v>
      </c>
      <c r="J552" s="6">
        <v>45415</v>
      </c>
      <c r="K552" s="3" t="s">
        <v>30</v>
      </c>
      <c r="L552" s="3" t="s">
        <v>53</v>
      </c>
      <c r="M552" s="3">
        <v>24200</v>
      </c>
      <c r="N552" s="3">
        <v>16</v>
      </c>
      <c r="O552" s="3">
        <v>84.6</v>
      </c>
      <c r="P552" s="3">
        <v>8</v>
      </c>
      <c r="Q552" s="3">
        <v>12</v>
      </c>
      <c r="R552" s="3">
        <v>4</v>
      </c>
      <c r="S552" s="3">
        <v>19</v>
      </c>
      <c r="T552" s="3">
        <v>8</v>
      </c>
      <c r="U552" s="3" t="s">
        <v>94</v>
      </c>
      <c r="V552" s="3">
        <v>2017</v>
      </c>
      <c r="W552" s="3">
        <v>2.2000000000000002</v>
      </c>
      <c r="X552" s="3" t="s">
        <v>108</v>
      </c>
      <c r="Y552" s="7" t="s">
        <v>42</v>
      </c>
    </row>
    <row r="553" spans="1:25" x14ac:dyDescent="0.3">
      <c r="A553" s="5" t="s">
        <v>858</v>
      </c>
      <c r="B553" s="3" t="s">
        <v>546</v>
      </c>
      <c r="C553" s="3" t="s">
        <v>58</v>
      </c>
      <c r="D553" s="3">
        <v>22</v>
      </c>
      <c r="E553" s="3" t="s">
        <v>65</v>
      </c>
      <c r="F553" s="3" t="s">
        <v>52</v>
      </c>
      <c r="G553" s="3" t="s">
        <v>80</v>
      </c>
      <c r="H553" s="3" t="s">
        <v>28</v>
      </c>
      <c r="I553" s="3" t="s">
        <v>47</v>
      </c>
      <c r="J553" s="6">
        <v>46145</v>
      </c>
      <c r="K553" s="3" t="s">
        <v>30</v>
      </c>
      <c r="L553" s="3" t="s">
        <v>53</v>
      </c>
      <c r="M553" s="3">
        <v>44100</v>
      </c>
      <c r="N553" s="3">
        <v>3</v>
      </c>
      <c r="O553" s="3">
        <v>87.2</v>
      </c>
      <c r="P553" s="3">
        <v>7</v>
      </c>
      <c r="Q553" s="3">
        <v>12</v>
      </c>
      <c r="R553" s="3">
        <v>4</v>
      </c>
      <c r="S553" s="3">
        <v>1</v>
      </c>
      <c r="T553" s="3">
        <v>4</v>
      </c>
      <c r="U553" s="3" t="s">
        <v>130</v>
      </c>
      <c r="V553" s="3">
        <v>3675</v>
      </c>
      <c r="W553" s="3">
        <v>0.2</v>
      </c>
      <c r="X553" s="3" t="s">
        <v>48</v>
      </c>
      <c r="Y553" s="7" t="s">
        <v>75</v>
      </c>
    </row>
    <row r="554" spans="1:25" x14ac:dyDescent="0.3">
      <c r="A554" s="5" t="s">
        <v>859</v>
      </c>
      <c r="B554" s="3" t="s">
        <v>164</v>
      </c>
      <c r="C554" s="3" t="s">
        <v>58</v>
      </c>
      <c r="D554" s="3">
        <v>45</v>
      </c>
      <c r="E554" s="3" t="s">
        <v>137</v>
      </c>
      <c r="F554" s="3" t="s">
        <v>79</v>
      </c>
      <c r="G554" s="3" t="s">
        <v>27</v>
      </c>
      <c r="H554" s="3" t="s">
        <v>115</v>
      </c>
      <c r="I554" s="3" t="s">
        <v>92</v>
      </c>
      <c r="J554" s="6">
        <v>43844</v>
      </c>
      <c r="K554" s="3" t="s">
        <v>61</v>
      </c>
      <c r="L554" s="3" t="s">
        <v>31</v>
      </c>
      <c r="M554" s="3">
        <v>106900</v>
      </c>
      <c r="N554" s="3">
        <v>26</v>
      </c>
      <c r="O554" s="3">
        <v>85.5</v>
      </c>
      <c r="P554" s="3">
        <v>2</v>
      </c>
      <c r="Q554" s="3">
        <v>1</v>
      </c>
      <c r="R554" s="3">
        <v>4</v>
      </c>
      <c r="S554" s="3">
        <v>23</v>
      </c>
      <c r="T554" s="3">
        <v>9</v>
      </c>
      <c r="U554" s="3" t="s">
        <v>123</v>
      </c>
      <c r="V554" s="3">
        <v>8908</v>
      </c>
      <c r="W554" s="3">
        <v>6.5</v>
      </c>
      <c r="X554" s="3" t="s">
        <v>54</v>
      </c>
      <c r="Y554" s="7" t="s">
        <v>42</v>
      </c>
    </row>
    <row r="555" spans="1:25" x14ac:dyDescent="0.3">
      <c r="A555" s="5" t="s">
        <v>860</v>
      </c>
      <c r="B555" s="3" t="s">
        <v>601</v>
      </c>
      <c r="C555" s="3" t="s">
        <v>58</v>
      </c>
      <c r="D555" s="3">
        <v>28</v>
      </c>
      <c r="E555" s="3" t="s">
        <v>71</v>
      </c>
      <c r="F555" s="3" t="s">
        <v>26</v>
      </c>
      <c r="G555" s="3" t="s">
        <v>27</v>
      </c>
      <c r="H555" s="3" t="s">
        <v>28</v>
      </c>
      <c r="I555" s="3" t="s">
        <v>47</v>
      </c>
      <c r="J555" s="6">
        <v>44011</v>
      </c>
      <c r="K555" s="3" t="s">
        <v>30</v>
      </c>
      <c r="L555" s="3" t="s">
        <v>31</v>
      </c>
      <c r="M555" s="3">
        <v>91000</v>
      </c>
      <c r="N555" s="3">
        <v>4</v>
      </c>
      <c r="O555" s="3">
        <v>87.3</v>
      </c>
      <c r="P555" s="3">
        <v>3</v>
      </c>
      <c r="Q555" s="3">
        <v>4</v>
      </c>
      <c r="R555" s="3">
        <v>4</v>
      </c>
      <c r="S555" s="3">
        <v>22</v>
      </c>
      <c r="T555" s="3">
        <v>6</v>
      </c>
      <c r="U555" s="3" t="s">
        <v>41</v>
      </c>
      <c r="V555" s="3">
        <v>7583</v>
      </c>
      <c r="W555" s="3">
        <v>6.1</v>
      </c>
      <c r="X555" s="3" t="s">
        <v>95</v>
      </c>
      <c r="Y555" s="7" t="s">
        <v>42</v>
      </c>
    </row>
    <row r="556" spans="1:25" x14ac:dyDescent="0.3">
      <c r="A556" s="5" t="s">
        <v>861</v>
      </c>
      <c r="B556" s="3" t="s">
        <v>129</v>
      </c>
      <c r="C556" s="3" t="s">
        <v>58</v>
      </c>
      <c r="D556" s="3">
        <v>27</v>
      </c>
      <c r="E556" s="3" t="s">
        <v>90</v>
      </c>
      <c r="F556" s="3" t="s">
        <v>60</v>
      </c>
      <c r="G556" s="3" t="s">
        <v>122</v>
      </c>
      <c r="H556" s="3" t="s">
        <v>28</v>
      </c>
      <c r="I556" s="3" t="s">
        <v>47</v>
      </c>
      <c r="J556" s="6">
        <v>45591</v>
      </c>
      <c r="K556" s="3" t="s">
        <v>30</v>
      </c>
      <c r="L556" s="3" t="s">
        <v>31</v>
      </c>
      <c r="M556" s="3">
        <v>27700</v>
      </c>
      <c r="N556" s="3">
        <v>3</v>
      </c>
      <c r="O556" s="3">
        <v>87.9</v>
      </c>
      <c r="P556" s="3">
        <v>8</v>
      </c>
      <c r="Q556" s="3">
        <v>3</v>
      </c>
      <c r="R556" s="3">
        <v>4</v>
      </c>
      <c r="S556" s="3">
        <v>15</v>
      </c>
      <c r="T556" s="3">
        <v>28</v>
      </c>
      <c r="U556" s="3" t="s">
        <v>41</v>
      </c>
      <c r="V556" s="3">
        <v>2308</v>
      </c>
      <c r="W556" s="3">
        <v>1.8</v>
      </c>
      <c r="X556" s="3" t="s">
        <v>95</v>
      </c>
      <c r="Y556" s="7" t="s">
        <v>42</v>
      </c>
    </row>
    <row r="557" spans="1:25" x14ac:dyDescent="0.3">
      <c r="A557" s="5" t="s">
        <v>862</v>
      </c>
      <c r="B557" s="3" t="s">
        <v>114</v>
      </c>
      <c r="C557" s="3" t="s">
        <v>58</v>
      </c>
      <c r="D557" s="3">
        <v>39</v>
      </c>
      <c r="E557" s="3" t="s">
        <v>65</v>
      </c>
      <c r="F557" s="3" t="s">
        <v>79</v>
      </c>
      <c r="G557" s="3" t="s">
        <v>27</v>
      </c>
      <c r="H557" s="3" t="s">
        <v>28</v>
      </c>
      <c r="I557" s="3" t="s">
        <v>107</v>
      </c>
      <c r="J557" s="6">
        <v>45708</v>
      </c>
      <c r="K557" s="3" t="s">
        <v>30</v>
      </c>
      <c r="L557" s="3" t="s">
        <v>31</v>
      </c>
      <c r="M557" s="3">
        <v>89300</v>
      </c>
      <c r="N557" s="3">
        <v>16</v>
      </c>
      <c r="O557" s="3">
        <v>84.6</v>
      </c>
      <c r="P557" s="3">
        <v>6</v>
      </c>
      <c r="Q557" s="3">
        <v>11</v>
      </c>
      <c r="R557" s="3">
        <v>1</v>
      </c>
      <c r="S557" s="3">
        <v>22</v>
      </c>
      <c r="T557" s="3">
        <v>6</v>
      </c>
      <c r="U557" s="3" t="s">
        <v>94</v>
      </c>
      <c r="V557" s="3">
        <v>7442</v>
      </c>
      <c r="W557" s="3">
        <v>1.4</v>
      </c>
      <c r="X557" s="3" t="s">
        <v>108</v>
      </c>
      <c r="Y557" s="7" t="s">
        <v>42</v>
      </c>
    </row>
    <row r="558" spans="1:25" x14ac:dyDescent="0.3">
      <c r="A558" s="5" t="s">
        <v>863</v>
      </c>
      <c r="B558" s="3" t="s">
        <v>515</v>
      </c>
      <c r="C558" s="3" t="s">
        <v>24</v>
      </c>
      <c r="D558" s="3">
        <v>30</v>
      </c>
      <c r="E558" s="3" t="s">
        <v>137</v>
      </c>
      <c r="F558" s="3" t="s">
        <v>26</v>
      </c>
      <c r="G558" s="3" t="s">
        <v>80</v>
      </c>
      <c r="H558" s="3" t="s">
        <v>28</v>
      </c>
      <c r="I558" s="3" t="s">
        <v>40</v>
      </c>
      <c r="J558" s="6">
        <v>44986</v>
      </c>
      <c r="K558" s="3" t="s">
        <v>30</v>
      </c>
      <c r="L558" s="3" t="s">
        <v>31</v>
      </c>
      <c r="M558" s="3">
        <v>45700</v>
      </c>
      <c r="N558" s="3">
        <v>11</v>
      </c>
      <c r="O558" s="3">
        <v>89.7</v>
      </c>
      <c r="P558" s="3">
        <v>6</v>
      </c>
      <c r="Q558" s="3">
        <v>10</v>
      </c>
      <c r="R558" s="3">
        <v>2</v>
      </c>
      <c r="S558" s="3">
        <v>22</v>
      </c>
      <c r="T558" s="3">
        <v>20</v>
      </c>
      <c r="U558" s="3" t="s">
        <v>94</v>
      </c>
      <c r="V558" s="3">
        <v>3808</v>
      </c>
      <c r="W558" s="3">
        <v>3.4</v>
      </c>
      <c r="X558" s="3" t="s">
        <v>33</v>
      </c>
      <c r="Y558" s="7" t="s">
        <v>42</v>
      </c>
    </row>
    <row r="559" spans="1:25" x14ac:dyDescent="0.3">
      <c r="A559" s="5" t="s">
        <v>864</v>
      </c>
      <c r="B559" s="3" t="s">
        <v>114</v>
      </c>
      <c r="C559" s="3" t="s">
        <v>58</v>
      </c>
      <c r="D559" s="3">
        <v>47</v>
      </c>
      <c r="E559" s="3" t="s">
        <v>37</v>
      </c>
      <c r="F559" s="3" t="s">
        <v>26</v>
      </c>
      <c r="G559" s="3" t="s">
        <v>122</v>
      </c>
      <c r="H559" s="3" t="s">
        <v>115</v>
      </c>
      <c r="I559" s="3" t="s">
        <v>73</v>
      </c>
      <c r="J559" s="6">
        <v>44846</v>
      </c>
      <c r="K559" s="3" t="s">
        <v>30</v>
      </c>
      <c r="L559" s="3" t="s">
        <v>53</v>
      </c>
      <c r="M559" s="3">
        <v>21300</v>
      </c>
      <c r="N559" s="3">
        <v>26</v>
      </c>
      <c r="O559" s="3">
        <v>90</v>
      </c>
      <c r="P559" s="3">
        <v>0</v>
      </c>
      <c r="Q559" s="3">
        <v>1</v>
      </c>
      <c r="R559" s="3">
        <v>4</v>
      </c>
      <c r="S559" s="3">
        <v>24</v>
      </c>
      <c r="T559" s="3">
        <v>18</v>
      </c>
      <c r="U559" s="3" t="s">
        <v>32</v>
      </c>
      <c r="V559" s="3">
        <v>1775</v>
      </c>
      <c r="W559" s="3">
        <v>3.8</v>
      </c>
      <c r="X559" s="3" t="s">
        <v>54</v>
      </c>
      <c r="Y559" s="7" t="s">
        <v>42</v>
      </c>
    </row>
    <row r="560" spans="1:25" x14ac:dyDescent="0.3">
      <c r="A560" s="5" t="s">
        <v>865</v>
      </c>
      <c r="B560" s="3" t="s">
        <v>381</v>
      </c>
      <c r="C560" s="3" t="s">
        <v>24</v>
      </c>
      <c r="D560" s="3">
        <v>43</v>
      </c>
      <c r="E560" s="3" t="s">
        <v>51</v>
      </c>
      <c r="F560" s="3" t="s">
        <v>91</v>
      </c>
      <c r="G560" s="3" t="s">
        <v>27</v>
      </c>
      <c r="H560" s="3" t="s">
        <v>28</v>
      </c>
      <c r="I560" s="3" t="s">
        <v>47</v>
      </c>
      <c r="J560" s="6">
        <v>45224</v>
      </c>
      <c r="K560" s="3" t="s">
        <v>30</v>
      </c>
      <c r="L560" s="3" t="s">
        <v>53</v>
      </c>
      <c r="M560" s="3">
        <v>60800</v>
      </c>
      <c r="N560" s="3">
        <v>22</v>
      </c>
      <c r="O560" s="3">
        <v>93.9</v>
      </c>
      <c r="P560" s="3">
        <v>1</v>
      </c>
      <c r="Q560" s="3">
        <v>14</v>
      </c>
      <c r="R560" s="3">
        <v>1</v>
      </c>
      <c r="S560" s="3">
        <v>17</v>
      </c>
      <c r="T560" s="3">
        <v>30</v>
      </c>
      <c r="U560" s="3" t="s">
        <v>123</v>
      </c>
      <c r="V560" s="3">
        <v>5067</v>
      </c>
      <c r="W560" s="3">
        <v>2.8</v>
      </c>
      <c r="X560" s="3" t="s">
        <v>62</v>
      </c>
      <c r="Y560" s="7" t="s">
        <v>55</v>
      </c>
    </row>
    <row r="561" spans="1:25" x14ac:dyDescent="0.3">
      <c r="A561" s="5" t="s">
        <v>866</v>
      </c>
      <c r="B561" s="3" t="s">
        <v>867</v>
      </c>
      <c r="C561" s="3" t="s">
        <v>24</v>
      </c>
      <c r="D561" s="3">
        <v>30</v>
      </c>
      <c r="E561" s="3" t="s">
        <v>101</v>
      </c>
      <c r="F561" s="3" t="s">
        <v>72</v>
      </c>
      <c r="G561" s="3" t="s">
        <v>27</v>
      </c>
      <c r="H561" s="3" t="s">
        <v>28</v>
      </c>
      <c r="I561" s="3" t="s">
        <v>92</v>
      </c>
      <c r="J561" s="6">
        <v>43347</v>
      </c>
      <c r="K561" s="3" t="s">
        <v>30</v>
      </c>
      <c r="L561" s="3" t="s">
        <v>53</v>
      </c>
      <c r="M561" s="3">
        <v>129700</v>
      </c>
      <c r="N561" s="3">
        <v>9</v>
      </c>
      <c r="O561" s="3">
        <v>91.5</v>
      </c>
      <c r="P561" s="3">
        <v>0</v>
      </c>
      <c r="Q561" s="3">
        <v>3</v>
      </c>
      <c r="R561" s="3">
        <v>3</v>
      </c>
      <c r="S561" s="3">
        <v>5</v>
      </c>
      <c r="T561" s="3">
        <v>30</v>
      </c>
      <c r="U561" s="3" t="s">
        <v>94</v>
      </c>
      <c r="V561" s="3">
        <v>10808</v>
      </c>
      <c r="W561" s="3">
        <v>7.9</v>
      </c>
      <c r="X561" s="3" t="s">
        <v>33</v>
      </c>
      <c r="Y561" s="7" t="s">
        <v>75</v>
      </c>
    </row>
    <row r="562" spans="1:25" x14ac:dyDescent="0.3">
      <c r="A562" s="5" t="s">
        <v>868</v>
      </c>
      <c r="B562" s="3" t="s">
        <v>487</v>
      </c>
      <c r="C562" s="3" t="s">
        <v>58</v>
      </c>
      <c r="D562" s="3">
        <v>27</v>
      </c>
      <c r="E562" s="3" t="s">
        <v>83</v>
      </c>
      <c r="F562" s="3" t="s">
        <v>60</v>
      </c>
      <c r="G562" s="3" t="s">
        <v>46</v>
      </c>
      <c r="H562" s="3" t="s">
        <v>115</v>
      </c>
      <c r="I562" s="3" t="s">
        <v>92</v>
      </c>
      <c r="J562" s="6">
        <v>44952</v>
      </c>
      <c r="K562" s="3" t="s">
        <v>30</v>
      </c>
      <c r="L562" s="3" t="s">
        <v>53</v>
      </c>
      <c r="M562" s="3">
        <v>88500</v>
      </c>
      <c r="N562" s="3">
        <v>7</v>
      </c>
      <c r="O562" s="3">
        <v>98.1</v>
      </c>
      <c r="P562" s="3">
        <v>3</v>
      </c>
      <c r="Q562" s="3">
        <v>6</v>
      </c>
      <c r="R562" s="3">
        <v>3</v>
      </c>
      <c r="S562" s="3">
        <v>14</v>
      </c>
      <c r="T562" s="3">
        <v>15</v>
      </c>
      <c r="U562" s="3" t="s">
        <v>104</v>
      </c>
      <c r="V562" s="3">
        <v>7375</v>
      </c>
      <c r="W562" s="3">
        <v>3.5</v>
      </c>
      <c r="X562" s="3" t="s">
        <v>95</v>
      </c>
      <c r="Y562" s="7" t="s">
        <v>75</v>
      </c>
    </row>
    <row r="563" spans="1:25" x14ac:dyDescent="0.3">
      <c r="A563" s="5" t="s">
        <v>869</v>
      </c>
      <c r="B563" s="3" t="s">
        <v>375</v>
      </c>
      <c r="C563" s="3" t="s">
        <v>24</v>
      </c>
      <c r="D563" s="3">
        <v>49</v>
      </c>
      <c r="E563" s="3" t="s">
        <v>45</v>
      </c>
      <c r="F563" s="3" t="s">
        <v>72</v>
      </c>
      <c r="G563" s="3" t="s">
        <v>46</v>
      </c>
      <c r="H563" s="3" t="s">
        <v>28</v>
      </c>
      <c r="I563" s="3" t="s">
        <v>73</v>
      </c>
      <c r="J563" s="6">
        <v>45728</v>
      </c>
      <c r="K563" s="3" t="s">
        <v>30</v>
      </c>
      <c r="L563" s="3" t="s">
        <v>31</v>
      </c>
      <c r="M563" s="3">
        <v>104400</v>
      </c>
      <c r="N563" s="3">
        <v>26</v>
      </c>
      <c r="O563" s="3">
        <v>93.9</v>
      </c>
      <c r="P563" s="3">
        <v>3</v>
      </c>
      <c r="Q563" s="3">
        <v>4</v>
      </c>
      <c r="R563" s="3">
        <v>1</v>
      </c>
      <c r="S563" s="3">
        <v>11</v>
      </c>
      <c r="T563" s="3">
        <v>19</v>
      </c>
      <c r="U563" s="3" t="s">
        <v>41</v>
      </c>
      <c r="V563" s="3">
        <v>8700</v>
      </c>
      <c r="W563" s="3">
        <v>1.4</v>
      </c>
      <c r="X563" s="3" t="s">
        <v>54</v>
      </c>
      <c r="Y563" s="7" t="s">
        <v>42</v>
      </c>
    </row>
    <row r="564" spans="1:25" x14ac:dyDescent="0.3">
      <c r="A564" s="5" t="s">
        <v>870</v>
      </c>
      <c r="B564" s="3" t="s">
        <v>103</v>
      </c>
      <c r="C564" s="3" t="s">
        <v>58</v>
      </c>
      <c r="D564" s="3">
        <v>41</v>
      </c>
      <c r="E564" s="3" t="s">
        <v>101</v>
      </c>
      <c r="F564" s="3" t="s">
        <v>91</v>
      </c>
      <c r="G564" s="3" t="s">
        <v>27</v>
      </c>
      <c r="H564" s="3" t="s">
        <v>28</v>
      </c>
      <c r="I564" s="3" t="s">
        <v>86</v>
      </c>
      <c r="J564" s="6">
        <v>45461</v>
      </c>
      <c r="K564" s="3" t="s">
        <v>30</v>
      </c>
      <c r="L564" s="3" t="s">
        <v>53</v>
      </c>
      <c r="M564" s="3">
        <v>72200</v>
      </c>
      <c r="N564" s="3">
        <v>18</v>
      </c>
      <c r="O564" s="3">
        <v>100</v>
      </c>
      <c r="P564" s="3">
        <v>4</v>
      </c>
      <c r="Q564" s="3">
        <v>14</v>
      </c>
      <c r="R564" s="3">
        <v>1</v>
      </c>
      <c r="S564" s="3">
        <v>28</v>
      </c>
      <c r="T564" s="3">
        <v>30</v>
      </c>
      <c r="U564" s="3" t="s">
        <v>74</v>
      </c>
      <c r="V564" s="3">
        <v>6017</v>
      </c>
      <c r="W564" s="3">
        <v>2.1</v>
      </c>
      <c r="X564" s="3" t="s">
        <v>62</v>
      </c>
      <c r="Y564" s="7" t="s">
        <v>42</v>
      </c>
    </row>
    <row r="565" spans="1:25" x14ac:dyDescent="0.3">
      <c r="A565" s="5" t="s">
        <v>871</v>
      </c>
      <c r="B565" s="3" t="s">
        <v>872</v>
      </c>
      <c r="C565" s="3" t="s">
        <v>24</v>
      </c>
      <c r="D565" s="3">
        <v>49</v>
      </c>
      <c r="E565" s="3" t="s">
        <v>90</v>
      </c>
      <c r="F565" s="3" t="s">
        <v>38</v>
      </c>
      <c r="G565" s="3" t="s">
        <v>46</v>
      </c>
      <c r="H565" s="3" t="s">
        <v>28</v>
      </c>
      <c r="I565" s="3" t="s">
        <v>86</v>
      </c>
      <c r="J565" s="6">
        <v>43676</v>
      </c>
      <c r="K565" s="3" t="s">
        <v>30</v>
      </c>
      <c r="L565" s="3" t="s">
        <v>93</v>
      </c>
      <c r="M565" s="3">
        <v>63600</v>
      </c>
      <c r="N565" s="3">
        <v>25</v>
      </c>
      <c r="O565" s="3">
        <v>85.3</v>
      </c>
      <c r="P565" s="3">
        <v>4</v>
      </c>
      <c r="Q565" s="3">
        <v>15</v>
      </c>
      <c r="R565" s="3">
        <v>1</v>
      </c>
      <c r="S565" s="3">
        <v>29</v>
      </c>
      <c r="T565" s="3">
        <v>29</v>
      </c>
      <c r="U565" s="3" t="s">
        <v>32</v>
      </c>
      <c r="V565" s="3">
        <v>5300</v>
      </c>
      <c r="W565" s="3">
        <v>7</v>
      </c>
      <c r="X565" s="3" t="s">
        <v>54</v>
      </c>
      <c r="Y565" s="7" t="s">
        <v>75</v>
      </c>
    </row>
    <row r="566" spans="1:25" x14ac:dyDescent="0.3">
      <c r="A566" s="5" t="s">
        <v>873</v>
      </c>
      <c r="B566" s="3" t="s">
        <v>222</v>
      </c>
      <c r="C566" s="3" t="s">
        <v>24</v>
      </c>
      <c r="D566" s="3">
        <v>20</v>
      </c>
      <c r="E566" s="3" t="s">
        <v>51</v>
      </c>
      <c r="F566" s="3" t="s">
        <v>79</v>
      </c>
      <c r="G566" s="3" t="s">
        <v>27</v>
      </c>
      <c r="H566" s="3" t="s">
        <v>28</v>
      </c>
      <c r="I566" s="3" t="s">
        <v>107</v>
      </c>
      <c r="J566" s="6">
        <v>44716</v>
      </c>
      <c r="K566" s="3" t="s">
        <v>30</v>
      </c>
      <c r="L566" s="3" t="s">
        <v>31</v>
      </c>
      <c r="M566" s="3">
        <v>95800</v>
      </c>
      <c r="N566" s="3">
        <v>0</v>
      </c>
      <c r="O566" s="3">
        <v>96</v>
      </c>
      <c r="P566" s="3">
        <v>0</v>
      </c>
      <c r="Q566" s="3">
        <v>12</v>
      </c>
      <c r="R566" s="3">
        <v>3</v>
      </c>
      <c r="S566" s="3">
        <v>3</v>
      </c>
      <c r="T566" s="3">
        <v>3</v>
      </c>
      <c r="U566" s="3" t="s">
        <v>74</v>
      </c>
      <c r="V566" s="3">
        <v>7983</v>
      </c>
      <c r="W566" s="3">
        <v>4.2</v>
      </c>
      <c r="X566" s="3" t="s">
        <v>48</v>
      </c>
      <c r="Y566" s="7" t="s">
        <v>55</v>
      </c>
    </row>
    <row r="567" spans="1:25" x14ac:dyDescent="0.3">
      <c r="A567" s="5" t="s">
        <v>874</v>
      </c>
      <c r="B567" s="3" t="s">
        <v>23</v>
      </c>
      <c r="C567" s="3" t="s">
        <v>24</v>
      </c>
      <c r="D567" s="3">
        <v>21</v>
      </c>
      <c r="E567" s="3" t="s">
        <v>65</v>
      </c>
      <c r="F567" s="3" t="s">
        <v>60</v>
      </c>
      <c r="G567" s="3" t="s">
        <v>46</v>
      </c>
      <c r="H567" s="3" t="s">
        <v>28</v>
      </c>
      <c r="I567" s="3" t="s">
        <v>86</v>
      </c>
      <c r="J567" s="6">
        <v>45491</v>
      </c>
      <c r="K567" s="3" t="s">
        <v>30</v>
      </c>
      <c r="L567" s="3" t="s">
        <v>93</v>
      </c>
      <c r="M567" s="3">
        <v>98500</v>
      </c>
      <c r="N567" s="3">
        <v>0</v>
      </c>
      <c r="O567" s="3">
        <v>83.2</v>
      </c>
      <c r="P567" s="3">
        <v>6</v>
      </c>
      <c r="Q567" s="3">
        <v>3</v>
      </c>
      <c r="R567" s="3">
        <v>4</v>
      </c>
      <c r="S567" s="3">
        <v>28</v>
      </c>
      <c r="T567" s="3">
        <v>24</v>
      </c>
      <c r="U567" s="3" t="s">
        <v>130</v>
      </c>
      <c r="V567" s="3">
        <v>8208</v>
      </c>
      <c r="W567" s="3">
        <v>2</v>
      </c>
      <c r="X567" s="3" t="s">
        <v>48</v>
      </c>
      <c r="Y567" s="7" t="s">
        <v>42</v>
      </c>
    </row>
    <row r="568" spans="1:25" x14ac:dyDescent="0.3">
      <c r="A568" s="5" t="s">
        <v>875</v>
      </c>
      <c r="B568" s="3" t="s">
        <v>663</v>
      </c>
      <c r="C568" s="3" t="s">
        <v>24</v>
      </c>
      <c r="D568" s="3">
        <v>39</v>
      </c>
      <c r="E568" s="3" t="s">
        <v>90</v>
      </c>
      <c r="F568" s="3" t="s">
        <v>38</v>
      </c>
      <c r="G568" s="3" t="s">
        <v>171</v>
      </c>
      <c r="H568" s="3" t="s">
        <v>28</v>
      </c>
      <c r="I568" s="3" t="s">
        <v>68</v>
      </c>
      <c r="J568" s="6">
        <v>45863</v>
      </c>
      <c r="K568" s="3" t="s">
        <v>30</v>
      </c>
      <c r="L568" s="3" t="s">
        <v>31</v>
      </c>
      <c r="M568" s="3">
        <v>119400</v>
      </c>
      <c r="N568" s="3">
        <v>15</v>
      </c>
      <c r="O568" s="3">
        <v>96.3</v>
      </c>
      <c r="P568" s="3">
        <v>5</v>
      </c>
      <c r="Q568" s="3">
        <v>1</v>
      </c>
      <c r="R568" s="3">
        <v>2</v>
      </c>
      <c r="S568" s="3">
        <v>11</v>
      </c>
      <c r="T568" s="3">
        <v>19</v>
      </c>
      <c r="U568" s="3" t="s">
        <v>104</v>
      </c>
      <c r="V568" s="3">
        <v>9950</v>
      </c>
      <c r="W568" s="3">
        <v>1</v>
      </c>
      <c r="X568" s="3" t="s">
        <v>108</v>
      </c>
      <c r="Y568" s="7" t="s">
        <v>55</v>
      </c>
    </row>
    <row r="569" spans="1:25" x14ac:dyDescent="0.3">
      <c r="A569" s="5" t="s">
        <v>876</v>
      </c>
      <c r="B569" s="3" t="s">
        <v>463</v>
      </c>
      <c r="C569" s="3" t="s">
        <v>58</v>
      </c>
      <c r="D569" s="3">
        <v>23</v>
      </c>
      <c r="E569" s="3" t="s">
        <v>59</v>
      </c>
      <c r="F569" s="3" t="s">
        <v>79</v>
      </c>
      <c r="G569" s="3" t="s">
        <v>171</v>
      </c>
      <c r="H569" s="3" t="s">
        <v>28</v>
      </c>
      <c r="I569" s="3" t="s">
        <v>86</v>
      </c>
      <c r="J569" s="6">
        <v>44306</v>
      </c>
      <c r="K569" s="3" t="s">
        <v>30</v>
      </c>
      <c r="L569" s="3" t="s">
        <v>53</v>
      </c>
      <c r="M569" s="3">
        <v>123100</v>
      </c>
      <c r="N569" s="3">
        <v>3</v>
      </c>
      <c r="O569" s="3">
        <v>92.9</v>
      </c>
      <c r="P569" s="3">
        <v>7</v>
      </c>
      <c r="Q569" s="3">
        <v>1</v>
      </c>
      <c r="R569" s="3">
        <v>4</v>
      </c>
      <c r="S569" s="3">
        <v>25</v>
      </c>
      <c r="T569" s="3">
        <v>8</v>
      </c>
      <c r="U569" s="3" t="s">
        <v>123</v>
      </c>
      <c r="V569" s="3">
        <v>10258</v>
      </c>
      <c r="W569" s="3">
        <v>5.3</v>
      </c>
      <c r="X569" s="3" t="s">
        <v>48</v>
      </c>
      <c r="Y569" s="7" t="s">
        <v>75</v>
      </c>
    </row>
    <row r="570" spans="1:25" x14ac:dyDescent="0.3">
      <c r="A570" s="5" t="s">
        <v>877</v>
      </c>
      <c r="B570" s="3" t="s">
        <v>381</v>
      </c>
      <c r="C570" s="3" t="s">
        <v>24</v>
      </c>
      <c r="D570" s="3">
        <v>21</v>
      </c>
      <c r="E570" s="3" t="s">
        <v>83</v>
      </c>
      <c r="F570" s="3" t="s">
        <v>72</v>
      </c>
      <c r="G570" s="3" t="s">
        <v>39</v>
      </c>
      <c r="H570" s="3" t="s">
        <v>115</v>
      </c>
      <c r="I570" s="3" t="s">
        <v>73</v>
      </c>
      <c r="J570" s="6">
        <v>44084</v>
      </c>
      <c r="K570" s="3" t="s">
        <v>30</v>
      </c>
      <c r="L570" s="3" t="s">
        <v>31</v>
      </c>
      <c r="M570" s="3">
        <v>49800</v>
      </c>
      <c r="N570" s="3">
        <v>0</v>
      </c>
      <c r="O570" s="3">
        <v>89.9</v>
      </c>
      <c r="P570" s="3">
        <v>3</v>
      </c>
      <c r="Q570" s="3">
        <v>0</v>
      </c>
      <c r="R570" s="3">
        <v>0</v>
      </c>
      <c r="S570" s="3">
        <v>10</v>
      </c>
      <c r="T570" s="3">
        <v>18</v>
      </c>
      <c r="U570" s="3" t="s">
        <v>123</v>
      </c>
      <c r="V570" s="3">
        <v>4150</v>
      </c>
      <c r="W570" s="3">
        <v>5.9</v>
      </c>
      <c r="X570" s="3" t="s">
        <v>48</v>
      </c>
      <c r="Y570" s="7" t="s">
        <v>55</v>
      </c>
    </row>
    <row r="571" spans="1:25" x14ac:dyDescent="0.3">
      <c r="A571" s="5" t="s">
        <v>878</v>
      </c>
      <c r="B571" s="3" t="s">
        <v>879</v>
      </c>
      <c r="C571" s="3" t="s">
        <v>58</v>
      </c>
      <c r="D571" s="3">
        <v>44</v>
      </c>
      <c r="E571" s="3" t="s">
        <v>83</v>
      </c>
      <c r="F571" s="3" t="s">
        <v>72</v>
      </c>
      <c r="G571" s="3" t="s">
        <v>27</v>
      </c>
      <c r="H571" s="3" t="s">
        <v>28</v>
      </c>
      <c r="I571" s="3" t="s">
        <v>107</v>
      </c>
      <c r="J571" s="6">
        <v>45874</v>
      </c>
      <c r="K571" s="3" t="s">
        <v>30</v>
      </c>
      <c r="L571" s="3" t="s">
        <v>53</v>
      </c>
      <c r="M571" s="3">
        <v>104500</v>
      </c>
      <c r="N571" s="3">
        <v>21</v>
      </c>
      <c r="O571" s="3">
        <v>92.1</v>
      </c>
      <c r="P571" s="3">
        <v>0</v>
      </c>
      <c r="Q571" s="3">
        <v>9</v>
      </c>
      <c r="R571" s="3">
        <v>1</v>
      </c>
      <c r="S571" s="3">
        <v>21</v>
      </c>
      <c r="T571" s="3">
        <v>19</v>
      </c>
      <c r="U571" s="3" t="s">
        <v>74</v>
      </c>
      <c r="V571" s="3">
        <v>8708</v>
      </c>
      <c r="W571" s="3">
        <v>1</v>
      </c>
      <c r="X571" s="3" t="s">
        <v>62</v>
      </c>
      <c r="Y571" s="7" t="s">
        <v>42</v>
      </c>
    </row>
    <row r="572" spans="1:25" x14ac:dyDescent="0.3">
      <c r="A572" s="5" t="s">
        <v>880</v>
      </c>
      <c r="B572" s="3" t="s">
        <v>502</v>
      </c>
      <c r="C572" s="3" t="s">
        <v>24</v>
      </c>
      <c r="D572" s="3">
        <v>21</v>
      </c>
      <c r="E572" s="3" t="s">
        <v>37</v>
      </c>
      <c r="F572" s="3" t="s">
        <v>26</v>
      </c>
      <c r="G572" s="3" t="s">
        <v>80</v>
      </c>
      <c r="H572" s="3" t="s">
        <v>28</v>
      </c>
      <c r="I572" s="3" t="s">
        <v>73</v>
      </c>
      <c r="J572" s="6">
        <v>45780</v>
      </c>
      <c r="K572" s="3" t="s">
        <v>30</v>
      </c>
      <c r="L572" s="3" t="s">
        <v>93</v>
      </c>
      <c r="M572" s="3">
        <v>56800</v>
      </c>
      <c r="N572" s="3">
        <v>1</v>
      </c>
      <c r="O572" s="3">
        <v>88.5</v>
      </c>
      <c r="P572" s="3">
        <v>2</v>
      </c>
      <c r="Q572" s="3">
        <v>13</v>
      </c>
      <c r="R572" s="3">
        <v>4</v>
      </c>
      <c r="S572" s="3">
        <v>8</v>
      </c>
      <c r="T572" s="3">
        <v>17</v>
      </c>
      <c r="U572" s="3" t="s">
        <v>123</v>
      </c>
      <c r="V572" s="3">
        <v>4733</v>
      </c>
      <c r="W572" s="3">
        <v>1.2</v>
      </c>
      <c r="X572" s="3" t="s">
        <v>48</v>
      </c>
      <c r="Y572" s="7" t="s">
        <v>42</v>
      </c>
    </row>
    <row r="573" spans="1:25" x14ac:dyDescent="0.3">
      <c r="A573" s="5" t="s">
        <v>881</v>
      </c>
      <c r="B573" s="3" t="s">
        <v>402</v>
      </c>
      <c r="C573" s="3" t="s">
        <v>24</v>
      </c>
      <c r="D573" s="3">
        <v>32</v>
      </c>
      <c r="E573" s="3" t="s">
        <v>83</v>
      </c>
      <c r="F573" s="3" t="s">
        <v>52</v>
      </c>
      <c r="G573" s="3" t="s">
        <v>80</v>
      </c>
      <c r="H573" s="3" t="s">
        <v>28</v>
      </c>
      <c r="I573" s="3" t="s">
        <v>86</v>
      </c>
      <c r="J573" s="6">
        <v>45547</v>
      </c>
      <c r="K573" s="3" t="s">
        <v>30</v>
      </c>
      <c r="L573" s="3" t="s">
        <v>31</v>
      </c>
      <c r="M573" s="3">
        <v>44200</v>
      </c>
      <c r="N573" s="3">
        <v>12</v>
      </c>
      <c r="O573" s="3">
        <v>88.1</v>
      </c>
      <c r="P573" s="3">
        <v>8</v>
      </c>
      <c r="Q573" s="3">
        <v>5</v>
      </c>
      <c r="R573" s="3">
        <v>2</v>
      </c>
      <c r="S573" s="3">
        <v>26</v>
      </c>
      <c r="T573" s="3">
        <v>24</v>
      </c>
      <c r="U573" s="3" t="s">
        <v>32</v>
      </c>
      <c r="V573" s="3">
        <v>3683</v>
      </c>
      <c r="W573" s="3">
        <v>1.9</v>
      </c>
      <c r="X573" s="3" t="s">
        <v>33</v>
      </c>
      <c r="Y573" s="7" t="s">
        <v>42</v>
      </c>
    </row>
    <row r="574" spans="1:25" x14ac:dyDescent="0.3">
      <c r="A574" s="5" t="s">
        <v>882</v>
      </c>
      <c r="B574" s="3" t="s">
        <v>767</v>
      </c>
      <c r="C574" s="3" t="s">
        <v>24</v>
      </c>
      <c r="D574" s="3">
        <v>48</v>
      </c>
      <c r="E574" s="3" t="s">
        <v>59</v>
      </c>
      <c r="F574" s="3" t="s">
        <v>72</v>
      </c>
      <c r="G574" s="3" t="s">
        <v>46</v>
      </c>
      <c r="H574" s="3" t="s">
        <v>67</v>
      </c>
      <c r="I574" s="3" t="s">
        <v>68</v>
      </c>
      <c r="J574" s="6">
        <v>45862</v>
      </c>
      <c r="K574" s="3" t="s">
        <v>30</v>
      </c>
      <c r="L574" s="3" t="s">
        <v>31</v>
      </c>
      <c r="M574" s="3">
        <v>97900</v>
      </c>
      <c r="N574" s="3">
        <v>25</v>
      </c>
      <c r="O574" s="3">
        <v>93.2</v>
      </c>
      <c r="P574" s="3">
        <v>6</v>
      </c>
      <c r="Q574" s="3">
        <v>5</v>
      </c>
      <c r="R574" s="3">
        <v>4</v>
      </c>
      <c r="S574" s="3">
        <v>0</v>
      </c>
      <c r="T574" s="3">
        <v>8</v>
      </c>
      <c r="U574" s="3" t="s">
        <v>74</v>
      </c>
      <c r="V574" s="3">
        <v>8158</v>
      </c>
      <c r="W574" s="3">
        <v>1</v>
      </c>
      <c r="X574" s="3" t="s">
        <v>54</v>
      </c>
      <c r="Y574" s="7" t="s">
        <v>42</v>
      </c>
    </row>
    <row r="575" spans="1:25" x14ac:dyDescent="0.3">
      <c r="A575" s="5" t="s">
        <v>883</v>
      </c>
      <c r="B575" s="3" t="s">
        <v>884</v>
      </c>
      <c r="C575" s="3" t="s">
        <v>24</v>
      </c>
      <c r="D575" s="3">
        <v>41</v>
      </c>
      <c r="E575" s="3" t="s">
        <v>65</v>
      </c>
      <c r="F575" s="3" t="s">
        <v>72</v>
      </c>
      <c r="G575" s="3" t="s">
        <v>39</v>
      </c>
      <c r="H575" s="3" t="s">
        <v>28</v>
      </c>
      <c r="I575" s="3" t="s">
        <v>73</v>
      </c>
      <c r="J575" s="6">
        <v>44024</v>
      </c>
      <c r="K575" s="3" t="s">
        <v>30</v>
      </c>
      <c r="L575" s="3" t="s">
        <v>31</v>
      </c>
      <c r="M575" s="3">
        <v>42300</v>
      </c>
      <c r="N575" s="3">
        <v>18</v>
      </c>
      <c r="O575" s="3">
        <v>82.9</v>
      </c>
      <c r="P575" s="3">
        <v>1</v>
      </c>
      <c r="Q575" s="3">
        <v>3</v>
      </c>
      <c r="R575" s="3">
        <v>0</v>
      </c>
      <c r="S575" s="3">
        <v>17</v>
      </c>
      <c r="T575" s="3">
        <v>19</v>
      </c>
      <c r="U575" s="3" t="s">
        <v>32</v>
      </c>
      <c r="V575" s="3">
        <v>3525</v>
      </c>
      <c r="W575" s="3">
        <v>6.1</v>
      </c>
      <c r="X575" s="3" t="s">
        <v>62</v>
      </c>
      <c r="Y575" s="7" t="s">
        <v>42</v>
      </c>
    </row>
    <row r="576" spans="1:25" x14ac:dyDescent="0.3">
      <c r="A576" s="5" t="s">
        <v>885</v>
      </c>
      <c r="B576" s="3" t="s">
        <v>293</v>
      </c>
      <c r="C576" s="3" t="s">
        <v>24</v>
      </c>
      <c r="D576" s="3">
        <v>40</v>
      </c>
      <c r="E576" s="3" t="s">
        <v>90</v>
      </c>
      <c r="F576" s="3" t="s">
        <v>38</v>
      </c>
      <c r="G576" s="3" t="s">
        <v>80</v>
      </c>
      <c r="H576" s="3" t="s">
        <v>115</v>
      </c>
      <c r="I576" s="3" t="s">
        <v>40</v>
      </c>
      <c r="J576" s="6">
        <v>43392</v>
      </c>
      <c r="K576" s="3" t="s">
        <v>30</v>
      </c>
      <c r="L576" s="3" t="s">
        <v>93</v>
      </c>
      <c r="M576" s="3">
        <v>54100</v>
      </c>
      <c r="N576" s="3">
        <v>16</v>
      </c>
      <c r="O576" s="3">
        <v>92.6</v>
      </c>
      <c r="P576" s="3">
        <v>2</v>
      </c>
      <c r="Q576" s="3">
        <v>8</v>
      </c>
      <c r="R576" s="3">
        <v>0</v>
      </c>
      <c r="S576" s="3">
        <v>5</v>
      </c>
      <c r="T576" s="3">
        <v>13</v>
      </c>
      <c r="U576" s="3" t="s">
        <v>41</v>
      </c>
      <c r="V576" s="3">
        <v>4508</v>
      </c>
      <c r="W576" s="3">
        <v>7.8</v>
      </c>
      <c r="X576" s="3" t="s">
        <v>62</v>
      </c>
      <c r="Y576" s="7" t="s">
        <v>75</v>
      </c>
    </row>
    <row r="577" spans="1:25" x14ac:dyDescent="0.3">
      <c r="A577" s="5" t="s">
        <v>886</v>
      </c>
      <c r="B577" s="3" t="s">
        <v>212</v>
      </c>
      <c r="C577" s="3" t="s">
        <v>24</v>
      </c>
      <c r="D577" s="3">
        <v>39</v>
      </c>
      <c r="E577" s="3" t="s">
        <v>71</v>
      </c>
      <c r="F577" s="3" t="s">
        <v>52</v>
      </c>
      <c r="G577" s="3" t="s">
        <v>27</v>
      </c>
      <c r="H577" s="3" t="s">
        <v>28</v>
      </c>
      <c r="I577" s="3" t="s">
        <v>73</v>
      </c>
      <c r="J577" s="6">
        <v>45202</v>
      </c>
      <c r="K577" s="3" t="s">
        <v>30</v>
      </c>
      <c r="L577" s="3" t="s">
        <v>53</v>
      </c>
      <c r="M577" s="3">
        <v>87700</v>
      </c>
      <c r="N577" s="3">
        <v>17</v>
      </c>
      <c r="O577" s="3">
        <v>90.4</v>
      </c>
      <c r="P577" s="3">
        <v>1</v>
      </c>
      <c r="Q577" s="3">
        <v>12</v>
      </c>
      <c r="R577" s="3">
        <v>4</v>
      </c>
      <c r="S577" s="3">
        <v>30</v>
      </c>
      <c r="T577" s="3">
        <v>27</v>
      </c>
      <c r="U577" s="3" t="s">
        <v>104</v>
      </c>
      <c r="V577" s="3">
        <v>7308</v>
      </c>
      <c r="W577" s="3">
        <v>2.8</v>
      </c>
      <c r="X577" s="3" t="s">
        <v>108</v>
      </c>
      <c r="Y577" s="7" t="s">
        <v>42</v>
      </c>
    </row>
    <row r="578" spans="1:25" x14ac:dyDescent="0.3">
      <c r="A578" s="5" t="s">
        <v>887</v>
      </c>
      <c r="B578" s="3" t="s">
        <v>504</v>
      </c>
      <c r="C578" s="3" t="s">
        <v>58</v>
      </c>
      <c r="D578" s="3">
        <v>25</v>
      </c>
      <c r="E578" s="3" t="s">
        <v>160</v>
      </c>
      <c r="F578" s="3" t="s">
        <v>52</v>
      </c>
      <c r="G578" s="3" t="s">
        <v>39</v>
      </c>
      <c r="H578" s="3" t="s">
        <v>115</v>
      </c>
      <c r="I578" s="3" t="s">
        <v>73</v>
      </c>
      <c r="J578" s="6">
        <v>44480</v>
      </c>
      <c r="K578" s="3" t="s">
        <v>30</v>
      </c>
      <c r="L578" s="3" t="s">
        <v>53</v>
      </c>
      <c r="M578" s="3">
        <v>34900</v>
      </c>
      <c r="N578" s="3">
        <v>6</v>
      </c>
      <c r="O578" s="3">
        <v>89.4</v>
      </c>
      <c r="P578" s="3">
        <v>3</v>
      </c>
      <c r="Q578" s="3">
        <v>3</v>
      </c>
      <c r="R578" s="3">
        <v>2</v>
      </c>
      <c r="S578" s="3">
        <v>11</v>
      </c>
      <c r="T578" s="3">
        <v>30</v>
      </c>
      <c r="U578" s="3" t="s">
        <v>32</v>
      </c>
      <c r="V578" s="3">
        <v>2908</v>
      </c>
      <c r="W578" s="3">
        <v>4.8</v>
      </c>
      <c r="X578" s="3" t="s">
        <v>95</v>
      </c>
      <c r="Y578" s="7" t="s">
        <v>55</v>
      </c>
    </row>
    <row r="579" spans="1:25" x14ac:dyDescent="0.3">
      <c r="A579" s="5" t="s">
        <v>888</v>
      </c>
      <c r="B579" s="3" t="s">
        <v>465</v>
      </c>
      <c r="C579" s="3" t="s">
        <v>58</v>
      </c>
      <c r="D579" s="3">
        <v>23</v>
      </c>
      <c r="E579" s="3" t="s">
        <v>59</v>
      </c>
      <c r="F579" s="3" t="s">
        <v>72</v>
      </c>
      <c r="G579" s="3" t="s">
        <v>80</v>
      </c>
      <c r="H579" s="3" t="s">
        <v>28</v>
      </c>
      <c r="I579" s="3" t="s">
        <v>92</v>
      </c>
      <c r="J579" s="6">
        <v>46131</v>
      </c>
      <c r="K579" s="3" t="s">
        <v>30</v>
      </c>
      <c r="L579" s="3" t="s">
        <v>31</v>
      </c>
      <c r="M579" s="3">
        <v>72300</v>
      </c>
      <c r="N579" s="3">
        <v>0</v>
      </c>
      <c r="O579" s="3">
        <v>88.5</v>
      </c>
      <c r="P579" s="3">
        <v>1</v>
      </c>
      <c r="Q579" s="3">
        <v>2</v>
      </c>
      <c r="R579" s="3">
        <v>4</v>
      </c>
      <c r="S579" s="3">
        <v>27</v>
      </c>
      <c r="T579" s="3">
        <v>17</v>
      </c>
      <c r="U579" s="3" t="s">
        <v>104</v>
      </c>
      <c r="V579" s="3">
        <v>6025</v>
      </c>
      <c r="W579" s="3">
        <v>0.3</v>
      </c>
      <c r="X579" s="3" t="s">
        <v>48</v>
      </c>
      <c r="Y579" s="7" t="s">
        <v>55</v>
      </c>
    </row>
    <row r="580" spans="1:25" x14ac:dyDescent="0.3">
      <c r="A580" s="5" t="s">
        <v>889</v>
      </c>
      <c r="B580" s="3" t="s">
        <v>511</v>
      </c>
      <c r="C580" s="3" t="s">
        <v>24</v>
      </c>
      <c r="D580" s="3">
        <v>44</v>
      </c>
      <c r="E580" s="3" t="s">
        <v>101</v>
      </c>
      <c r="F580" s="3" t="s">
        <v>72</v>
      </c>
      <c r="G580" s="3" t="s">
        <v>171</v>
      </c>
      <c r="H580" s="3" t="s">
        <v>28</v>
      </c>
      <c r="I580" s="3" t="s">
        <v>47</v>
      </c>
      <c r="J580" s="6">
        <v>45625</v>
      </c>
      <c r="K580" s="3" t="s">
        <v>30</v>
      </c>
      <c r="L580" s="3" t="s">
        <v>31</v>
      </c>
      <c r="M580" s="3">
        <v>175000</v>
      </c>
      <c r="N580" s="3">
        <v>23</v>
      </c>
      <c r="O580" s="3">
        <v>92.2</v>
      </c>
      <c r="P580" s="3">
        <v>3</v>
      </c>
      <c r="Q580" s="3">
        <v>10</v>
      </c>
      <c r="R580" s="3">
        <v>1</v>
      </c>
      <c r="S580" s="3">
        <v>22</v>
      </c>
      <c r="T580" s="3">
        <v>15</v>
      </c>
      <c r="U580" s="3" t="s">
        <v>104</v>
      </c>
      <c r="V580" s="3">
        <v>14583</v>
      </c>
      <c r="W580" s="3">
        <v>1.7</v>
      </c>
      <c r="X580" s="3" t="s">
        <v>62</v>
      </c>
      <c r="Y580" s="7" t="s">
        <v>42</v>
      </c>
    </row>
    <row r="581" spans="1:25" x14ac:dyDescent="0.3">
      <c r="A581" s="5" t="s">
        <v>890</v>
      </c>
      <c r="B581" s="3" t="s">
        <v>820</v>
      </c>
      <c r="C581" s="3" t="s">
        <v>24</v>
      </c>
      <c r="D581" s="3">
        <v>46</v>
      </c>
      <c r="E581" s="3" t="s">
        <v>71</v>
      </c>
      <c r="F581" s="3" t="s">
        <v>60</v>
      </c>
      <c r="G581" s="3" t="s">
        <v>80</v>
      </c>
      <c r="H581" s="3" t="s">
        <v>28</v>
      </c>
      <c r="I581" s="3" t="s">
        <v>73</v>
      </c>
      <c r="J581" s="6">
        <v>43122</v>
      </c>
      <c r="K581" s="3" t="s">
        <v>30</v>
      </c>
      <c r="L581" s="3" t="s">
        <v>31</v>
      </c>
      <c r="M581" s="3">
        <v>67700</v>
      </c>
      <c r="N581" s="3">
        <v>25</v>
      </c>
      <c r="O581" s="3">
        <v>96.2</v>
      </c>
      <c r="P581" s="3">
        <v>6</v>
      </c>
      <c r="Q581" s="3">
        <v>9</v>
      </c>
      <c r="R581" s="3">
        <v>2</v>
      </c>
      <c r="S581" s="3">
        <v>28</v>
      </c>
      <c r="T581" s="3">
        <v>8</v>
      </c>
      <c r="U581" s="3" t="s">
        <v>41</v>
      </c>
      <c r="V581" s="3">
        <v>5642</v>
      </c>
      <c r="W581" s="3">
        <v>8.5</v>
      </c>
      <c r="X581" s="3" t="s">
        <v>54</v>
      </c>
      <c r="Y581" s="7" t="s">
        <v>42</v>
      </c>
    </row>
    <row r="582" spans="1:25" x14ac:dyDescent="0.3">
      <c r="A582" s="5" t="s">
        <v>891</v>
      </c>
      <c r="B582" s="3" t="s">
        <v>474</v>
      </c>
      <c r="C582" s="3" t="s">
        <v>24</v>
      </c>
      <c r="D582" s="3">
        <v>45</v>
      </c>
      <c r="E582" s="3" t="s">
        <v>160</v>
      </c>
      <c r="F582" s="3" t="s">
        <v>26</v>
      </c>
      <c r="G582" s="3" t="s">
        <v>80</v>
      </c>
      <c r="H582" s="3" t="s">
        <v>67</v>
      </c>
      <c r="I582" s="3" t="s">
        <v>92</v>
      </c>
      <c r="J582" s="6">
        <v>44416</v>
      </c>
      <c r="K582" s="3" t="s">
        <v>30</v>
      </c>
      <c r="L582" s="3" t="s">
        <v>31</v>
      </c>
      <c r="M582" s="3">
        <v>46800</v>
      </c>
      <c r="N582" s="3">
        <v>23</v>
      </c>
      <c r="O582" s="3">
        <v>100</v>
      </c>
      <c r="P582" s="3">
        <v>7</v>
      </c>
      <c r="Q582" s="3">
        <v>8</v>
      </c>
      <c r="R582" s="3">
        <v>3</v>
      </c>
      <c r="S582" s="3">
        <v>2</v>
      </c>
      <c r="T582" s="3">
        <v>26</v>
      </c>
      <c r="U582" s="3" t="s">
        <v>130</v>
      </c>
      <c r="V582" s="3">
        <v>3900</v>
      </c>
      <c r="W582" s="3">
        <v>5</v>
      </c>
      <c r="X582" s="3" t="s">
        <v>54</v>
      </c>
      <c r="Y582" s="7" t="s">
        <v>42</v>
      </c>
    </row>
    <row r="583" spans="1:25" x14ac:dyDescent="0.3">
      <c r="A583" s="5" t="s">
        <v>892</v>
      </c>
      <c r="B583" s="3" t="s">
        <v>243</v>
      </c>
      <c r="C583" s="3" t="s">
        <v>58</v>
      </c>
      <c r="D583" s="3">
        <v>34</v>
      </c>
      <c r="E583" s="3" t="s">
        <v>137</v>
      </c>
      <c r="F583" s="3" t="s">
        <v>60</v>
      </c>
      <c r="G583" s="3" t="s">
        <v>80</v>
      </c>
      <c r="H583" s="3" t="s">
        <v>28</v>
      </c>
      <c r="I583" s="3" t="s">
        <v>86</v>
      </c>
      <c r="J583" s="6">
        <v>44153</v>
      </c>
      <c r="K583" s="3" t="s">
        <v>30</v>
      </c>
      <c r="L583" s="3" t="s">
        <v>53</v>
      </c>
      <c r="M583" s="3">
        <v>70200</v>
      </c>
      <c r="N583" s="3">
        <v>15</v>
      </c>
      <c r="O583" s="3">
        <v>96.6</v>
      </c>
      <c r="P583" s="3">
        <v>5</v>
      </c>
      <c r="Q583" s="3">
        <v>0</v>
      </c>
      <c r="R583" s="3">
        <v>2</v>
      </c>
      <c r="S583" s="3">
        <v>0</v>
      </c>
      <c r="T583" s="3">
        <v>9</v>
      </c>
      <c r="U583" s="3" t="s">
        <v>32</v>
      </c>
      <c r="V583" s="3">
        <v>5850</v>
      </c>
      <c r="W583" s="3">
        <v>5.7</v>
      </c>
      <c r="X583" s="3" t="s">
        <v>33</v>
      </c>
      <c r="Y583" s="7" t="s">
        <v>42</v>
      </c>
    </row>
    <row r="584" spans="1:25" x14ac:dyDescent="0.3">
      <c r="A584" s="5" t="s">
        <v>893</v>
      </c>
      <c r="B584" s="3" t="s">
        <v>894</v>
      </c>
      <c r="C584" s="3" t="s">
        <v>58</v>
      </c>
      <c r="D584" s="3">
        <v>42</v>
      </c>
      <c r="E584" s="3" t="s">
        <v>71</v>
      </c>
      <c r="F584" s="3" t="s">
        <v>60</v>
      </c>
      <c r="G584" s="3" t="s">
        <v>80</v>
      </c>
      <c r="H584" s="3" t="s">
        <v>28</v>
      </c>
      <c r="I584" s="3" t="s">
        <v>86</v>
      </c>
      <c r="J584" s="6">
        <v>45843</v>
      </c>
      <c r="K584" s="3" t="s">
        <v>30</v>
      </c>
      <c r="L584" s="3" t="s">
        <v>31</v>
      </c>
      <c r="M584" s="3">
        <v>65400</v>
      </c>
      <c r="N584" s="3">
        <v>22</v>
      </c>
      <c r="O584" s="3">
        <v>95.2</v>
      </c>
      <c r="P584" s="3">
        <v>8</v>
      </c>
      <c r="Q584" s="3">
        <v>12</v>
      </c>
      <c r="R584" s="3">
        <v>4</v>
      </c>
      <c r="S584" s="3">
        <v>6</v>
      </c>
      <c r="T584" s="3">
        <v>15</v>
      </c>
      <c r="U584" s="3" t="s">
        <v>32</v>
      </c>
      <c r="V584" s="3">
        <v>5450</v>
      </c>
      <c r="W584" s="3">
        <v>1.1000000000000001</v>
      </c>
      <c r="X584" s="3" t="s">
        <v>62</v>
      </c>
      <c r="Y584" s="7" t="s">
        <v>42</v>
      </c>
    </row>
    <row r="585" spans="1:25" x14ac:dyDescent="0.3">
      <c r="A585" s="5" t="s">
        <v>895</v>
      </c>
      <c r="B585" s="3" t="s">
        <v>147</v>
      </c>
      <c r="C585" s="3" t="s">
        <v>24</v>
      </c>
      <c r="D585" s="3">
        <v>50</v>
      </c>
      <c r="E585" s="3" t="s">
        <v>101</v>
      </c>
      <c r="F585" s="3" t="s">
        <v>91</v>
      </c>
      <c r="G585" s="3" t="s">
        <v>46</v>
      </c>
      <c r="H585" s="3" t="s">
        <v>28</v>
      </c>
      <c r="I585" s="3" t="s">
        <v>29</v>
      </c>
      <c r="J585" s="6">
        <v>45062</v>
      </c>
      <c r="K585" s="3" t="s">
        <v>30</v>
      </c>
      <c r="L585" s="3" t="s">
        <v>53</v>
      </c>
      <c r="M585" s="3">
        <v>54900</v>
      </c>
      <c r="N585" s="3">
        <v>29</v>
      </c>
      <c r="O585" s="3">
        <v>87.1</v>
      </c>
      <c r="P585" s="3">
        <v>5</v>
      </c>
      <c r="Q585" s="3">
        <v>14</v>
      </c>
      <c r="R585" s="3">
        <v>4</v>
      </c>
      <c r="S585" s="3">
        <v>27</v>
      </c>
      <c r="T585" s="3">
        <v>23</v>
      </c>
      <c r="U585" s="3" t="s">
        <v>32</v>
      </c>
      <c r="V585" s="3">
        <v>4575</v>
      </c>
      <c r="W585" s="3">
        <v>3.2</v>
      </c>
      <c r="X585" s="3" t="s">
        <v>54</v>
      </c>
      <c r="Y585" s="7" t="s">
        <v>75</v>
      </c>
    </row>
    <row r="586" spans="1:25" x14ac:dyDescent="0.3">
      <c r="A586" s="5" t="s">
        <v>896</v>
      </c>
      <c r="B586" s="3" t="s">
        <v>259</v>
      </c>
      <c r="C586" s="3" t="s">
        <v>24</v>
      </c>
      <c r="D586" s="3">
        <v>22</v>
      </c>
      <c r="E586" s="3" t="s">
        <v>98</v>
      </c>
      <c r="F586" s="3" t="s">
        <v>72</v>
      </c>
      <c r="G586" s="3" t="s">
        <v>27</v>
      </c>
      <c r="H586" s="3" t="s">
        <v>115</v>
      </c>
      <c r="I586" s="3" t="s">
        <v>73</v>
      </c>
      <c r="J586" s="6">
        <v>45308</v>
      </c>
      <c r="K586" s="3" t="s">
        <v>30</v>
      </c>
      <c r="L586" s="3" t="s">
        <v>53</v>
      </c>
      <c r="M586" s="3">
        <v>138800</v>
      </c>
      <c r="N586" s="3">
        <v>2</v>
      </c>
      <c r="O586" s="3">
        <v>88</v>
      </c>
      <c r="P586" s="3">
        <v>2</v>
      </c>
      <c r="Q586" s="3">
        <v>1</v>
      </c>
      <c r="R586" s="3">
        <v>3</v>
      </c>
      <c r="S586" s="3">
        <v>17</v>
      </c>
      <c r="T586" s="3">
        <v>21</v>
      </c>
      <c r="U586" s="3" t="s">
        <v>123</v>
      </c>
      <c r="V586" s="3">
        <v>11567</v>
      </c>
      <c r="W586" s="3">
        <v>2.5</v>
      </c>
      <c r="X586" s="3" t="s">
        <v>48</v>
      </c>
      <c r="Y586" s="7" t="s">
        <v>42</v>
      </c>
    </row>
    <row r="587" spans="1:25" x14ac:dyDescent="0.3">
      <c r="A587" s="5" t="s">
        <v>897</v>
      </c>
      <c r="B587" s="3" t="s">
        <v>281</v>
      </c>
      <c r="C587" s="3" t="s">
        <v>58</v>
      </c>
      <c r="D587" s="3">
        <v>47</v>
      </c>
      <c r="E587" s="3" t="s">
        <v>59</v>
      </c>
      <c r="F587" s="3" t="s">
        <v>91</v>
      </c>
      <c r="G587" s="3" t="s">
        <v>80</v>
      </c>
      <c r="H587" s="3" t="s">
        <v>28</v>
      </c>
      <c r="I587" s="3" t="s">
        <v>68</v>
      </c>
      <c r="J587" s="6">
        <v>44010</v>
      </c>
      <c r="K587" s="3" t="s">
        <v>61</v>
      </c>
      <c r="L587" s="3" t="s">
        <v>31</v>
      </c>
      <c r="M587" s="3">
        <v>33600</v>
      </c>
      <c r="N587" s="3">
        <v>27</v>
      </c>
      <c r="O587" s="3">
        <v>91</v>
      </c>
      <c r="P587" s="3">
        <v>0</v>
      </c>
      <c r="Q587" s="3">
        <v>0</v>
      </c>
      <c r="R587" s="3">
        <v>0</v>
      </c>
      <c r="S587" s="3">
        <v>11</v>
      </c>
      <c r="T587" s="3">
        <v>15</v>
      </c>
      <c r="U587" s="3" t="s">
        <v>130</v>
      </c>
      <c r="V587" s="3">
        <v>2800</v>
      </c>
      <c r="W587" s="3">
        <v>6.1</v>
      </c>
      <c r="X587" s="3" t="s">
        <v>54</v>
      </c>
      <c r="Y587" s="7" t="s">
        <v>75</v>
      </c>
    </row>
    <row r="588" spans="1:25" x14ac:dyDescent="0.3">
      <c r="A588" s="5" t="s">
        <v>898</v>
      </c>
      <c r="B588" s="3" t="s">
        <v>330</v>
      </c>
      <c r="C588" s="3" t="s">
        <v>24</v>
      </c>
      <c r="D588" s="3">
        <v>45</v>
      </c>
      <c r="E588" s="3" t="s">
        <v>45</v>
      </c>
      <c r="F588" s="3" t="s">
        <v>91</v>
      </c>
      <c r="G588" s="3" t="s">
        <v>27</v>
      </c>
      <c r="H588" s="3" t="s">
        <v>28</v>
      </c>
      <c r="I588" s="3" t="s">
        <v>29</v>
      </c>
      <c r="J588" s="6">
        <v>43630</v>
      </c>
      <c r="K588" s="3" t="s">
        <v>30</v>
      </c>
      <c r="L588" s="3" t="s">
        <v>31</v>
      </c>
      <c r="M588" s="3">
        <v>61900</v>
      </c>
      <c r="N588" s="3">
        <v>21</v>
      </c>
      <c r="O588" s="3">
        <v>93.2</v>
      </c>
      <c r="P588" s="3">
        <v>8</v>
      </c>
      <c r="Q588" s="3">
        <v>6</v>
      </c>
      <c r="R588" s="3">
        <v>4</v>
      </c>
      <c r="S588" s="3">
        <v>28</v>
      </c>
      <c r="T588" s="3">
        <v>28</v>
      </c>
      <c r="U588" s="3" t="s">
        <v>41</v>
      </c>
      <c r="V588" s="3">
        <v>5158</v>
      </c>
      <c r="W588" s="3">
        <v>7.1</v>
      </c>
      <c r="X588" s="3" t="s">
        <v>54</v>
      </c>
      <c r="Y588" s="7" t="s">
        <v>42</v>
      </c>
    </row>
    <row r="589" spans="1:25" x14ac:dyDescent="0.3">
      <c r="A589" s="5" t="s">
        <v>899</v>
      </c>
      <c r="B589" s="3" t="s">
        <v>337</v>
      </c>
      <c r="C589" s="3" t="s">
        <v>24</v>
      </c>
      <c r="D589" s="3">
        <v>23</v>
      </c>
      <c r="E589" s="3" t="s">
        <v>137</v>
      </c>
      <c r="F589" s="3" t="s">
        <v>52</v>
      </c>
      <c r="G589" s="3" t="s">
        <v>80</v>
      </c>
      <c r="H589" s="3" t="s">
        <v>28</v>
      </c>
      <c r="I589" s="3" t="s">
        <v>107</v>
      </c>
      <c r="J589" s="6">
        <v>43201</v>
      </c>
      <c r="K589" s="3" t="s">
        <v>30</v>
      </c>
      <c r="L589" s="3" t="s">
        <v>31</v>
      </c>
      <c r="M589" s="3">
        <v>47900</v>
      </c>
      <c r="N589" s="3">
        <v>3</v>
      </c>
      <c r="O589" s="3">
        <v>88.7</v>
      </c>
      <c r="P589" s="3">
        <v>2</v>
      </c>
      <c r="Q589" s="3">
        <v>11</v>
      </c>
      <c r="R589" s="3">
        <v>0</v>
      </c>
      <c r="S589" s="3">
        <v>21</v>
      </c>
      <c r="T589" s="3">
        <v>4</v>
      </c>
      <c r="U589" s="3" t="s">
        <v>94</v>
      </c>
      <c r="V589" s="3">
        <v>3992</v>
      </c>
      <c r="W589" s="3">
        <v>8.3000000000000007</v>
      </c>
      <c r="X589" s="3" t="s">
        <v>48</v>
      </c>
      <c r="Y589" s="7" t="s">
        <v>42</v>
      </c>
    </row>
    <row r="590" spans="1:25" x14ac:dyDescent="0.3">
      <c r="A590" s="5" t="s">
        <v>900</v>
      </c>
      <c r="B590" s="3" t="s">
        <v>806</v>
      </c>
      <c r="C590" s="3" t="s">
        <v>24</v>
      </c>
      <c r="D590" s="3">
        <v>36</v>
      </c>
      <c r="E590" s="3" t="s">
        <v>160</v>
      </c>
      <c r="F590" s="3" t="s">
        <v>66</v>
      </c>
      <c r="G590" s="3" t="s">
        <v>80</v>
      </c>
      <c r="H590" s="3" t="s">
        <v>28</v>
      </c>
      <c r="I590" s="3" t="s">
        <v>92</v>
      </c>
      <c r="J590" s="6">
        <v>44414</v>
      </c>
      <c r="K590" s="3" t="s">
        <v>30</v>
      </c>
      <c r="L590" s="3" t="s">
        <v>53</v>
      </c>
      <c r="M590" s="3">
        <v>49400</v>
      </c>
      <c r="N590" s="3">
        <v>14</v>
      </c>
      <c r="O590" s="3">
        <v>96.9</v>
      </c>
      <c r="P590" s="3">
        <v>0</v>
      </c>
      <c r="Q590" s="3">
        <v>12</v>
      </c>
      <c r="R590" s="3">
        <v>0</v>
      </c>
      <c r="S590" s="3">
        <v>19</v>
      </c>
      <c r="T590" s="3">
        <v>9</v>
      </c>
      <c r="U590" s="3" t="s">
        <v>123</v>
      </c>
      <c r="V590" s="3">
        <v>4117</v>
      </c>
      <c r="W590" s="3">
        <v>5</v>
      </c>
      <c r="X590" s="3" t="s">
        <v>108</v>
      </c>
      <c r="Y590" s="7" t="s">
        <v>42</v>
      </c>
    </row>
    <row r="591" spans="1:25" x14ac:dyDescent="0.3">
      <c r="A591" s="5" t="s">
        <v>901</v>
      </c>
      <c r="B591" s="3" t="s">
        <v>450</v>
      </c>
      <c r="C591" s="3" t="s">
        <v>58</v>
      </c>
      <c r="D591" s="3">
        <v>25</v>
      </c>
      <c r="E591" s="3" t="s">
        <v>160</v>
      </c>
      <c r="F591" s="3" t="s">
        <v>26</v>
      </c>
      <c r="G591" s="3" t="s">
        <v>46</v>
      </c>
      <c r="H591" s="3" t="s">
        <v>67</v>
      </c>
      <c r="I591" s="3" t="s">
        <v>86</v>
      </c>
      <c r="J591" s="6">
        <v>45491</v>
      </c>
      <c r="K591" s="3" t="s">
        <v>30</v>
      </c>
      <c r="L591" s="3" t="s">
        <v>31</v>
      </c>
      <c r="M591" s="3">
        <v>75200</v>
      </c>
      <c r="N591" s="3">
        <v>1</v>
      </c>
      <c r="O591" s="3">
        <v>87.6</v>
      </c>
      <c r="P591" s="3">
        <v>1</v>
      </c>
      <c r="Q591" s="3">
        <v>15</v>
      </c>
      <c r="R591" s="3">
        <v>1</v>
      </c>
      <c r="S591" s="3">
        <v>15</v>
      </c>
      <c r="T591" s="3">
        <v>20</v>
      </c>
      <c r="U591" s="3" t="s">
        <v>94</v>
      </c>
      <c r="V591" s="3">
        <v>6267</v>
      </c>
      <c r="W591" s="3">
        <v>2</v>
      </c>
      <c r="X591" s="3" t="s">
        <v>95</v>
      </c>
      <c r="Y591" s="7" t="s">
        <v>42</v>
      </c>
    </row>
    <row r="592" spans="1:25" x14ac:dyDescent="0.3">
      <c r="A592" s="5" t="s">
        <v>902</v>
      </c>
      <c r="B592" s="3" t="s">
        <v>474</v>
      </c>
      <c r="C592" s="3" t="s">
        <v>24</v>
      </c>
      <c r="D592" s="3">
        <v>21</v>
      </c>
      <c r="E592" s="3" t="s">
        <v>160</v>
      </c>
      <c r="F592" s="3" t="s">
        <v>72</v>
      </c>
      <c r="G592" s="3" t="s">
        <v>46</v>
      </c>
      <c r="H592" s="3" t="s">
        <v>67</v>
      </c>
      <c r="I592" s="3" t="s">
        <v>107</v>
      </c>
      <c r="J592" s="6">
        <v>45052</v>
      </c>
      <c r="K592" s="3" t="s">
        <v>30</v>
      </c>
      <c r="L592" s="3" t="s">
        <v>53</v>
      </c>
      <c r="M592" s="3">
        <v>99800</v>
      </c>
      <c r="N592" s="3">
        <v>0</v>
      </c>
      <c r="O592" s="3">
        <v>84.7</v>
      </c>
      <c r="P592" s="3">
        <v>2</v>
      </c>
      <c r="Q592" s="3">
        <v>0</v>
      </c>
      <c r="R592" s="3">
        <v>0</v>
      </c>
      <c r="S592" s="3">
        <v>25</v>
      </c>
      <c r="T592" s="3">
        <v>13</v>
      </c>
      <c r="U592" s="3" t="s">
        <v>104</v>
      </c>
      <c r="V592" s="3">
        <v>8317</v>
      </c>
      <c r="W592" s="3">
        <v>3.2</v>
      </c>
      <c r="X592" s="3" t="s">
        <v>48</v>
      </c>
      <c r="Y592" s="7" t="s">
        <v>55</v>
      </c>
    </row>
    <row r="593" spans="1:25" x14ac:dyDescent="0.3">
      <c r="A593" s="5" t="s">
        <v>903</v>
      </c>
      <c r="B593" s="3" t="s">
        <v>430</v>
      </c>
      <c r="C593" s="3" t="s">
        <v>24</v>
      </c>
      <c r="D593" s="3">
        <v>39</v>
      </c>
      <c r="E593" s="3" t="s">
        <v>65</v>
      </c>
      <c r="F593" s="3" t="s">
        <v>79</v>
      </c>
      <c r="G593" s="3" t="s">
        <v>46</v>
      </c>
      <c r="H593" s="3" t="s">
        <v>28</v>
      </c>
      <c r="I593" s="3" t="s">
        <v>29</v>
      </c>
      <c r="J593" s="6">
        <v>45002</v>
      </c>
      <c r="K593" s="3" t="s">
        <v>30</v>
      </c>
      <c r="L593" s="3" t="s">
        <v>53</v>
      </c>
      <c r="M593" s="3">
        <v>72500</v>
      </c>
      <c r="N593" s="3">
        <v>19</v>
      </c>
      <c r="O593" s="3">
        <v>96.2</v>
      </c>
      <c r="P593" s="3">
        <v>7</v>
      </c>
      <c r="Q593" s="3">
        <v>10</v>
      </c>
      <c r="R593" s="3">
        <v>2</v>
      </c>
      <c r="S593" s="3">
        <v>19</v>
      </c>
      <c r="T593" s="3">
        <v>12</v>
      </c>
      <c r="U593" s="3" t="s">
        <v>130</v>
      </c>
      <c r="V593" s="3">
        <v>6042</v>
      </c>
      <c r="W593" s="3">
        <v>3.4</v>
      </c>
      <c r="X593" s="3" t="s">
        <v>108</v>
      </c>
      <c r="Y593" s="7" t="s">
        <v>55</v>
      </c>
    </row>
    <row r="594" spans="1:25" x14ac:dyDescent="0.3">
      <c r="A594" s="5" t="s">
        <v>904</v>
      </c>
      <c r="B594" s="3" t="s">
        <v>297</v>
      </c>
      <c r="C594" s="3" t="s">
        <v>24</v>
      </c>
      <c r="D594" s="3">
        <v>32</v>
      </c>
      <c r="E594" s="3" t="s">
        <v>65</v>
      </c>
      <c r="F594" s="3" t="s">
        <v>52</v>
      </c>
      <c r="G594" s="3" t="s">
        <v>39</v>
      </c>
      <c r="H594" s="3" t="s">
        <v>28</v>
      </c>
      <c r="I594" s="3" t="s">
        <v>40</v>
      </c>
      <c r="J594" s="6">
        <v>43679</v>
      </c>
      <c r="K594" s="3" t="s">
        <v>30</v>
      </c>
      <c r="L594" s="3" t="s">
        <v>53</v>
      </c>
      <c r="M594" s="3">
        <v>34600</v>
      </c>
      <c r="N594" s="3">
        <v>11</v>
      </c>
      <c r="O594" s="3">
        <v>92.2</v>
      </c>
      <c r="P594" s="3">
        <v>7</v>
      </c>
      <c r="Q594" s="3">
        <v>10</v>
      </c>
      <c r="R594" s="3">
        <v>0</v>
      </c>
      <c r="S594" s="3">
        <v>24</v>
      </c>
      <c r="T594" s="3">
        <v>22</v>
      </c>
      <c r="U594" s="3" t="s">
        <v>41</v>
      </c>
      <c r="V594" s="3">
        <v>2883</v>
      </c>
      <c r="W594" s="3">
        <v>7</v>
      </c>
      <c r="X594" s="3" t="s">
        <v>33</v>
      </c>
      <c r="Y594" s="7" t="s">
        <v>42</v>
      </c>
    </row>
    <row r="595" spans="1:25" x14ac:dyDescent="0.3">
      <c r="A595" s="5" t="s">
        <v>905</v>
      </c>
      <c r="B595" s="3" t="s">
        <v>293</v>
      </c>
      <c r="C595" s="3" t="s">
        <v>24</v>
      </c>
      <c r="D595" s="3">
        <v>34</v>
      </c>
      <c r="E595" s="3" t="s">
        <v>160</v>
      </c>
      <c r="F595" s="3" t="s">
        <v>66</v>
      </c>
      <c r="G595" s="3" t="s">
        <v>39</v>
      </c>
      <c r="H595" s="3" t="s">
        <v>122</v>
      </c>
      <c r="I595" s="3" t="s">
        <v>92</v>
      </c>
      <c r="J595" s="6">
        <v>44315</v>
      </c>
      <c r="K595" s="3" t="s">
        <v>30</v>
      </c>
      <c r="L595" s="3" t="s">
        <v>53</v>
      </c>
      <c r="M595" s="3">
        <v>35300</v>
      </c>
      <c r="N595" s="3">
        <v>15</v>
      </c>
      <c r="O595" s="3">
        <v>89.6</v>
      </c>
      <c r="P595" s="3">
        <v>1</v>
      </c>
      <c r="Q595" s="3">
        <v>0</v>
      </c>
      <c r="R595" s="3">
        <v>1</v>
      </c>
      <c r="S595" s="3">
        <v>6</v>
      </c>
      <c r="T595" s="3">
        <v>12</v>
      </c>
      <c r="U595" s="3" t="s">
        <v>130</v>
      </c>
      <c r="V595" s="3">
        <v>2942</v>
      </c>
      <c r="W595" s="3">
        <v>5.3</v>
      </c>
      <c r="X595" s="3" t="s">
        <v>33</v>
      </c>
      <c r="Y595" s="7" t="s">
        <v>55</v>
      </c>
    </row>
    <row r="596" spans="1:25" x14ac:dyDescent="0.3">
      <c r="A596" s="5" t="s">
        <v>906</v>
      </c>
      <c r="B596" s="3" t="s">
        <v>370</v>
      </c>
      <c r="C596" s="3" t="s">
        <v>24</v>
      </c>
      <c r="D596" s="3">
        <v>24</v>
      </c>
      <c r="E596" s="3" t="s">
        <v>45</v>
      </c>
      <c r="F596" s="3" t="s">
        <v>38</v>
      </c>
      <c r="G596" s="3" t="s">
        <v>80</v>
      </c>
      <c r="H596" s="3" t="s">
        <v>115</v>
      </c>
      <c r="I596" s="3" t="s">
        <v>47</v>
      </c>
      <c r="J596" s="6">
        <v>43890</v>
      </c>
      <c r="K596" s="3" t="s">
        <v>30</v>
      </c>
      <c r="L596" s="3" t="s">
        <v>93</v>
      </c>
      <c r="M596" s="3">
        <v>43700</v>
      </c>
      <c r="N596" s="3">
        <v>4</v>
      </c>
      <c r="O596" s="3">
        <v>84.1</v>
      </c>
      <c r="P596" s="3">
        <v>5</v>
      </c>
      <c r="Q596" s="3">
        <v>5</v>
      </c>
      <c r="R596" s="3">
        <v>4</v>
      </c>
      <c r="S596" s="3">
        <v>16</v>
      </c>
      <c r="T596" s="3">
        <v>4</v>
      </c>
      <c r="U596" s="3" t="s">
        <v>41</v>
      </c>
      <c r="V596" s="3">
        <v>3642</v>
      </c>
      <c r="W596" s="3">
        <v>6.4</v>
      </c>
      <c r="X596" s="3" t="s">
        <v>48</v>
      </c>
      <c r="Y596" s="7" t="s">
        <v>42</v>
      </c>
    </row>
    <row r="597" spans="1:25" x14ac:dyDescent="0.3">
      <c r="A597" s="5" t="s">
        <v>907</v>
      </c>
      <c r="B597" s="3" t="s">
        <v>832</v>
      </c>
      <c r="C597" s="3" t="s">
        <v>24</v>
      </c>
      <c r="D597" s="3">
        <v>47</v>
      </c>
      <c r="E597" s="3" t="s">
        <v>98</v>
      </c>
      <c r="F597" s="3" t="s">
        <v>66</v>
      </c>
      <c r="G597" s="3" t="s">
        <v>80</v>
      </c>
      <c r="H597" s="3" t="s">
        <v>28</v>
      </c>
      <c r="I597" s="3" t="s">
        <v>86</v>
      </c>
      <c r="J597" s="6">
        <v>44467</v>
      </c>
      <c r="K597" s="3" t="s">
        <v>30</v>
      </c>
      <c r="L597" s="3" t="s">
        <v>93</v>
      </c>
      <c r="M597" s="3">
        <v>48600</v>
      </c>
      <c r="N597" s="3">
        <v>25</v>
      </c>
      <c r="O597" s="3">
        <v>95.9</v>
      </c>
      <c r="P597" s="3">
        <v>1</v>
      </c>
      <c r="Q597" s="3">
        <v>5</v>
      </c>
      <c r="R597" s="3">
        <v>4</v>
      </c>
      <c r="S597" s="3">
        <v>3</v>
      </c>
      <c r="T597" s="3">
        <v>10</v>
      </c>
      <c r="U597" s="3" t="s">
        <v>41</v>
      </c>
      <c r="V597" s="3">
        <v>4050</v>
      </c>
      <c r="W597" s="3">
        <v>4.8</v>
      </c>
      <c r="X597" s="3" t="s">
        <v>54</v>
      </c>
      <c r="Y597" s="7" t="s">
        <v>42</v>
      </c>
    </row>
    <row r="598" spans="1:25" x14ac:dyDescent="0.3">
      <c r="A598" s="5" t="s">
        <v>908</v>
      </c>
      <c r="B598" s="3" t="s">
        <v>164</v>
      </c>
      <c r="C598" s="3" t="s">
        <v>58</v>
      </c>
      <c r="D598" s="3">
        <v>43</v>
      </c>
      <c r="E598" s="3" t="s">
        <v>137</v>
      </c>
      <c r="F598" s="3" t="s">
        <v>52</v>
      </c>
      <c r="G598" s="3" t="s">
        <v>46</v>
      </c>
      <c r="H598" s="3" t="s">
        <v>28</v>
      </c>
      <c r="I598" s="3" t="s">
        <v>86</v>
      </c>
      <c r="J598" s="6">
        <v>45993</v>
      </c>
      <c r="K598" s="3" t="s">
        <v>30</v>
      </c>
      <c r="L598" s="3" t="s">
        <v>53</v>
      </c>
      <c r="M598" s="3">
        <v>75600</v>
      </c>
      <c r="N598" s="3">
        <v>20</v>
      </c>
      <c r="O598" s="3">
        <v>100</v>
      </c>
      <c r="P598" s="3">
        <v>6</v>
      </c>
      <c r="Q598" s="3">
        <v>10</v>
      </c>
      <c r="R598" s="3">
        <v>3</v>
      </c>
      <c r="S598" s="3">
        <v>9</v>
      </c>
      <c r="T598" s="3">
        <v>12</v>
      </c>
      <c r="U598" s="3" t="s">
        <v>74</v>
      </c>
      <c r="V598" s="3">
        <v>6300</v>
      </c>
      <c r="W598" s="3">
        <v>0.7</v>
      </c>
      <c r="X598" s="3" t="s">
        <v>62</v>
      </c>
      <c r="Y598" s="7" t="s">
        <v>42</v>
      </c>
    </row>
    <row r="599" spans="1:25" x14ac:dyDescent="0.3">
      <c r="A599" s="5" t="s">
        <v>909</v>
      </c>
      <c r="B599" s="3" t="s">
        <v>180</v>
      </c>
      <c r="C599" s="3" t="s">
        <v>24</v>
      </c>
      <c r="D599" s="3">
        <v>38</v>
      </c>
      <c r="E599" s="3" t="s">
        <v>25</v>
      </c>
      <c r="F599" s="3" t="s">
        <v>60</v>
      </c>
      <c r="G599" s="3" t="s">
        <v>122</v>
      </c>
      <c r="H599" s="3" t="s">
        <v>28</v>
      </c>
      <c r="I599" s="3" t="s">
        <v>107</v>
      </c>
      <c r="J599" s="6">
        <v>45273</v>
      </c>
      <c r="K599" s="3" t="s">
        <v>87</v>
      </c>
      <c r="L599" s="3" t="s">
        <v>53</v>
      </c>
      <c r="M599" s="3">
        <v>27800</v>
      </c>
      <c r="N599" s="3">
        <v>15</v>
      </c>
      <c r="O599" s="3">
        <v>93.5</v>
      </c>
      <c r="P599" s="3">
        <v>2</v>
      </c>
      <c r="Q599" s="3">
        <v>15</v>
      </c>
      <c r="R599" s="3">
        <v>0</v>
      </c>
      <c r="S599" s="3">
        <v>5</v>
      </c>
      <c r="T599" s="3">
        <v>24</v>
      </c>
      <c r="U599" s="3" t="s">
        <v>104</v>
      </c>
      <c r="V599" s="3">
        <v>2317</v>
      </c>
      <c r="W599" s="3">
        <v>2.6</v>
      </c>
      <c r="X599" s="3" t="s">
        <v>108</v>
      </c>
      <c r="Y599" s="7" t="s">
        <v>42</v>
      </c>
    </row>
    <row r="600" spans="1:25" x14ac:dyDescent="0.3">
      <c r="A600" s="5" t="s">
        <v>910</v>
      </c>
      <c r="B600" s="3" t="s">
        <v>97</v>
      </c>
      <c r="C600" s="3" t="s">
        <v>58</v>
      </c>
      <c r="D600" s="3">
        <v>25</v>
      </c>
      <c r="E600" s="3" t="s">
        <v>160</v>
      </c>
      <c r="F600" s="3" t="s">
        <v>72</v>
      </c>
      <c r="G600" s="3" t="s">
        <v>46</v>
      </c>
      <c r="H600" s="3" t="s">
        <v>28</v>
      </c>
      <c r="I600" s="3" t="s">
        <v>29</v>
      </c>
      <c r="J600" s="6">
        <v>44732</v>
      </c>
      <c r="K600" s="3" t="s">
        <v>30</v>
      </c>
      <c r="L600" s="3" t="s">
        <v>93</v>
      </c>
      <c r="M600" s="3">
        <v>90200</v>
      </c>
      <c r="N600" s="3">
        <v>4</v>
      </c>
      <c r="O600" s="3">
        <v>87.8</v>
      </c>
      <c r="P600" s="3">
        <v>7</v>
      </c>
      <c r="Q600" s="3">
        <v>11</v>
      </c>
      <c r="R600" s="3">
        <v>2</v>
      </c>
      <c r="S600" s="3">
        <v>1</v>
      </c>
      <c r="T600" s="3">
        <v>20</v>
      </c>
      <c r="U600" s="3" t="s">
        <v>74</v>
      </c>
      <c r="V600" s="3">
        <v>7517</v>
      </c>
      <c r="W600" s="3">
        <v>4.0999999999999996</v>
      </c>
      <c r="X600" s="3" t="s">
        <v>95</v>
      </c>
      <c r="Y600" s="7" t="s">
        <v>42</v>
      </c>
    </row>
    <row r="601" spans="1:25" x14ac:dyDescent="0.3">
      <c r="A601" s="5" t="s">
        <v>911</v>
      </c>
      <c r="B601" s="3" t="s">
        <v>687</v>
      </c>
      <c r="C601" s="3" t="s">
        <v>24</v>
      </c>
      <c r="D601" s="3">
        <v>36</v>
      </c>
      <c r="E601" s="3" t="s">
        <v>118</v>
      </c>
      <c r="F601" s="3" t="s">
        <v>66</v>
      </c>
      <c r="G601" s="3" t="s">
        <v>80</v>
      </c>
      <c r="H601" s="3" t="s">
        <v>28</v>
      </c>
      <c r="I601" s="3" t="s">
        <v>29</v>
      </c>
      <c r="J601" s="6">
        <v>46038</v>
      </c>
      <c r="K601" s="3" t="s">
        <v>30</v>
      </c>
      <c r="L601" s="3" t="s">
        <v>53</v>
      </c>
      <c r="M601" s="3">
        <v>38500</v>
      </c>
      <c r="N601" s="3">
        <v>17</v>
      </c>
      <c r="O601" s="3">
        <v>92.2</v>
      </c>
      <c r="P601" s="3">
        <v>2</v>
      </c>
      <c r="Q601" s="3">
        <v>4</v>
      </c>
      <c r="R601" s="3">
        <v>3</v>
      </c>
      <c r="S601" s="3">
        <v>3</v>
      </c>
      <c r="T601" s="3">
        <v>11</v>
      </c>
      <c r="U601" s="3" t="s">
        <v>104</v>
      </c>
      <c r="V601" s="3">
        <v>3208</v>
      </c>
      <c r="W601" s="3">
        <v>0.5</v>
      </c>
      <c r="X601" s="3" t="s">
        <v>108</v>
      </c>
      <c r="Y601" s="7" t="s">
        <v>42</v>
      </c>
    </row>
    <row r="602" spans="1:25" x14ac:dyDescent="0.3">
      <c r="A602" s="5" t="s">
        <v>912</v>
      </c>
      <c r="B602" s="3" t="s">
        <v>482</v>
      </c>
      <c r="C602" s="3" t="s">
        <v>24</v>
      </c>
      <c r="D602" s="3">
        <v>44</v>
      </c>
      <c r="E602" s="3" t="s">
        <v>71</v>
      </c>
      <c r="F602" s="3" t="s">
        <v>72</v>
      </c>
      <c r="G602" s="3" t="s">
        <v>80</v>
      </c>
      <c r="H602" s="3" t="s">
        <v>28</v>
      </c>
      <c r="I602" s="3" t="s">
        <v>73</v>
      </c>
      <c r="J602" s="6">
        <v>45817</v>
      </c>
      <c r="K602" s="3" t="s">
        <v>30</v>
      </c>
      <c r="L602" s="3" t="s">
        <v>53</v>
      </c>
      <c r="M602" s="3">
        <v>72300</v>
      </c>
      <c r="N602" s="3">
        <v>22</v>
      </c>
      <c r="O602" s="3">
        <v>93.8</v>
      </c>
      <c r="P602" s="3">
        <v>5</v>
      </c>
      <c r="Q602" s="3">
        <v>3</v>
      </c>
      <c r="R602" s="3">
        <v>3</v>
      </c>
      <c r="S602" s="3">
        <v>17</v>
      </c>
      <c r="T602" s="3">
        <v>30</v>
      </c>
      <c r="U602" s="3" t="s">
        <v>74</v>
      </c>
      <c r="V602" s="3">
        <v>6025</v>
      </c>
      <c r="W602" s="3">
        <v>1.1000000000000001</v>
      </c>
      <c r="X602" s="3" t="s">
        <v>62</v>
      </c>
      <c r="Y602" s="7" t="s">
        <v>75</v>
      </c>
    </row>
    <row r="603" spans="1:25" x14ac:dyDescent="0.3">
      <c r="A603" s="5" t="s">
        <v>913</v>
      </c>
      <c r="B603" s="3" t="s">
        <v>156</v>
      </c>
      <c r="C603" s="3" t="s">
        <v>58</v>
      </c>
      <c r="D603" s="3">
        <v>50</v>
      </c>
      <c r="E603" s="3" t="s">
        <v>37</v>
      </c>
      <c r="F603" s="3" t="s">
        <v>52</v>
      </c>
      <c r="G603" s="3" t="s">
        <v>80</v>
      </c>
      <c r="H603" s="3" t="s">
        <v>28</v>
      </c>
      <c r="I603" s="3" t="s">
        <v>68</v>
      </c>
      <c r="J603" s="6">
        <v>44484</v>
      </c>
      <c r="K603" s="3" t="s">
        <v>87</v>
      </c>
      <c r="L603" s="3" t="s">
        <v>31</v>
      </c>
      <c r="M603" s="3">
        <v>45000</v>
      </c>
      <c r="N603" s="3">
        <v>29</v>
      </c>
      <c r="O603" s="3">
        <v>93.5</v>
      </c>
      <c r="P603" s="3">
        <v>0</v>
      </c>
      <c r="Q603" s="3">
        <v>15</v>
      </c>
      <c r="R603" s="3">
        <v>1</v>
      </c>
      <c r="S603" s="3">
        <v>0</v>
      </c>
      <c r="T603" s="3">
        <v>24</v>
      </c>
      <c r="U603" s="3" t="s">
        <v>32</v>
      </c>
      <c r="V603" s="3">
        <v>3750</v>
      </c>
      <c r="W603" s="3">
        <v>4.8</v>
      </c>
      <c r="X603" s="3" t="s">
        <v>54</v>
      </c>
      <c r="Y603" s="7" t="s">
        <v>42</v>
      </c>
    </row>
    <row r="604" spans="1:25" x14ac:dyDescent="0.3">
      <c r="A604" s="5" t="s">
        <v>914</v>
      </c>
      <c r="B604" s="3" t="s">
        <v>698</v>
      </c>
      <c r="C604" s="3" t="s">
        <v>24</v>
      </c>
      <c r="D604" s="3">
        <v>47</v>
      </c>
      <c r="E604" s="3" t="s">
        <v>37</v>
      </c>
      <c r="F604" s="3" t="s">
        <v>52</v>
      </c>
      <c r="G604" s="3" t="s">
        <v>39</v>
      </c>
      <c r="H604" s="3" t="s">
        <v>28</v>
      </c>
      <c r="I604" s="3" t="s">
        <v>29</v>
      </c>
      <c r="J604" s="6">
        <v>43603</v>
      </c>
      <c r="K604" s="3" t="s">
        <v>30</v>
      </c>
      <c r="L604" s="3" t="s">
        <v>53</v>
      </c>
      <c r="M604" s="3">
        <v>31800</v>
      </c>
      <c r="N604" s="3">
        <v>23</v>
      </c>
      <c r="O604" s="3">
        <v>86.9</v>
      </c>
      <c r="P604" s="3">
        <v>7</v>
      </c>
      <c r="Q604" s="3">
        <v>7</v>
      </c>
      <c r="R604" s="3">
        <v>4</v>
      </c>
      <c r="S604" s="3">
        <v>0</v>
      </c>
      <c r="T604" s="3">
        <v>17</v>
      </c>
      <c r="U604" s="3" t="s">
        <v>130</v>
      </c>
      <c r="V604" s="3">
        <v>2650</v>
      </c>
      <c r="W604" s="3">
        <v>7.2</v>
      </c>
      <c r="X604" s="3" t="s">
        <v>54</v>
      </c>
      <c r="Y604" s="7" t="s">
        <v>42</v>
      </c>
    </row>
    <row r="605" spans="1:25" x14ac:dyDescent="0.3">
      <c r="A605" s="5" t="s">
        <v>915</v>
      </c>
      <c r="B605" s="3" t="s">
        <v>335</v>
      </c>
      <c r="C605" s="3" t="s">
        <v>58</v>
      </c>
      <c r="D605" s="3">
        <v>20</v>
      </c>
      <c r="E605" s="3" t="s">
        <v>83</v>
      </c>
      <c r="F605" s="3" t="s">
        <v>60</v>
      </c>
      <c r="G605" s="3" t="s">
        <v>27</v>
      </c>
      <c r="H605" s="3" t="s">
        <v>28</v>
      </c>
      <c r="I605" s="3" t="s">
        <v>86</v>
      </c>
      <c r="J605" s="6">
        <v>43273</v>
      </c>
      <c r="K605" s="3" t="s">
        <v>30</v>
      </c>
      <c r="L605" s="3" t="s">
        <v>31</v>
      </c>
      <c r="M605" s="3">
        <v>110200</v>
      </c>
      <c r="N605" s="3">
        <v>0</v>
      </c>
      <c r="O605" s="3">
        <v>88.5</v>
      </c>
      <c r="P605" s="3">
        <v>6</v>
      </c>
      <c r="Q605" s="3">
        <v>2</v>
      </c>
      <c r="R605" s="3">
        <v>0</v>
      </c>
      <c r="S605" s="3">
        <v>15</v>
      </c>
      <c r="T605" s="3">
        <v>5</v>
      </c>
      <c r="U605" s="3" t="s">
        <v>41</v>
      </c>
      <c r="V605" s="3">
        <v>9183</v>
      </c>
      <c r="W605" s="3">
        <v>8.1</v>
      </c>
      <c r="X605" s="3" t="s">
        <v>48</v>
      </c>
      <c r="Y605" s="7" t="s">
        <v>42</v>
      </c>
    </row>
    <row r="606" spans="1:25" x14ac:dyDescent="0.3">
      <c r="A606" s="5" t="s">
        <v>916</v>
      </c>
      <c r="B606" s="3" t="s">
        <v>917</v>
      </c>
      <c r="C606" s="3" t="s">
        <v>24</v>
      </c>
      <c r="D606" s="3">
        <v>21</v>
      </c>
      <c r="E606" s="3" t="s">
        <v>98</v>
      </c>
      <c r="F606" s="3" t="s">
        <v>26</v>
      </c>
      <c r="G606" s="3" t="s">
        <v>39</v>
      </c>
      <c r="H606" s="3" t="s">
        <v>28</v>
      </c>
      <c r="I606" s="3" t="s">
        <v>86</v>
      </c>
      <c r="J606" s="6">
        <v>43987</v>
      </c>
      <c r="K606" s="3" t="s">
        <v>30</v>
      </c>
      <c r="L606" s="3" t="s">
        <v>31</v>
      </c>
      <c r="M606" s="3">
        <v>36900</v>
      </c>
      <c r="N606" s="3">
        <v>0</v>
      </c>
      <c r="O606" s="3">
        <v>87.3</v>
      </c>
      <c r="P606" s="3">
        <v>0</v>
      </c>
      <c r="Q606" s="3">
        <v>0</v>
      </c>
      <c r="R606" s="3">
        <v>0</v>
      </c>
      <c r="S606" s="3">
        <v>24</v>
      </c>
      <c r="T606" s="3">
        <v>2</v>
      </c>
      <c r="U606" s="3" t="s">
        <v>130</v>
      </c>
      <c r="V606" s="3">
        <v>3075</v>
      </c>
      <c r="W606" s="3">
        <v>6.2</v>
      </c>
      <c r="X606" s="3" t="s">
        <v>48</v>
      </c>
      <c r="Y606" s="7" t="s">
        <v>42</v>
      </c>
    </row>
    <row r="607" spans="1:25" x14ac:dyDescent="0.3">
      <c r="A607" s="5" t="s">
        <v>918</v>
      </c>
      <c r="B607" s="3" t="s">
        <v>158</v>
      </c>
      <c r="C607" s="3" t="s">
        <v>58</v>
      </c>
      <c r="D607" s="3">
        <v>20</v>
      </c>
      <c r="E607" s="3" t="s">
        <v>118</v>
      </c>
      <c r="F607" s="3" t="s">
        <v>60</v>
      </c>
      <c r="G607" s="3" t="s">
        <v>80</v>
      </c>
      <c r="H607" s="3" t="s">
        <v>28</v>
      </c>
      <c r="I607" s="3" t="s">
        <v>29</v>
      </c>
      <c r="J607" s="6">
        <v>44518</v>
      </c>
      <c r="K607" s="3" t="s">
        <v>30</v>
      </c>
      <c r="L607" s="3" t="s">
        <v>31</v>
      </c>
      <c r="M607" s="3">
        <v>67100</v>
      </c>
      <c r="N607" s="3">
        <v>0</v>
      </c>
      <c r="O607" s="3">
        <v>92.8</v>
      </c>
      <c r="P607" s="3">
        <v>6</v>
      </c>
      <c r="Q607" s="3">
        <v>0</v>
      </c>
      <c r="R607" s="3">
        <v>4</v>
      </c>
      <c r="S607" s="3">
        <v>12</v>
      </c>
      <c r="T607" s="3">
        <v>5</v>
      </c>
      <c r="U607" s="3" t="s">
        <v>74</v>
      </c>
      <c r="V607" s="3">
        <v>5592</v>
      </c>
      <c r="W607" s="3">
        <v>4.7</v>
      </c>
      <c r="X607" s="3" t="s">
        <v>48</v>
      </c>
      <c r="Y607" s="7" t="s">
        <v>42</v>
      </c>
    </row>
    <row r="608" spans="1:25" x14ac:dyDescent="0.3">
      <c r="A608" s="5" t="s">
        <v>919</v>
      </c>
      <c r="B608" s="3" t="s">
        <v>162</v>
      </c>
      <c r="C608" s="3" t="s">
        <v>58</v>
      </c>
      <c r="D608" s="3">
        <v>27</v>
      </c>
      <c r="E608" s="3" t="s">
        <v>45</v>
      </c>
      <c r="F608" s="3" t="s">
        <v>72</v>
      </c>
      <c r="G608" s="3" t="s">
        <v>27</v>
      </c>
      <c r="H608" s="3" t="s">
        <v>28</v>
      </c>
      <c r="I608" s="3" t="s">
        <v>68</v>
      </c>
      <c r="J608" s="6">
        <v>45268</v>
      </c>
      <c r="K608" s="3" t="s">
        <v>30</v>
      </c>
      <c r="L608" s="3" t="s">
        <v>53</v>
      </c>
      <c r="M608" s="3">
        <v>132800</v>
      </c>
      <c r="N608" s="3">
        <v>7</v>
      </c>
      <c r="O608" s="3">
        <v>90.7</v>
      </c>
      <c r="P608" s="3">
        <v>4</v>
      </c>
      <c r="Q608" s="3">
        <v>4</v>
      </c>
      <c r="R608" s="3">
        <v>1</v>
      </c>
      <c r="S608" s="3">
        <v>13</v>
      </c>
      <c r="T608" s="3">
        <v>28</v>
      </c>
      <c r="U608" s="3" t="s">
        <v>74</v>
      </c>
      <c r="V608" s="3">
        <v>11067</v>
      </c>
      <c r="W608" s="3">
        <v>2.6</v>
      </c>
      <c r="X608" s="3" t="s">
        <v>95</v>
      </c>
      <c r="Y608" s="7" t="s">
        <v>42</v>
      </c>
    </row>
    <row r="609" spans="1:25" x14ac:dyDescent="0.3">
      <c r="A609" s="5" t="s">
        <v>920</v>
      </c>
      <c r="B609" s="3" t="s">
        <v>50</v>
      </c>
      <c r="C609" s="3" t="s">
        <v>24</v>
      </c>
      <c r="D609" s="3">
        <v>48</v>
      </c>
      <c r="E609" s="3" t="s">
        <v>137</v>
      </c>
      <c r="F609" s="3" t="s">
        <v>52</v>
      </c>
      <c r="G609" s="3" t="s">
        <v>46</v>
      </c>
      <c r="H609" s="3" t="s">
        <v>28</v>
      </c>
      <c r="I609" s="3" t="s">
        <v>68</v>
      </c>
      <c r="J609" s="6">
        <v>43373</v>
      </c>
      <c r="K609" s="3" t="s">
        <v>30</v>
      </c>
      <c r="L609" s="3" t="s">
        <v>31</v>
      </c>
      <c r="M609" s="3">
        <v>66800</v>
      </c>
      <c r="N609" s="3">
        <v>24</v>
      </c>
      <c r="O609" s="3">
        <v>96.8</v>
      </c>
      <c r="P609" s="3">
        <v>1</v>
      </c>
      <c r="Q609" s="3">
        <v>2</v>
      </c>
      <c r="R609" s="3">
        <v>1</v>
      </c>
      <c r="S609" s="3">
        <v>10</v>
      </c>
      <c r="T609" s="3">
        <v>27</v>
      </c>
      <c r="U609" s="3" t="s">
        <v>41</v>
      </c>
      <c r="V609" s="3">
        <v>5567</v>
      </c>
      <c r="W609" s="3">
        <v>7.8</v>
      </c>
      <c r="X609" s="3" t="s">
        <v>54</v>
      </c>
      <c r="Y609" s="7" t="s">
        <v>42</v>
      </c>
    </row>
    <row r="610" spans="1:25" x14ac:dyDescent="0.3">
      <c r="A610" s="5" t="s">
        <v>921</v>
      </c>
      <c r="B610" s="3" t="s">
        <v>212</v>
      </c>
      <c r="C610" s="3" t="s">
        <v>58</v>
      </c>
      <c r="D610" s="3">
        <v>23</v>
      </c>
      <c r="E610" s="3" t="s">
        <v>71</v>
      </c>
      <c r="F610" s="3" t="s">
        <v>72</v>
      </c>
      <c r="G610" s="3" t="s">
        <v>80</v>
      </c>
      <c r="H610" s="3" t="s">
        <v>28</v>
      </c>
      <c r="I610" s="3" t="s">
        <v>107</v>
      </c>
      <c r="J610" s="6">
        <v>44510</v>
      </c>
      <c r="K610" s="3" t="s">
        <v>87</v>
      </c>
      <c r="L610" s="3" t="s">
        <v>31</v>
      </c>
      <c r="M610" s="3">
        <v>69500</v>
      </c>
      <c r="N610" s="3">
        <v>0</v>
      </c>
      <c r="O610" s="3">
        <v>92.2</v>
      </c>
      <c r="P610" s="3">
        <v>0</v>
      </c>
      <c r="Q610" s="3">
        <v>2</v>
      </c>
      <c r="R610" s="3">
        <v>1</v>
      </c>
      <c r="S610" s="3">
        <v>24</v>
      </c>
      <c r="T610" s="3">
        <v>28</v>
      </c>
      <c r="U610" s="3" t="s">
        <v>123</v>
      </c>
      <c r="V610" s="3">
        <v>5792</v>
      </c>
      <c r="W610" s="3">
        <v>4.7</v>
      </c>
      <c r="X610" s="3" t="s">
        <v>48</v>
      </c>
      <c r="Y610" s="7" t="s">
        <v>75</v>
      </c>
    </row>
    <row r="611" spans="1:25" x14ac:dyDescent="0.3">
      <c r="A611" s="5" t="s">
        <v>922</v>
      </c>
      <c r="B611" s="3" t="s">
        <v>675</v>
      </c>
      <c r="C611" s="3" t="s">
        <v>24</v>
      </c>
      <c r="D611" s="3">
        <v>37</v>
      </c>
      <c r="E611" s="3" t="s">
        <v>101</v>
      </c>
      <c r="F611" s="3" t="s">
        <v>60</v>
      </c>
      <c r="G611" s="3" t="s">
        <v>80</v>
      </c>
      <c r="H611" s="3" t="s">
        <v>115</v>
      </c>
      <c r="I611" s="3" t="s">
        <v>92</v>
      </c>
      <c r="J611" s="6">
        <v>46061</v>
      </c>
      <c r="K611" s="3" t="s">
        <v>30</v>
      </c>
      <c r="L611" s="3" t="s">
        <v>31</v>
      </c>
      <c r="M611" s="3">
        <v>67400</v>
      </c>
      <c r="N611" s="3">
        <v>18</v>
      </c>
      <c r="O611" s="3">
        <v>94.6</v>
      </c>
      <c r="P611" s="3">
        <v>1</v>
      </c>
      <c r="Q611" s="3">
        <v>10</v>
      </c>
      <c r="R611" s="3">
        <v>2</v>
      </c>
      <c r="S611" s="3">
        <v>19</v>
      </c>
      <c r="T611" s="3">
        <v>28</v>
      </c>
      <c r="U611" s="3" t="s">
        <v>130</v>
      </c>
      <c r="V611" s="3">
        <v>5617</v>
      </c>
      <c r="W611" s="3">
        <v>0.5</v>
      </c>
      <c r="X611" s="3" t="s">
        <v>108</v>
      </c>
      <c r="Y611" s="7" t="s">
        <v>42</v>
      </c>
    </row>
    <row r="612" spans="1:25" x14ac:dyDescent="0.3">
      <c r="A612" s="5" t="s">
        <v>923</v>
      </c>
      <c r="B612" s="3" t="s">
        <v>513</v>
      </c>
      <c r="C612" s="3" t="s">
        <v>58</v>
      </c>
      <c r="D612" s="3">
        <v>42</v>
      </c>
      <c r="E612" s="3" t="s">
        <v>160</v>
      </c>
      <c r="F612" s="3" t="s">
        <v>79</v>
      </c>
      <c r="G612" s="3" t="s">
        <v>46</v>
      </c>
      <c r="H612" s="3" t="s">
        <v>28</v>
      </c>
      <c r="I612" s="3" t="s">
        <v>73</v>
      </c>
      <c r="J612" s="6">
        <v>46024</v>
      </c>
      <c r="K612" s="3" t="s">
        <v>30</v>
      </c>
      <c r="L612" s="3" t="s">
        <v>93</v>
      </c>
      <c r="M612" s="3">
        <v>68700</v>
      </c>
      <c r="N612" s="3">
        <v>18</v>
      </c>
      <c r="O612" s="3">
        <v>89.7</v>
      </c>
      <c r="P612" s="3">
        <v>5</v>
      </c>
      <c r="Q612" s="3">
        <v>14</v>
      </c>
      <c r="R612" s="3">
        <v>0</v>
      </c>
      <c r="S612" s="3">
        <v>29</v>
      </c>
      <c r="T612" s="3">
        <v>9</v>
      </c>
      <c r="U612" s="3" t="s">
        <v>32</v>
      </c>
      <c r="V612" s="3">
        <v>5725</v>
      </c>
      <c r="W612" s="3">
        <v>0.6</v>
      </c>
      <c r="X612" s="3" t="s">
        <v>62</v>
      </c>
      <c r="Y612" s="7" t="s">
        <v>55</v>
      </c>
    </row>
    <row r="613" spans="1:25" x14ac:dyDescent="0.3">
      <c r="A613" s="5" t="s">
        <v>924</v>
      </c>
      <c r="B613" s="3" t="s">
        <v>326</v>
      </c>
      <c r="C613" s="3" t="s">
        <v>24</v>
      </c>
      <c r="D613" s="3">
        <v>43</v>
      </c>
      <c r="E613" s="3" t="s">
        <v>59</v>
      </c>
      <c r="F613" s="3" t="s">
        <v>52</v>
      </c>
      <c r="G613" s="3" t="s">
        <v>171</v>
      </c>
      <c r="H613" s="3" t="s">
        <v>28</v>
      </c>
      <c r="I613" s="3" t="s">
        <v>40</v>
      </c>
      <c r="J613" s="6">
        <v>43958</v>
      </c>
      <c r="K613" s="3" t="s">
        <v>30</v>
      </c>
      <c r="L613" s="3" t="s">
        <v>53</v>
      </c>
      <c r="M613" s="3">
        <v>97400</v>
      </c>
      <c r="N613" s="3">
        <v>23</v>
      </c>
      <c r="O613" s="3">
        <v>82</v>
      </c>
      <c r="P613" s="3">
        <v>1</v>
      </c>
      <c r="Q613" s="3">
        <v>1</v>
      </c>
      <c r="R613" s="3">
        <v>1</v>
      </c>
      <c r="S613" s="3">
        <v>28</v>
      </c>
      <c r="T613" s="3">
        <v>17</v>
      </c>
      <c r="U613" s="3" t="s">
        <v>32</v>
      </c>
      <c r="V613" s="3">
        <v>8117</v>
      </c>
      <c r="W613" s="3">
        <v>6.2</v>
      </c>
      <c r="X613" s="3" t="s">
        <v>62</v>
      </c>
      <c r="Y613" s="7" t="s">
        <v>42</v>
      </c>
    </row>
    <row r="614" spans="1:25" x14ac:dyDescent="0.3">
      <c r="A614" s="5" t="s">
        <v>925</v>
      </c>
      <c r="B614" s="3" t="s">
        <v>205</v>
      </c>
      <c r="C614" s="3" t="s">
        <v>24</v>
      </c>
      <c r="D614" s="3">
        <v>28</v>
      </c>
      <c r="E614" s="3" t="s">
        <v>51</v>
      </c>
      <c r="F614" s="3" t="s">
        <v>91</v>
      </c>
      <c r="G614" s="3" t="s">
        <v>27</v>
      </c>
      <c r="H614" s="3" t="s">
        <v>115</v>
      </c>
      <c r="I614" s="3" t="s">
        <v>107</v>
      </c>
      <c r="J614" s="6">
        <v>45011</v>
      </c>
      <c r="K614" s="3" t="s">
        <v>30</v>
      </c>
      <c r="L614" s="3" t="s">
        <v>53</v>
      </c>
      <c r="M614" s="3">
        <v>76300</v>
      </c>
      <c r="N614" s="3">
        <v>4</v>
      </c>
      <c r="O614" s="3">
        <v>97.7</v>
      </c>
      <c r="P614" s="3">
        <v>5</v>
      </c>
      <c r="Q614" s="3">
        <v>15</v>
      </c>
      <c r="R614" s="3">
        <v>1</v>
      </c>
      <c r="S614" s="3">
        <v>7</v>
      </c>
      <c r="T614" s="3">
        <v>7</v>
      </c>
      <c r="U614" s="3" t="s">
        <v>41</v>
      </c>
      <c r="V614" s="3">
        <v>6358</v>
      </c>
      <c r="W614" s="3">
        <v>3.4</v>
      </c>
      <c r="X614" s="3" t="s">
        <v>95</v>
      </c>
      <c r="Y614" s="7" t="s">
        <v>42</v>
      </c>
    </row>
    <row r="615" spans="1:25" x14ac:dyDescent="0.3">
      <c r="A615" s="5" t="s">
        <v>926</v>
      </c>
      <c r="B615" s="3" t="s">
        <v>231</v>
      </c>
      <c r="C615" s="3" t="s">
        <v>58</v>
      </c>
      <c r="D615" s="3">
        <v>34</v>
      </c>
      <c r="E615" s="3" t="s">
        <v>98</v>
      </c>
      <c r="F615" s="3" t="s">
        <v>72</v>
      </c>
      <c r="G615" s="3" t="s">
        <v>80</v>
      </c>
      <c r="H615" s="3" t="s">
        <v>28</v>
      </c>
      <c r="I615" s="3" t="s">
        <v>40</v>
      </c>
      <c r="J615" s="6">
        <v>45058</v>
      </c>
      <c r="K615" s="3" t="s">
        <v>30</v>
      </c>
      <c r="L615" s="3" t="s">
        <v>53</v>
      </c>
      <c r="M615" s="3">
        <v>69800</v>
      </c>
      <c r="N615" s="3">
        <v>14</v>
      </c>
      <c r="O615" s="3">
        <v>91.6</v>
      </c>
      <c r="P615" s="3">
        <v>7</v>
      </c>
      <c r="Q615" s="3">
        <v>8</v>
      </c>
      <c r="R615" s="3">
        <v>4</v>
      </c>
      <c r="S615" s="3">
        <v>27</v>
      </c>
      <c r="T615" s="3">
        <v>2</v>
      </c>
      <c r="U615" s="3" t="s">
        <v>94</v>
      </c>
      <c r="V615" s="3">
        <v>5817</v>
      </c>
      <c r="W615" s="3">
        <v>3.2</v>
      </c>
      <c r="X615" s="3" t="s">
        <v>33</v>
      </c>
      <c r="Y615" s="7" t="s">
        <v>55</v>
      </c>
    </row>
    <row r="616" spans="1:25" x14ac:dyDescent="0.3">
      <c r="A616" s="5" t="s">
        <v>927</v>
      </c>
      <c r="B616" s="3" t="s">
        <v>377</v>
      </c>
      <c r="C616" s="3" t="s">
        <v>24</v>
      </c>
      <c r="D616" s="3">
        <v>35</v>
      </c>
      <c r="E616" s="3" t="s">
        <v>90</v>
      </c>
      <c r="F616" s="3" t="s">
        <v>72</v>
      </c>
      <c r="G616" s="3" t="s">
        <v>171</v>
      </c>
      <c r="H616" s="3" t="s">
        <v>122</v>
      </c>
      <c r="I616" s="3" t="s">
        <v>73</v>
      </c>
      <c r="J616" s="6">
        <v>43361</v>
      </c>
      <c r="K616" s="3" t="s">
        <v>30</v>
      </c>
      <c r="L616" s="3" t="s">
        <v>93</v>
      </c>
      <c r="M616" s="3">
        <v>162500</v>
      </c>
      <c r="N616" s="3">
        <v>11</v>
      </c>
      <c r="O616" s="3">
        <v>93.1</v>
      </c>
      <c r="P616" s="3">
        <v>7</v>
      </c>
      <c r="Q616" s="3">
        <v>10</v>
      </c>
      <c r="R616" s="3">
        <v>3</v>
      </c>
      <c r="S616" s="3">
        <v>9</v>
      </c>
      <c r="T616" s="3">
        <v>17</v>
      </c>
      <c r="U616" s="3" t="s">
        <v>94</v>
      </c>
      <c r="V616" s="3">
        <v>13542</v>
      </c>
      <c r="W616" s="3">
        <v>7.9</v>
      </c>
      <c r="X616" s="3" t="s">
        <v>108</v>
      </c>
      <c r="Y616" s="7" t="s">
        <v>42</v>
      </c>
    </row>
    <row r="617" spans="1:25" x14ac:dyDescent="0.3">
      <c r="A617" s="5" t="s">
        <v>928</v>
      </c>
      <c r="B617" s="3" t="s">
        <v>237</v>
      </c>
      <c r="C617" s="3" t="s">
        <v>24</v>
      </c>
      <c r="D617" s="3">
        <v>40</v>
      </c>
      <c r="E617" s="3" t="s">
        <v>37</v>
      </c>
      <c r="F617" s="3" t="s">
        <v>60</v>
      </c>
      <c r="G617" s="3" t="s">
        <v>122</v>
      </c>
      <c r="H617" s="3" t="s">
        <v>28</v>
      </c>
      <c r="I617" s="3" t="s">
        <v>47</v>
      </c>
      <c r="J617" s="6">
        <v>44453</v>
      </c>
      <c r="K617" s="3" t="s">
        <v>30</v>
      </c>
      <c r="L617" s="3" t="s">
        <v>53</v>
      </c>
      <c r="M617" s="3">
        <v>24300</v>
      </c>
      <c r="N617" s="3">
        <v>19</v>
      </c>
      <c r="O617" s="3">
        <v>95.1</v>
      </c>
      <c r="P617" s="3">
        <v>5</v>
      </c>
      <c r="Q617" s="3">
        <v>12</v>
      </c>
      <c r="R617" s="3">
        <v>3</v>
      </c>
      <c r="S617" s="3">
        <v>15</v>
      </c>
      <c r="T617" s="3">
        <v>2</v>
      </c>
      <c r="U617" s="3" t="s">
        <v>104</v>
      </c>
      <c r="V617" s="3">
        <v>2025</v>
      </c>
      <c r="W617" s="3">
        <v>4.9000000000000004</v>
      </c>
      <c r="X617" s="3" t="s">
        <v>62</v>
      </c>
      <c r="Y617" s="7" t="s">
        <v>42</v>
      </c>
    </row>
    <row r="618" spans="1:25" x14ac:dyDescent="0.3">
      <c r="A618" s="5" t="s">
        <v>929</v>
      </c>
      <c r="B618" s="3" t="s">
        <v>843</v>
      </c>
      <c r="C618" s="3" t="s">
        <v>24</v>
      </c>
      <c r="D618" s="3">
        <v>49</v>
      </c>
      <c r="E618" s="3" t="s">
        <v>65</v>
      </c>
      <c r="F618" s="3" t="s">
        <v>66</v>
      </c>
      <c r="G618" s="3" t="s">
        <v>122</v>
      </c>
      <c r="H618" s="3" t="s">
        <v>28</v>
      </c>
      <c r="I618" s="3" t="s">
        <v>68</v>
      </c>
      <c r="J618" s="6">
        <v>44248</v>
      </c>
      <c r="K618" s="3" t="s">
        <v>30</v>
      </c>
      <c r="L618" s="3" t="s">
        <v>31</v>
      </c>
      <c r="M618" s="3">
        <v>22700</v>
      </c>
      <c r="N618" s="3">
        <v>30</v>
      </c>
      <c r="O618" s="3">
        <v>92.3</v>
      </c>
      <c r="P618" s="3">
        <v>4</v>
      </c>
      <c r="Q618" s="3">
        <v>5</v>
      </c>
      <c r="R618" s="3">
        <v>3</v>
      </c>
      <c r="S618" s="3">
        <v>26</v>
      </c>
      <c r="T618" s="3">
        <v>21</v>
      </c>
      <c r="U618" s="3" t="s">
        <v>123</v>
      </c>
      <c r="V618" s="3">
        <v>1892</v>
      </c>
      <c r="W618" s="3">
        <v>5.4</v>
      </c>
      <c r="X618" s="3" t="s">
        <v>54</v>
      </c>
      <c r="Y618" s="7" t="s">
        <v>55</v>
      </c>
    </row>
    <row r="619" spans="1:25" x14ac:dyDescent="0.3">
      <c r="A619" s="5" t="s">
        <v>930</v>
      </c>
      <c r="B619" s="3" t="s">
        <v>309</v>
      </c>
      <c r="C619" s="3" t="s">
        <v>58</v>
      </c>
      <c r="D619" s="3">
        <v>22</v>
      </c>
      <c r="E619" s="3" t="s">
        <v>45</v>
      </c>
      <c r="F619" s="3" t="s">
        <v>72</v>
      </c>
      <c r="G619" s="3" t="s">
        <v>27</v>
      </c>
      <c r="H619" s="3" t="s">
        <v>28</v>
      </c>
      <c r="I619" s="3" t="s">
        <v>107</v>
      </c>
      <c r="J619" s="6">
        <v>44600</v>
      </c>
      <c r="K619" s="3" t="s">
        <v>30</v>
      </c>
      <c r="L619" s="3" t="s">
        <v>53</v>
      </c>
      <c r="M619" s="3">
        <v>124700</v>
      </c>
      <c r="N619" s="3">
        <v>0</v>
      </c>
      <c r="O619" s="3">
        <v>81.7</v>
      </c>
      <c r="P619" s="3">
        <v>3</v>
      </c>
      <c r="Q619" s="3">
        <v>6</v>
      </c>
      <c r="R619" s="3">
        <v>0</v>
      </c>
      <c r="S619" s="3">
        <v>6</v>
      </c>
      <c r="T619" s="3">
        <v>17</v>
      </c>
      <c r="U619" s="3" t="s">
        <v>74</v>
      </c>
      <c r="V619" s="3">
        <v>10392</v>
      </c>
      <c r="W619" s="3">
        <v>4.5</v>
      </c>
      <c r="X619" s="3" t="s">
        <v>48</v>
      </c>
      <c r="Y619" s="7" t="s">
        <v>42</v>
      </c>
    </row>
    <row r="620" spans="1:25" x14ac:dyDescent="0.3">
      <c r="A620" s="5" t="s">
        <v>931</v>
      </c>
      <c r="B620" s="3" t="s">
        <v>932</v>
      </c>
      <c r="C620" s="3" t="s">
        <v>58</v>
      </c>
      <c r="D620" s="3">
        <v>20</v>
      </c>
      <c r="E620" s="3" t="s">
        <v>65</v>
      </c>
      <c r="F620" s="3" t="s">
        <v>38</v>
      </c>
      <c r="G620" s="3" t="s">
        <v>39</v>
      </c>
      <c r="H620" s="3" t="s">
        <v>28</v>
      </c>
      <c r="I620" s="3" t="s">
        <v>73</v>
      </c>
      <c r="J620" s="6">
        <v>43378</v>
      </c>
      <c r="K620" s="3" t="s">
        <v>61</v>
      </c>
      <c r="L620" s="3" t="s">
        <v>53</v>
      </c>
      <c r="M620" s="3">
        <v>38000</v>
      </c>
      <c r="N620" s="3">
        <v>0</v>
      </c>
      <c r="O620" s="3">
        <v>89.2</v>
      </c>
      <c r="P620" s="3">
        <v>5</v>
      </c>
      <c r="Q620" s="3">
        <v>1</v>
      </c>
      <c r="R620" s="3">
        <v>2</v>
      </c>
      <c r="S620" s="3">
        <v>4</v>
      </c>
      <c r="T620" s="3">
        <v>28</v>
      </c>
      <c r="U620" s="3" t="s">
        <v>94</v>
      </c>
      <c r="V620" s="3">
        <v>3167</v>
      </c>
      <c r="W620" s="3">
        <v>7.8</v>
      </c>
      <c r="X620" s="3" t="s">
        <v>48</v>
      </c>
      <c r="Y620" s="7" t="s">
        <v>75</v>
      </c>
    </row>
    <row r="621" spans="1:25" x14ac:dyDescent="0.3">
      <c r="A621" s="5" t="s">
        <v>933</v>
      </c>
      <c r="B621" s="3" t="s">
        <v>264</v>
      </c>
      <c r="C621" s="3" t="s">
        <v>24</v>
      </c>
      <c r="D621" s="3">
        <v>50</v>
      </c>
      <c r="E621" s="3" t="s">
        <v>25</v>
      </c>
      <c r="F621" s="3" t="s">
        <v>52</v>
      </c>
      <c r="G621" s="3" t="s">
        <v>39</v>
      </c>
      <c r="H621" s="3" t="s">
        <v>28</v>
      </c>
      <c r="I621" s="3" t="s">
        <v>68</v>
      </c>
      <c r="J621" s="6">
        <v>45241</v>
      </c>
      <c r="K621" s="3" t="s">
        <v>30</v>
      </c>
      <c r="L621" s="3" t="s">
        <v>53</v>
      </c>
      <c r="M621" s="3">
        <v>38500</v>
      </c>
      <c r="N621" s="3">
        <v>29</v>
      </c>
      <c r="O621" s="3">
        <v>88.6</v>
      </c>
      <c r="P621" s="3">
        <v>4</v>
      </c>
      <c r="Q621" s="3">
        <v>10</v>
      </c>
      <c r="R621" s="3">
        <v>0</v>
      </c>
      <c r="S621" s="3">
        <v>30</v>
      </c>
      <c r="T621" s="3">
        <v>23</v>
      </c>
      <c r="U621" s="3" t="s">
        <v>104</v>
      </c>
      <c r="V621" s="3">
        <v>3208</v>
      </c>
      <c r="W621" s="3">
        <v>2.7</v>
      </c>
      <c r="X621" s="3" t="s">
        <v>54</v>
      </c>
      <c r="Y621" s="7" t="s">
        <v>42</v>
      </c>
    </row>
    <row r="622" spans="1:25" x14ac:dyDescent="0.3">
      <c r="A622" s="5" t="s">
        <v>934</v>
      </c>
      <c r="B622" s="3" t="s">
        <v>721</v>
      </c>
      <c r="C622" s="3" t="s">
        <v>58</v>
      </c>
      <c r="D622" s="3">
        <v>43</v>
      </c>
      <c r="E622" s="3" t="s">
        <v>59</v>
      </c>
      <c r="F622" s="3" t="s">
        <v>72</v>
      </c>
      <c r="G622" s="3" t="s">
        <v>39</v>
      </c>
      <c r="H622" s="3" t="s">
        <v>67</v>
      </c>
      <c r="I622" s="3" t="s">
        <v>86</v>
      </c>
      <c r="J622" s="6">
        <v>46107</v>
      </c>
      <c r="K622" s="3" t="s">
        <v>30</v>
      </c>
      <c r="L622" s="3" t="s">
        <v>53</v>
      </c>
      <c r="M622" s="3">
        <v>53000</v>
      </c>
      <c r="N622" s="3">
        <v>20</v>
      </c>
      <c r="O622" s="3">
        <v>88.8</v>
      </c>
      <c r="P622" s="3">
        <v>3</v>
      </c>
      <c r="Q622" s="3">
        <v>0</v>
      </c>
      <c r="R622" s="3">
        <v>4</v>
      </c>
      <c r="S622" s="3">
        <v>9</v>
      </c>
      <c r="T622" s="3">
        <v>5</v>
      </c>
      <c r="U622" s="3" t="s">
        <v>130</v>
      </c>
      <c r="V622" s="3">
        <v>4417</v>
      </c>
      <c r="W622" s="3">
        <v>0.4</v>
      </c>
      <c r="X622" s="3" t="s">
        <v>62</v>
      </c>
      <c r="Y622" s="7" t="s">
        <v>42</v>
      </c>
    </row>
    <row r="623" spans="1:25" x14ac:dyDescent="0.3">
      <c r="A623" s="5" t="s">
        <v>935</v>
      </c>
      <c r="B623" s="3" t="s">
        <v>725</v>
      </c>
      <c r="C623" s="3" t="s">
        <v>24</v>
      </c>
      <c r="D623" s="3">
        <v>32</v>
      </c>
      <c r="E623" s="3" t="s">
        <v>59</v>
      </c>
      <c r="F623" s="3" t="s">
        <v>26</v>
      </c>
      <c r="G623" s="3" t="s">
        <v>80</v>
      </c>
      <c r="H623" s="3" t="s">
        <v>67</v>
      </c>
      <c r="I623" s="3" t="s">
        <v>68</v>
      </c>
      <c r="J623" s="6">
        <v>43923</v>
      </c>
      <c r="K623" s="3" t="s">
        <v>30</v>
      </c>
      <c r="L623" s="3" t="s">
        <v>31</v>
      </c>
      <c r="M623" s="3">
        <v>58900</v>
      </c>
      <c r="N623" s="3">
        <v>12</v>
      </c>
      <c r="O623" s="3">
        <v>90</v>
      </c>
      <c r="P623" s="3">
        <v>5</v>
      </c>
      <c r="Q623" s="3">
        <v>7</v>
      </c>
      <c r="R623" s="3">
        <v>1</v>
      </c>
      <c r="S623" s="3">
        <v>17</v>
      </c>
      <c r="T623" s="3">
        <v>28</v>
      </c>
      <c r="U623" s="3" t="s">
        <v>130</v>
      </c>
      <c r="V623" s="3">
        <v>4908</v>
      </c>
      <c r="W623" s="3">
        <v>6.3</v>
      </c>
      <c r="X623" s="3" t="s">
        <v>33</v>
      </c>
      <c r="Y623" s="7" t="s">
        <v>42</v>
      </c>
    </row>
    <row r="624" spans="1:25" x14ac:dyDescent="0.3">
      <c r="A624" s="5" t="s">
        <v>936</v>
      </c>
      <c r="B624" s="3" t="s">
        <v>198</v>
      </c>
      <c r="C624" s="3" t="s">
        <v>58</v>
      </c>
      <c r="D624" s="3">
        <v>33</v>
      </c>
      <c r="E624" s="3" t="s">
        <v>71</v>
      </c>
      <c r="F624" s="3" t="s">
        <v>72</v>
      </c>
      <c r="G624" s="3" t="s">
        <v>46</v>
      </c>
      <c r="H624" s="3" t="s">
        <v>28</v>
      </c>
      <c r="I624" s="3" t="s">
        <v>40</v>
      </c>
      <c r="J624" s="6">
        <v>45276</v>
      </c>
      <c r="K624" s="3" t="s">
        <v>30</v>
      </c>
      <c r="L624" s="3" t="s">
        <v>53</v>
      </c>
      <c r="M624" s="3">
        <v>80500</v>
      </c>
      <c r="N624" s="3">
        <v>11</v>
      </c>
      <c r="O624" s="3">
        <v>91.3</v>
      </c>
      <c r="P624" s="3">
        <v>8</v>
      </c>
      <c r="Q624" s="3">
        <v>13</v>
      </c>
      <c r="R624" s="3">
        <v>0</v>
      </c>
      <c r="S624" s="3">
        <v>24</v>
      </c>
      <c r="T624" s="3">
        <v>26</v>
      </c>
      <c r="U624" s="3" t="s">
        <v>94</v>
      </c>
      <c r="V624" s="3">
        <v>6708</v>
      </c>
      <c r="W624" s="3">
        <v>2.6</v>
      </c>
      <c r="X624" s="3" t="s">
        <v>33</v>
      </c>
      <c r="Y624" s="7" t="s">
        <v>42</v>
      </c>
    </row>
    <row r="625" spans="1:25" x14ac:dyDescent="0.3">
      <c r="A625" s="5" t="s">
        <v>937</v>
      </c>
      <c r="B625" s="3" t="s">
        <v>477</v>
      </c>
      <c r="C625" s="3" t="s">
        <v>24</v>
      </c>
      <c r="D625" s="3">
        <v>25</v>
      </c>
      <c r="E625" s="3" t="s">
        <v>51</v>
      </c>
      <c r="F625" s="3" t="s">
        <v>38</v>
      </c>
      <c r="G625" s="3" t="s">
        <v>46</v>
      </c>
      <c r="H625" s="3" t="s">
        <v>28</v>
      </c>
      <c r="I625" s="3" t="s">
        <v>86</v>
      </c>
      <c r="J625" s="6">
        <v>43632</v>
      </c>
      <c r="K625" s="3" t="s">
        <v>30</v>
      </c>
      <c r="L625" s="3" t="s">
        <v>31</v>
      </c>
      <c r="M625" s="3">
        <v>79500</v>
      </c>
      <c r="N625" s="3">
        <v>2</v>
      </c>
      <c r="O625" s="3">
        <v>100</v>
      </c>
      <c r="P625" s="3">
        <v>8</v>
      </c>
      <c r="Q625" s="3">
        <v>15</v>
      </c>
      <c r="R625" s="3">
        <v>3</v>
      </c>
      <c r="S625" s="3">
        <v>6</v>
      </c>
      <c r="T625" s="3">
        <v>3</v>
      </c>
      <c r="U625" s="3" t="s">
        <v>104</v>
      </c>
      <c r="V625" s="3">
        <v>6625</v>
      </c>
      <c r="W625" s="3">
        <v>7.1</v>
      </c>
      <c r="X625" s="3" t="s">
        <v>95</v>
      </c>
      <c r="Y625" s="7" t="s">
        <v>42</v>
      </c>
    </row>
    <row r="626" spans="1:25" x14ac:dyDescent="0.3">
      <c r="A626" s="5" t="s">
        <v>938</v>
      </c>
      <c r="B626" s="3" t="s">
        <v>158</v>
      </c>
      <c r="C626" s="3" t="s">
        <v>24</v>
      </c>
      <c r="D626" s="3">
        <v>24</v>
      </c>
      <c r="E626" s="3" t="s">
        <v>51</v>
      </c>
      <c r="F626" s="3" t="s">
        <v>60</v>
      </c>
      <c r="G626" s="3" t="s">
        <v>39</v>
      </c>
      <c r="H626" s="3" t="s">
        <v>28</v>
      </c>
      <c r="I626" s="3" t="s">
        <v>29</v>
      </c>
      <c r="J626" s="6">
        <v>45921</v>
      </c>
      <c r="K626" s="3" t="s">
        <v>30</v>
      </c>
      <c r="L626" s="3" t="s">
        <v>31</v>
      </c>
      <c r="M626" s="3">
        <v>38000</v>
      </c>
      <c r="N626" s="3">
        <v>4</v>
      </c>
      <c r="O626" s="3">
        <v>93.6</v>
      </c>
      <c r="P626" s="3">
        <v>7</v>
      </c>
      <c r="Q626" s="3">
        <v>9</v>
      </c>
      <c r="R626" s="3">
        <v>2</v>
      </c>
      <c r="S626" s="3">
        <v>3</v>
      </c>
      <c r="T626" s="3">
        <v>15</v>
      </c>
      <c r="U626" s="3" t="s">
        <v>130</v>
      </c>
      <c r="V626" s="3">
        <v>3167</v>
      </c>
      <c r="W626" s="3">
        <v>0.9</v>
      </c>
      <c r="X626" s="3" t="s">
        <v>48</v>
      </c>
      <c r="Y626" s="7" t="s">
        <v>42</v>
      </c>
    </row>
    <row r="627" spans="1:25" x14ac:dyDescent="0.3">
      <c r="A627" s="5" t="s">
        <v>939</v>
      </c>
      <c r="B627" s="3" t="s">
        <v>259</v>
      </c>
      <c r="C627" s="3" t="s">
        <v>24</v>
      </c>
      <c r="D627" s="3">
        <v>48</v>
      </c>
      <c r="E627" s="3" t="s">
        <v>137</v>
      </c>
      <c r="F627" s="3" t="s">
        <v>60</v>
      </c>
      <c r="G627" s="3" t="s">
        <v>80</v>
      </c>
      <c r="H627" s="3" t="s">
        <v>28</v>
      </c>
      <c r="I627" s="3" t="s">
        <v>73</v>
      </c>
      <c r="J627" s="6">
        <v>43267</v>
      </c>
      <c r="K627" s="3" t="s">
        <v>30</v>
      </c>
      <c r="L627" s="3" t="s">
        <v>53</v>
      </c>
      <c r="M627" s="3">
        <v>70100</v>
      </c>
      <c r="N627" s="3">
        <v>24</v>
      </c>
      <c r="O627" s="3">
        <v>94.6</v>
      </c>
      <c r="P627" s="3">
        <v>0</v>
      </c>
      <c r="Q627" s="3">
        <v>14</v>
      </c>
      <c r="R627" s="3">
        <v>4</v>
      </c>
      <c r="S627" s="3">
        <v>30</v>
      </c>
      <c r="T627" s="3">
        <v>7</v>
      </c>
      <c r="U627" s="3" t="s">
        <v>104</v>
      </c>
      <c r="V627" s="3">
        <v>5842</v>
      </c>
      <c r="W627" s="3">
        <v>8.1</v>
      </c>
      <c r="X627" s="3" t="s">
        <v>54</v>
      </c>
      <c r="Y627" s="7" t="s">
        <v>42</v>
      </c>
    </row>
    <row r="628" spans="1:25" x14ac:dyDescent="0.3">
      <c r="A628" s="5" t="s">
        <v>940</v>
      </c>
      <c r="B628" s="3" t="s">
        <v>511</v>
      </c>
      <c r="C628" s="3" t="s">
        <v>58</v>
      </c>
      <c r="D628" s="3">
        <v>42</v>
      </c>
      <c r="E628" s="3" t="s">
        <v>78</v>
      </c>
      <c r="F628" s="3" t="s">
        <v>52</v>
      </c>
      <c r="G628" s="3" t="s">
        <v>27</v>
      </c>
      <c r="H628" s="3" t="s">
        <v>28</v>
      </c>
      <c r="I628" s="3" t="s">
        <v>73</v>
      </c>
      <c r="J628" s="6">
        <v>43931</v>
      </c>
      <c r="K628" s="3" t="s">
        <v>30</v>
      </c>
      <c r="L628" s="3" t="s">
        <v>53</v>
      </c>
      <c r="M628" s="3">
        <v>81900</v>
      </c>
      <c r="N628" s="3">
        <v>19</v>
      </c>
      <c r="O628" s="3">
        <v>88.7</v>
      </c>
      <c r="P628" s="3">
        <v>8</v>
      </c>
      <c r="Q628" s="3">
        <v>3</v>
      </c>
      <c r="R628" s="3">
        <v>1</v>
      </c>
      <c r="S628" s="3">
        <v>9</v>
      </c>
      <c r="T628" s="3">
        <v>24</v>
      </c>
      <c r="U628" s="3" t="s">
        <v>130</v>
      </c>
      <c r="V628" s="3">
        <v>6825</v>
      </c>
      <c r="W628" s="3">
        <v>6.3</v>
      </c>
      <c r="X628" s="3" t="s">
        <v>62</v>
      </c>
      <c r="Y628" s="7" t="s">
        <v>55</v>
      </c>
    </row>
    <row r="629" spans="1:25" x14ac:dyDescent="0.3">
      <c r="A629" s="5" t="s">
        <v>941</v>
      </c>
      <c r="B629" s="3" t="s">
        <v>625</v>
      </c>
      <c r="C629" s="3" t="s">
        <v>58</v>
      </c>
      <c r="D629" s="3">
        <v>24</v>
      </c>
      <c r="E629" s="3" t="s">
        <v>90</v>
      </c>
      <c r="F629" s="3" t="s">
        <v>72</v>
      </c>
      <c r="G629" s="3" t="s">
        <v>27</v>
      </c>
      <c r="H629" s="3" t="s">
        <v>28</v>
      </c>
      <c r="I629" s="3" t="s">
        <v>29</v>
      </c>
      <c r="J629" s="6">
        <v>43336</v>
      </c>
      <c r="K629" s="3" t="s">
        <v>30</v>
      </c>
      <c r="L629" s="3" t="s">
        <v>53</v>
      </c>
      <c r="M629" s="3">
        <v>126400</v>
      </c>
      <c r="N629" s="3">
        <v>0</v>
      </c>
      <c r="O629" s="3">
        <v>98.4</v>
      </c>
      <c r="P629" s="3">
        <v>4</v>
      </c>
      <c r="Q629" s="3">
        <v>12</v>
      </c>
      <c r="R629" s="3">
        <v>2</v>
      </c>
      <c r="S629" s="3">
        <v>29</v>
      </c>
      <c r="T629" s="3">
        <v>21</v>
      </c>
      <c r="U629" s="3" t="s">
        <v>130</v>
      </c>
      <c r="V629" s="3">
        <v>10533</v>
      </c>
      <c r="W629" s="3">
        <v>7.9</v>
      </c>
      <c r="X629" s="3" t="s">
        <v>48</v>
      </c>
      <c r="Y629" s="7" t="s">
        <v>42</v>
      </c>
    </row>
    <row r="630" spans="1:25" x14ac:dyDescent="0.3">
      <c r="A630" s="5" t="s">
        <v>942</v>
      </c>
      <c r="B630" s="3" t="s">
        <v>631</v>
      </c>
      <c r="C630" s="3" t="s">
        <v>24</v>
      </c>
      <c r="D630" s="3">
        <v>46</v>
      </c>
      <c r="E630" s="3" t="s">
        <v>45</v>
      </c>
      <c r="F630" s="3" t="s">
        <v>60</v>
      </c>
      <c r="G630" s="3" t="s">
        <v>80</v>
      </c>
      <c r="H630" s="3" t="s">
        <v>28</v>
      </c>
      <c r="I630" s="3" t="s">
        <v>86</v>
      </c>
      <c r="J630" s="6">
        <v>44156</v>
      </c>
      <c r="K630" s="3" t="s">
        <v>30</v>
      </c>
      <c r="L630" s="3" t="s">
        <v>53</v>
      </c>
      <c r="M630" s="3">
        <v>53500</v>
      </c>
      <c r="N630" s="3">
        <v>23</v>
      </c>
      <c r="O630" s="3">
        <v>91.7</v>
      </c>
      <c r="P630" s="3">
        <v>2</v>
      </c>
      <c r="Q630" s="3">
        <v>8</v>
      </c>
      <c r="R630" s="3">
        <v>0</v>
      </c>
      <c r="S630" s="3">
        <v>17</v>
      </c>
      <c r="T630" s="3">
        <v>13</v>
      </c>
      <c r="U630" s="3" t="s">
        <v>32</v>
      </c>
      <c r="V630" s="3">
        <v>4458</v>
      </c>
      <c r="W630" s="3">
        <v>5.7</v>
      </c>
      <c r="X630" s="3" t="s">
        <v>54</v>
      </c>
      <c r="Y630" s="7" t="s">
        <v>42</v>
      </c>
    </row>
    <row r="631" spans="1:25" x14ac:dyDescent="0.3">
      <c r="A631" s="5" t="s">
        <v>943</v>
      </c>
      <c r="B631" s="3" t="s">
        <v>166</v>
      </c>
      <c r="C631" s="3" t="s">
        <v>58</v>
      </c>
      <c r="D631" s="3">
        <v>23</v>
      </c>
      <c r="E631" s="3" t="s">
        <v>78</v>
      </c>
      <c r="F631" s="3" t="s">
        <v>79</v>
      </c>
      <c r="G631" s="3" t="s">
        <v>171</v>
      </c>
      <c r="H631" s="3" t="s">
        <v>28</v>
      </c>
      <c r="I631" s="3" t="s">
        <v>73</v>
      </c>
      <c r="J631" s="6">
        <v>44355</v>
      </c>
      <c r="K631" s="3" t="s">
        <v>30</v>
      </c>
      <c r="L631" s="3" t="s">
        <v>31</v>
      </c>
      <c r="M631" s="3">
        <v>129800</v>
      </c>
      <c r="N631" s="3">
        <v>0</v>
      </c>
      <c r="O631" s="3">
        <v>90.9</v>
      </c>
      <c r="P631" s="3">
        <v>7</v>
      </c>
      <c r="Q631" s="3">
        <v>11</v>
      </c>
      <c r="R631" s="3">
        <v>0</v>
      </c>
      <c r="S631" s="3">
        <v>17</v>
      </c>
      <c r="T631" s="3">
        <v>6</v>
      </c>
      <c r="U631" s="3" t="s">
        <v>130</v>
      </c>
      <c r="V631" s="3">
        <v>10817</v>
      </c>
      <c r="W631" s="3">
        <v>5.0999999999999996</v>
      </c>
      <c r="X631" s="3" t="s">
        <v>48</v>
      </c>
      <c r="Y631" s="7" t="s">
        <v>42</v>
      </c>
    </row>
    <row r="632" spans="1:25" x14ac:dyDescent="0.3">
      <c r="A632" s="5" t="s">
        <v>944</v>
      </c>
      <c r="B632" s="3" t="s">
        <v>170</v>
      </c>
      <c r="C632" s="3" t="s">
        <v>58</v>
      </c>
      <c r="D632" s="3">
        <v>40</v>
      </c>
      <c r="E632" s="3" t="s">
        <v>65</v>
      </c>
      <c r="F632" s="3" t="s">
        <v>72</v>
      </c>
      <c r="G632" s="3" t="s">
        <v>46</v>
      </c>
      <c r="H632" s="3" t="s">
        <v>28</v>
      </c>
      <c r="I632" s="3" t="s">
        <v>68</v>
      </c>
      <c r="J632" s="6">
        <v>43291</v>
      </c>
      <c r="K632" s="3" t="s">
        <v>30</v>
      </c>
      <c r="L632" s="3" t="s">
        <v>31</v>
      </c>
      <c r="M632" s="3">
        <v>83600</v>
      </c>
      <c r="N632" s="3">
        <v>18</v>
      </c>
      <c r="O632" s="3">
        <v>82.1</v>
      </c>
      <c r="P632" s="3">
        <v>7</v>
      </c>
      <c r="Q632" s="3">
        <v>8</v>
      </c>
      <c r="R632" s="3">
        <v>2</v>
      </c>
      <c r="S632" s="3">
        <v>2</v>
      </c>
      <c r="T632" s="3">
        <v>15</v>
      </c>
      <c r="U632" s="3" t="s">
        <v>41</v>
      </c>
      <c r="V632" s="3">
        <v>6967</v>
      </c>
      <c r="W632" s="3">
        <v>8.1</v>
      </c>
      <c r="X632" s="3" t="s">
        <v>62</v>
      </c>
      <c r="Y632" s="7" t="s">
        <v>42</v>
      </c>
    </row>
    <row r="633" spans="1:25" x14ac:dyDescent="0.3">
      <c r="A633" s="5" t="s">
        <v>945</v>
      </c>
      <c r="B633" s="3" t="s">
        <v>742</v>
      </c>
      <c r="C633" s="3" t="s">
        <v>58</v>
      </c>
      <c r="D633" s="3">
        <v>31</v>
      </c>
      <c r="E633" s="3" t="s">
        <v>101</v>
      </c>
      <c r="F633" s="3" t="s">
        <v>60</v>
      </c>
      <c r="G633" s="3" t="s">
        <v>39</v>
      </c>
      <c r="H633" s="3" t="s">
        <v>28</v>
      </c>
      <c r="I633" s="3" t="s">
        <v>92</v>
      </c>
      <c r="J633" s="6">
        <v>45805</v>
      </c>
      <c r="K633" s="3" t="s">
        <v>30</v>
      </c>
      <c r="L633" s="3" t="s">
        <v>93</v>
      </c>
      <c r="M633" s="3">
        <v>42800</v>
      </c>
      <c r="N633" s="3">
        <v>10</v>
      </c>
      <c r="O633" s="3">
        <v>94.5</v>
      </c>
      <c r="P633" s="3">
        <v>8</v>
      </c>
      <c r="Q633" s="3">
        <v>12</v>
      </c>
      <c r="R633" s="3">
        <v>2</v>
      </c>
      <c r="S633" s="3">
        <v>12</v>
      </c>
      <c r="T633" s="3">
        <v>6</v>
      </c>
      <c r="U633" s="3" t="s">
        <v>32</v>
      </c>
      <c r="V633" s="3">
        <v>3567</v>
      </c>
      <c r="W633" s="3">
        <v>1.2</v>
      </c>
      <c r="X633" s="3" t="s">
        <v>33</v>
      </c>
      <c r="Y633" s="7" t="s">
        <v>42</v>
      </c>
    </row>
    <row r="634" spans="1:25" x14ac:dyDescent="0.3">
      <c r="A634" s="5" t="s">
        <v>946</v>
      </c>
      <c r="B634" s="3" t="s">
        <v>704</v>
      </c>
      <c r="C634" s="3" t="s">
        <v>58</v>
      </c>
      <c r="D634" s="3">
        <v>33</v>
      </c>
      <c r="E634" s="3" t="s">
        <v>25</v>
      </c>
      <c r="F634" s="3" t="s">
        <v>91</v>
      </c>
      <c r="G634" s="3" t="s">
        <v>122</v>
      </c>
      <c r="H634" s="3" t="s">
        <v>28</v>
      </c>
      <c r="I634" s="3" t="s">
        <v>107</v>
      </c>
      <c r="J634" s="6">
        <v>43713</v>
      </c>
      <c r="K634" s="3" t="s">
        <v>30</v>
      </c>
      <c r="L634" s="3" t="s">
        <v>31</v>
      </c>
      <c r="M634" s="3">
        <v>18100</v>
      </c>
      <c r="N634" s="3">
        <v>10</v>
      </c>
      <c r="O634" s="3">
        <v>95.7</v>
      </c>
      <c r="P634" s="3">
        <v>1</v>
      </c>
      <c r="Q634" s="3">
        <v>10</v>
      </c>
      <c r="R634" s="3">
        <v>1</v>
      </c>
      <c r="S634" s="3">
        <v>30</v>
      </c>
      <c r="T634" s="3">
        <v>19</v>
      </c>
      <c r="U634" s="3" t="s">
        <v>74</v>
      </c>
      <c r="V634" s="3">
        <v>1508</v>
      </c>
      <c r="W634" s="3">
        <v>6.9</v>
      </c>
      <c r="X634" s="3" t="s">
        <v>33</v>
      </c>
      <c r="Y634" s="7" t="s">
        <v>55</v>
      </c>
    </row>
    <row r="635" spans="1:25" x14ac:dyDescent="0.3">
      <c r="A635" s="5" t="s">
        <v>947</v>
      </c>
      <c r="B635" s="3" t="s">
        <v>756</v>
      </c>
      <c r="C635" s="3" t="s">
        <v>58</v>
      </c>
      <c r="D635" s="3">
        <v>46</v>
      </c>
      <c r="E635" s="3" t="s">
        <v>137</v>
      </c>
      <c r="F635" s="3" t="s">
        <v>91</v>
      </c>
      <c r="G635" s="3" t="s">
        <v>39</v>
      </c>
      <c r="H635" s="3" t="s">
        <v>28</v>
      </c>
      <c r="I635" s="3" t="s">
        <v>107</v>
      </c>
      <c r="J635" s="6">
        <v>44632</v>
      </c>
      <c r="K635" s="3" t="s">
        <v>30</v>
      </c>
      <c r="L635" s="3" t="s">
        <v>31</v>
      </c>
      <c r="M635" s="3">
        <v>27200</v>
      </c>
      <c r="N635" s="3">
        <v>22</v>
      </c>
      <c r="O635" s="3">
        <v>95.5</v>
      </c>
      <c r="P635" s="3">
        <v>3</v>
      </c>
      <c r="Q635" s="3">
        <v>11</v>
      </c>
      <c r="R635" s="3">
        <v>3</v>
      </c>
      <c r="S635" s="3">
        <v>30</v>
      </c>
      <c r="T635" s="3">
        <v>17</v>
      </c>
      <c r="U635" s="3" t="s">
        <v>74</v>
      </c>
      <c r="V635" s="3">
        <v>2267</v>
      </c>
      <c r="W635" s="3">
        <v>4.4000000000000004</v>
      </c>
      <c r="X635" s="3" t="s">
        <v>54</v>
      </c>
      <c r="Y635" s="7" t="s">
        <v>42</v>
      </c>
    </row>
    <row r="636" spans="1:25" x14ac:dyDescent="0.3">
      <c r="A636" s="5" t="s">
        <v>948</v>
      </c>
      <c r="B636" s="3" t="s">
        <v>597</v>
      </c>
      <c r="C636" s="3" t="s">
        <v>24</v>
      </c>
      <c r="D636" s="3">
        <v>42</v>
      </c>
      <c r="E636" s="3" t="s">
        <v>71</v>
      </c>
      <c r="F636" s="3" t="s">
        <v>52</v>
      </c>
      <c r="G636" s="3" t="s">
        <v>46</v>
      </c>
      <c r="H636" s="3" t="s">
        <v>67</v>
      </c>
      <c r="I636" s="3" t="s">
        <v>73</v>
      </c>
      <c r="J636" s="6">
        <v>45403</v>
      </c>
      <c r="K636" s="3" t="s">
        <v>30</v>
      </c>
      <c r="L636" s="3" t="s">
        <v>53</v>
      </c>
      <c r="M636" s="3">
        <v>58100</v>
      </c>
      <c r="N636" s="3">
        <v>20</v>
      </c>
      <c r="O636" s="3">
        <v>84</v>
      </c>
      <c r="P636" s="3">
        <v>1</v>
      </c>
      <c r="Q636" s="3">
        <v>3</v>
      </c>
      <c r="R636" s="3">
        <v>2</v>
      </c>
      <c r="S636" s="3">
        <v>13</v>
      </c>
      <c r="T636" s="3">
        <v>22</v>
      </c>
      <c r="U636" s="3" t="s">
        <v>32</v>
      </c>
      <c r="V636" s="3">
        <v>4842</v>
      </c>
      <c r="W636" s="3">
        <v>2.2999999999999998</v>
      </c>
      <c r="X636" s="3" t="s">
        <v>62</v>
      </c>
      <c r="Y636" s="7" t="s">
        <v>42</v>
      </c>
    </row>
    <row r="637" spans="1:25" x14ac:dyDescent="0.3">
      <c r="A637" s="5" t="s">
        <v>949</v>
      </c>
      <c r="B637" s="3" t="s">
        <v>149</v>
      </c>
      <c r="C637" s="3" t="s">
        <v>58</v>
      </c>
      <c r="D637" s="3">
        <v>33</v>
      </c>
      <c r="E637" s="3" t="s">
        <v>59</v>
      </c>
      <c r="F637" s="3" t="s">
        <v>26</v>
      </c>
      <c r="G637" s="3" t="s">
        <v>39</v>
      </c>
      <c r="H637" s="3" t="s">
        <v>28</v>
      </c>
      <c r="I637" s="3" t="s">
        <v>40</v>
      </c>
      <c r="J637" s="6">
        <v>44824</v>
      </c>
      <c r="K637" s="3" t="s">
        <v>30</v>
      </c>
      <c r="L637" s="3" t="s">
        <v>53</v>
      </c>
      <c r="M637" s="3">
        <v>35800</v>
      </c>
      <c r="N637" s="3">
        <v>10</v>
      </c>
      <c r="O637" s="3">
        <v>95.7</v>
      </c>
      <c r="P637" s="3">
        <v>5</v>
      </c>
      <c r="Q637" s="3">
        <v>9</v>
      </c>
      <c r="R637" s="3">
        <v>1</v>
      </c>
      <c r="S637" s="3">
        <v>21</v>
      </c>
      <c r="T637" s="3">
        <v>17</v>
      </c>
      <c r="U637" s="3" t="s">
        <v>32</v>
      </c>
      <c r="V637" s="3">
        <v>2983</v>
      </c>
      <c r="W637" s="3">
        <v>3.9</v>
      </c>
      <c r="X637" s="3" t="s">
        <v>33</v>
      </c>
      <c r="Y637" s="7" t="s">
        <v>75</v>
      </c>
    </row>
    <row r="638" spans="1:25" x14ac:dyDescent="0.3">
      <c r="A638" s="5" t="s">
        <v>950</v>
      </c>
      <c r="B638" s="3" t="s">
        <v>850</v>
      </c>
      <c r="C638" s="3" t="s">
        <v>24</v>
      </c>
      <c r="D638" s="3">
        <v>30</v>
      </c>
      <c r="E638" s="3" t="s">
        <v>45</v>
      </c>
      <c r="F638" s="3" t="s">
        <v>26</v>
      </c>
      <c r="G638" s="3" t="s">
        <v>80</v>
      </c>
      <c r="H638" s="3" t="s">
        <v>28</v>
      </c>
      <c r="I638" s="3" t="s">
        <v>47</v>
      </c>
      <c r="J638" s="6">
        <v>44073</v>
      </c>
      <c r="K638" s="3" t="s">
        <v>87</v>
      </c>
      <c r="L638" s="3" t="s">
        <v>31</v>
      </c>
      <c r="M638" s="3">
        <v>44900</v>
      </c>
      <c r="N638" s="3">
        <v>9</v>
      </c>
      <c r="O638" s="3">
        <v>89.4</v>
      </c>
      <c r="P638" s="3">
        <v>0</v>
      </c>
      <c r="Q638" s="3">
        <v>2</v>
      </c>
      <c r="R638" s="3">
        <v>2</v>
      </c>
      <c r="S638" s="3">
        <v>13</v>
      </c>
      <c r="T638" s="3">
        <v>11</v>
      </c>
      <c r="U638" s="3" t="s">
        <v>104</v>
      </c>
      <c r="V638" s="3">
        <v>3742</v>
      </c>
      <c r="W638" s="3">
        <v>5.9</v>
      </c>
      <c r="X638" s="3" t="s">
        <v>33</v>
      </c>
      <c r="Y638" s="7" t="s">
        <v>42</v>
      </c>
    </row>
    <row r="639" spans="1:25" x14ac:dyDescent="0.3">
      <c r="A639" s="5" t="s">
        <v>951</v>
      </c>
      <c r="B639" s="3" t="s">
        <v>192</v>
      </c>
      <c r="C639" s="3" t="s">
        <v>24</v>
      </c>
      <c r="D639" s="3">
        <v>41</v>
      </c>
      <c r="E639" s="3" t="s">
        <v>90</v>
      </c>
      <c r="F639" s="3" t="s">
        <v>52</v>
      </c>
      <c r="G639" s="3" t="s">
        <v>39</v>
      </c>
      <c r="H639" s="3" t="s">
        <v>28</v>
      </c>
      <c r="I639" s="3" t="s">
        <v>107</v>
      </c>
      <c r="J639" s="6">
        <v>46228</v>
      </c>
      <c r="K639" s="3" t="s">
        <v>30</v>
      </c>
      <c r="L639" s="3" t="s">
        <v>53</v>
      </c>
      <c r="M639" s="3">
        <v>35300</v>
      </c>
      <c r="N639" s="3">
        <v>17</v>
      </c>
      <c r="O639" s="3">
        <v>84.7</v>
      </c>
      <c r="P639" s="3">
        <v>2</v>
      </c>
      <c r="Q639" s="3">
        <v>4</v>
      </c>
      <c r="R639" s="3">
        <v>2</v>
      </c>
      <c r="S639" s="3">
        <v>0</v>
      </c>
      <c r="T639" s="3">
        <v>12</v>
      </c>
      <c r="U639" s="3" t="s">
        <v>32</v>
      </c>
      <c r="V639" s="3">
        <v>2942</v>
      </c>
      <c r="W639" s="3">
        <v>0</v>
      </c>
      <c r="X639" s="3" t="s">
        <v>62</v>
      </c>
      <c r="Y639" s="7" t="s">
        <v>75</v>
      </c>
    </row>
    <row r="640" spans="1:25" x14ac:dyDescent="0.3">
      <c r="A640" s="5" t="s">
        <v>952</v>
      </c>
      <c r="B640" s="3" t="s">
        <v>492</v>
      </c>
      <c r="C640" s="3" t="s">
        <v>58</v>
      </c>
      <c r="D640" s="3">
        <v>29</v>
      </c>
      <c r="E640" s="3" t="s">
        <v>118</v>
      </c>
      <c r="F640" s="3" t="s">
        <v>26</v>
      </c>
      <c r="G640" s="3" t="s">
        <v>27</v>
      </c>
      <c r="H640" s="3" t="s">
        <v>28</v>
      </c>
      <c r="I640" s="3" t="s">
        <v>73</v>
      </c>
      <c r="J640" s="6">
        <v>43749</v>
      </c>
      <c r="K640" s="3" t="s">
        <v>30</v>
      </c>
      <c r="L640" s="3" t="s">
        <v>53</v>
      </c>
      <c r="M640" s="3">
        <v>112500</v>
      </c>
      <c r="N640" s="3">
        <v>7</v>
      </c>
      <c r="O640" s="3">
        <v>100</v>
      </c>
      <c r="P640" s="3">
        <v>1</v>
      </c>
      <c r="Q640" s="3">
        <v>5</v>
      </c>
      <c r="R640" s="3">
        <v>3</v>
      </c>
      <c r="S640" s="3">
        <v>4</v>
      </c>
      <c r="T640" s="3">
        <v>22</v>
      </c>
      <c r="U640" s="3" t="s">
        <v>130</v>
      </c>
      <c r="V640" s="3">
        <v>9375</v>
      </c>
      <c r="W640" s="3">
        <v>6.8</v>
      </c>
      <c r="X640" s="3" t="s">
        <v>95</v>
      </c>
      <c r="Y640" s="7" t="s">
        <v>42</v>
      </c>
    </row>
    <row r="641" spans="1:25" x14ac:dyDescent="0.3">
      <c r="A641" s="5" t="s">
        <v>953</v>
      </c>
      <c r="B641" s="3" t="s">
        <v>569</v>
      </c>
      <c r="C641" s="3" t="s">
        <v>58</v>
      </c>
      <c r="D641" s="3">
        <v>29</v>
      </c>
      <c r="E641" s="3" t="s">
        <v>83</v>
      </c>
      <c r="F641" s="3" t="s">
        <v>38</v>
      </c>
      <c r="G641" s="3" t="s">
        <v>80</v>
      </c>
      <c r="H641" s="3" t="s">
        <v>28</v>
      </c>
      <c r="I641" s="3" t="s">
        <v>47</v>
      </c>
      <c r="J641" s="6">
        <v>43206</v>
      </c>
      <c r="K641" s="3" t="s">
        <v>30</v>
      </c>
      <c r="L641" s="3" t="s">
        <v>53</v>
      </c>
      <c r="M641" s="3">
        <v>51200</v>
      </c>
      <c r="N641" s="3">
        <v>9</v>
      </c>
      <c r="O641" s="3">
        <v>98.6</v>
      </c>
      <c r="P641" s="3">
        <v>6</v>
      </c>
      <c r="Q641" s="3">
        <v>15</v>
      </c>
      <c r="R641" s="3">
        <v>1</v>
      </c>
      <c r="S641" s="3">
        <v>9</v>
      </c>
      <c r="T641" s="3">
        <v>6</v>
      </c>
      <c r="U641" s="3" t="s">
        <v>41</v>
      </c>
      <c r="V641" s="3">
        <v>4267</v>
      </c>
      <c r="W641" s="3">
        <v>8.3000000000000007</v>
      </c>
      <c r="X641" s="3" t="s">
        <v>95</v>
      </c>
      <c r="Y641" s="7" t="s">
        <v>55</v>
      </c>
    </row>
    <row r="642" spans="1:25" x14ac:dyDescent="0.3">
      <c r="A642" s="5" t="s">
        <v>954</v>
      </c>
      <c r="B642" s="3" t="s">
        <v>112</v>
      </c>
      <c r="C642" s="3" t="s">
        <v>58</v>
      </c>
      <c r="D642" s="3">
        <v>48</v>
      </c>
      <c r="E642" s="3" t="s">
        <v>160</v>
      </c>
      <c r="F642" s="3" t="s">
        <v>91</v>
      </c>
      <c r="G642" s="3" t="s">
        <v>27</v>
      </c>
      <c r="H642" s="3" t="s">
        <v>28</v>
      </c>
      <c r="I642" s="3" t="s">
        <v>92</v>
      </c>
      <c r="J642" s="6">
        <v>44705</v>
      </c>
      <c r="K642" s="3" t="s">
        <v>30</v>
      </c>
      <c r="L642" s="3" t="s">
        <v>53</v>
      </c>
      <c r="M642" s="3">
        <v>61500</v>
      </c>
      <c r="N642" s="3">
        <v>29</v>
      </c>
      <c r="O642" s="3">
        <v>94.3</v>
      </c>
      <c r="P642" s="3">
        <v>7</v>
      </c>
      <c r="Q642" s="3">
        <v>9</v>
      </c>
      <c r="R642" s="3">
        <v>0</v>
      </c>
      <c r="S642" s="3">
        <v>13</v>
      </c>
      <c r="T642" s="3">
        <v>5</v>
      </c>
      <c r="U642" s="3" t="s">
        <v>32</v>
      </c>
      <c r="V642" s="3">
        <v>5125</v>
      </c>
      <c r="W642" s="3">
        <v>4.2</v>
      </c>
      <c r="X642" s="3" t="s">
        <v>54</v>
      </c>
      <c r="Y642" s="7" t="s">
        <v>55</v>
      </c>
    </row>
    <row r="643" spans="1:25" x14ac:dyDescent="0.3">
      <c r="A643" s="5" t="s">
        <v>955</v>
      </c>
      <c r="B643" s="3" t="s">
        <v>368</v>
      </c>
      <c r="C643" s="3" t="s">
        <v>58</v>
      </c>
      <c r="D643" s="3">
        <v>47</v>
      </c>
      <c r="E643" s="3" t="s">
        <v>37</v>
      </c>
      <c r="F643" s="3" t="s">
        <v>91</v>
      </c>
      <c r="G643" s="3" t="s">
        <v>171</v>
      </c>
      <c r="H643" s="3" t="s">
        <v>28</v>
      </c>
      <c r="I643" s="3" t="s">
        <v>68</v>
      </c>
      <c r="J643" s="6">
        <v>43292</v>
      </c>
      <c r="K643" s="3" t="s">
        <v>30</v>
      </c>
      <c r="L643" s="3" t="s">
        <v>31</v>
      </c>
      <c r="M643" s="3">
        <v>81800</v>
      </c>
      <c r="N643" s="3">
        <v>26</v>
      </c>
      <c r="O643" s="3">
        <v>93.6</v>
      </c>
      <c r="P643" s="3">
        <v>1</v>
      </c>
      <c r="Q643" s="3">
        <v>3</v>
      </c>
      <c r="R643" s="3">
        <v>1</v>
      </c>
      <c r="S643" s="3">
        <v>18</v>
      </c>
      <c r="T643" s="3">
        <v>27</v>
      </c>
      <c r="U643" s="3" t="s">
        <v>104</v>
      </c>
      <c r="V643" s="3">
        <v>6817</v>
      </c>
      <c r="W643" s="3">
        <v>8.1</v>
      </c>
      <c r="X643" s="3" t="s">
        <v>54</v>
      </c>
      <c r="Y643" s="7" t="s">
        <v>75</v>
      </c>
    </row>
    <row r="644" spans="1:25" x14ac:dyDescent="0.3">
      <c r="A644" s="5" t="s">
        <v>956</v>
      </c>
      <c r="B644" s="3" t="s">
        <v>957</v>
      </c>
      <c r="C644" s="3" t="s">
        <v>58</v>
      </c>
      <c r="D644" s="3">
        <v>49</v>
      </c>
      <c r="E644" s="3" t="s">
        <v>71</v>
      </c>
      <c r="F644" s="3" t="s">
        <v>38</v>
      </c>
      <c r="G644" s="3" t="s">
        <v>122</v>
      </c>
      <c r="H644" s="3" t="s">
        <v>115</v>
      </c>
      <c r="I644" s="3" t="s">
        <v>86</v>
      </c>
      <c r="J644" s="6">
        <v>44103</v>
      </c>
      <c r="K644" s="3" t="s">
        <v>30</v>
      </c>
      <c r="L644" s="3" t="s">
        <v>93</v>
      </c>
      <c r="M644" s="3">
        <v>25300</v>
      </c>
      <c r="N644" s="3">
        <v>29</v>
      </c>
      <c r="O644" s="3">
        <v>98.8</v>
      </c>
      <c r="P644" s="3">
        <v>8</v>
      </c>
      <c r="Q644" s="3">
        <v>0</v>
      </c>
      <c r="R644" s="3">
        <v>1</v>
      </c>
      <c r="S644" s="3">
        <v>22</v>
      </c>
      <c r="T644" s="3">
        <v>21</v>
      </c>
      <c r="U644" s="3" t="s">
        <v>94</v>
      </c>
      <c r="V644" s="3">
        <v>2108</v>
      </c>
      <c r="W644" s="3">
        <v>5.8</v>
      </c>
      <c r="X644" s="3" t="s">
        <v>54</v>
      </c>
      <c r="Y644" s="7" t="s">
        <v>42</v>
      </c>
    </row>
    <row r="645" spans="1:25" x14ac:dyDescent="0.3">
      <c r="A645" s="5" t="s">
        <v>958</v>
      </c>
      <c r="B645" s="3" t="s">
        <v>631</v>
      </c>
      <c r="C645" s="3" t="s">
        <v>24</v>
      </c>
      <c r="D645" s="3">
        <v>46</v>
      </c>
      <c r="E645" s="3" t="s">
        <v>71</v>
      </c>
      <c r="F645" s="3" t="s">
        <v>91</v>
      </c>
      <c r="G645" s="3" t="s">
        <v>80</v>
      </c>
      <c r="H645" s="3" t="s">
        <v>28</v>
      </c>
      <c r="I645" s="3" t="s">
        <v>92</v>
      </c>
      <c r="J645" s="6">
        <v>44402</v>
      </c>
      <c r="K645" s="3" t="s">
        <v>30</v>
      </c>
      <c r="L645" s="3" t="s">
        <v>53</v>
      </c>
      <c r="M645" s="3">
        <v>33300</v>
      </c>
      <c r="N645" s="3">
        <v>26</v>
      </c>
      <c r="O645" s="3">
        <v>88.6</v>
      </c>
      <c r="P645" s="3">
        <v>0</v>
      </c>
      <c r="Q645" s="3">
        <v>6</v>
      </c>
      <c r="R645" s="3">
        <v>1</v>
      </c>
      <c r="S645" s="3">
        <v>6</v>
      </c>
      <c r="T645" s="3">
        <v>30</v>
      </c>
      <c r="U645" s="3" t="s">
        <v>130</v>
      </c>
      <c r="V645" s="3">
        <v>2775</v>
      </c>
      <c r="W645" s="3">
        <v>5</v>
      </c>
      <c r="X645" s="3" t="s">
        <v>54</v>
      </c>
      <c r="Y645" s="7" t="s">
        <v>42</v>
      </c>
    </row>
    <row r="646" spans="1:25" x14ac:dyDescent="0.3">
      <c r="A646" s="5" t="s">
        <v>959</v>
      </c>
      <c r="B646" s="3" t="s">
        <v>100</v>
      </c>
      <c r="C646" s="3" t="s">
        <v>24</v>
      </c>
      <c r="D646" s="3">
        <v>28</v>
      </c>
      <c r="E646" s="3" t="s">
        <v>71</v>
      </c>
      <c r="F646" s="3" t="s">
        <v>91</v>
      </c>
      <c r="G646" s="3" t="s">
        <v>122</v>
      </c>
      <c r="H646" s="3" t="s">
        <v>28</v>
      </c>
      <c r="I646" s="3" t="s">
        <v>40</v>
      </c>
      <c r="J646" s="6">
        <v>44668</v>
      </c>
      <c r="K646" s="3" t="s">
        <v>30</v>
      </c>
      <c r="L646" s="3" t="s">
        <v>93</v>
      </c>
      <c r="M646" s="3">
        <v>18000</v>
      </c>
      <c r="N646" s="3">
        <v>6</v>
      </c>
      <c r="O646" s="3">
        <v>100</v>
      </c>
      <c r="P646" s="3">
        <v>1</v>
      </c>
      <c r="Q646" s="3">
        <v>14</v>
      </c>
      <c r="R646" s="3">
        <v>3</v>
      </c>
      <c r="S646" s="3">
        <v>25</v>
      </c>
      <c r="T646" s="3">
        <v>8</v>
      </c>
      <c r="U646" s="3" t="s">
        <v>130</v>
      </c>
      <c r="V646" s="3">
        <v>1500</v>
      </c>
      <c r="W646" s="3">
        <v>4.3</v>
      </c>
      <c r="X646" s="3" t="s">
        <v>95</v>
      </c>
      <c r="Y646" s="7" t="s">
        <v>42</v>
      </c>
    </row>
    <row r="647" spans="1:25" x14ac:dyDescent="0.3">
      <c r="A647" s="5" t="s">
        <v>960</v>
      </c>
      <c r="B647" s="3" t="s">
        <v>50</v>
      </c>
      <c r="C647" s="3" t="s">
        <v>24</v>
      </c>
      <c r="D647" s="3">
        <v>45</v>
      </c>
      <c r="E647" s="3" t="s">
        <v>137</v>
      </c>
      <c r="F647" s="3" t="s">
        <v>52</v>
      </c>
      <c r="G647" s="3" t="s">
        <v>27</v>
      </c>
      <c r="H647" s="3" t="s">
        <v>28</v>
      </c>
      <c r="I647" s="3" t="s">
        <v>73</v>
      </c>
      <c r="J647" s="6">
        <v>45323</v>
      </c>
      <c r="K647" s="3" t="s">
        <v>87</v>
      </c>
      <c r="L647" s="3" t="s">
        <v>53</v>
      </c>
      <c r="M647" s="3">
        <v>85400</v>
      </c>
      <c r="N647" s="3">
        <v>23</v>
      </c>
      <c r="O647" s="3">
        <v>91.2</v>
      </c>
      <c r="P647" s="3">
        <v>2</v>
      </c>
      <c r="Q647" s="3">
        <v>4</v>
      </c>
      <c r="R647" s="3">
        <v>3</v>
      </c>
      <c r="S647" s="3">
        <v>14</v>
      </c>
      <c r="T647" s="3">
        <v>7</v>
      </c>
      <c r="U647" s="3" t="s">
        <v>41</v>
      </c>
      <c r="V647" s="3">
        <v>7117</v>
      </c>
      <c r="W647" s="3">
        <v>2.5</v>
      </c>
      <c r="X647" s="3" t="s">
        <v>54</v>
      </c>
      <c r="Y647" s="7" t="s">
        <v>55</v>
      </c>
    </row>
    <row r="648" spans="1:25" x14ac:dyDescent="0.3">
      <c r="A648" s="5" t="s">
        <v>961</v>
      </c>
      <c r="B648" s="3" t="s">
        <v>962</v>
      </c>
      <c r="C648" s="3" t="s">
        <v>58</v>
      </c>
      <c r="D648" s="3">
        <v>21</v>
      </c>
      <c r="E648" s="3" t="s">
        <v>83</v>
      </c>
      <c r="F648" s="3" t="s">
        <v>26</v>
      </c>
      <c r="G648" s="3" t="s">
        <v>80</v>
      </c>
      <c r="H648" s="3" t="s">
        <v>115</v>
      </c>
      <c r="I648" s="3" t="s">
        <v>40</v>
      </c>
      <c r="J648" s="6">
        <v>44894</v>
      </c>
      <c r="K648" s="3" t="s">
        <v>30</v>
      </c>
      <c r="L648" s="3" t="s">
        <v>31</v>
      </c>
      <c r="M648" s="3">
        <v>57400</v>
      </c>
      <c r="N648" s="3">
        <v>0</v>
      </c>
      <c r="O648" s="3">
        <v>96</v>
      </c>
      <c r="P648" s="3">
        <v>1</v>
      </c>
      <c r="Q648" s="3">
        <v>1</v>
      </c>
      <c r="R648" s="3">
        <v>4</v>
      </c>
      <c r="S648" s="3">
        <v>27</v>
      </c>
      <c r="T648" s="3">
        <v>16</v>
      </c>
      <c r="U648" s="3" t="s">
        <v>104</v>
      </c>
      <c r="V648" s="3">
        <v>4783</v>
      </c>
      <c r="W648" s="3">
        <v>3.7</v>
      </c>
      <c r="X648" s="3" t="s">
        <v>48</v>
      </c>
      <c r="Y648" s="7" t="s">
        <v>42</v>
      </c>
    </row>
    <row r="649" spans="1:25" x14ac:dyDescent="0.3">
      <c r="A649" s="5" t="s">
        <v>963</v>
      </c>
      <c r="B649" s="3" t="s">
        <v>127</v>
      </c>
      <c r="C649" s="3" t="s">
        <v>24</v>
      </c>
      <c r="D649" s="3">
        <v>33</v>
      </c>
      <c r="E649" s="3" t="s">
        <v>160</v>
      </c>
      <c r="F649" s="3" t="s">
        <v>26</v>
      </c>
      <c r="G649" s="3" t="s">
        <v>39</v>
      </c>
      <c r="H649" s="3" t="s">
        <v>28</v>
      </c>
      <c r="I649" s="3" t="s">
        <v>68</v>
      </c>
      <c r="J649" s="6">
        <v>43735</v>
      </c>
      <c r="K649" s="3" t="s">
        <v>87</v>
      </c>
      <c r="L649" s="3" t="s">
        <v>31</v>
      </c>
      <c r="M649" s="3">
        <v>41400</v>
      </c>
      <c r="N649" s="3">
        <v>13</v>
      </c>
      <c r="O649" s="3">
        <v>93.7</v>
      </c>
      <c r="P649" s="3">
        <v>0</v>
      </c>
      <c r="Q649" s="3">
        <v>13</v>
      </c>
      <c r="R649" s="3">
        <v>0</v>
      </c>
      <c r="S649" s="3">
        <v>20</v>
      </c>
      <c r="T649" s="3">
        <v>28</v>
      </c>
      <c r="U649" s="3" t="s">
        <v>104</v>
      </c>
      <c r="V649" s="3">
        <v>3450</v>
      </c>
      <c r="W649" s="3">
        <v>6.8</v>
      </c>
      <c r="X649" s="3" t="s">
        <v>33</v>
      </c>
      <c r="Y649" s="7" t="s">
        <v>42</v>
      </c>
    </row>
    <row r="650" spans="1:25" x14ac:dyDescent="0.3">
      <c r="A650" s="5" t="s">
        <v>964</v>
      </c>
      <c r="B650" s="3" t="s">
        <v>278</v>
      </c>
      <c r="C650" s="3" t="s">
        <v>58</v>
      </c>
      <c r="D650" s="3">
        <v>26</v>
      </c>
      <c r="E650" s="3" t="s">
        <v>101</v>
      </c>
      <c r="F650" s="3" t="s">
        <v>66</v>
      </c>
      <c r="G650" s="3" t="s">
        <v>39</v>
      </c>
      <c r="H650" s="3" t="s">
        <v>28</v>
      </c>
      <c r="I650" s="3" t="s">
        <v>68</v>
      </c>
      <c r="J650" s="6">
        <v>43185</v>
      </c>
      <c r="K650" s="3" t="s">
        <v>30</v>
      </c>
      <c r="L650" s="3" t="s">
        <v>53</v>
      </c>
      <c r="M650" s="3">
        <v>30300</v>
      </c>
      <c r="N650" s="3">
        <v>7</v>
      </c>
      <c r="O650" s="3">
        <v>86</v>
      </c>
      <c r="P650" s="3">
        <v>7</v>
      </c>
      <c r="Q650" s="3">
        <v>10</v>
      </c>
      <c r="R650" s="3">
        <v>3</v>
      </c>
      <c r="S650" s="3">
        <v>30</v>
      </c>
      <c r="T650" s="3">
        <v>16</v>
      </c>
      <c r="U650" s="3" t="s">
        <v>94</v>
      </c>
      <c r="V650" s="3">
        <v>2525</v>
      </c>
      <c r="W650" s="3">
        <v>8.4</v>
      </c>
      <c r="X650" s="3" t="s">
        <v>95</v>
      </c>
      <c r="Y650" s="7" t="s">
        <v>55</v>
      </c>
    </row>
    <row r="651" spans="1:25" x14ac:dyDescent="0.3">
      <c r="A651" s="5" t="s">
        <v>965</v>
      </c>
      <c r="B651" s="3" t="s">
        <v>599</v>
      </c>
      <c r="C651" s="3" t="s">
        <v>58</v>
      </c>
      <c r="D651" s="3">
        <v>36</v>
      </c>
      <c r="E651" s="3" t="s">
        <v>160</v>
      </c>
      <c r="F651" s="3" t="s">
        <v>72</v>
      </c>
      <c r="G651" s="3" t="s">
        <v>80</v>
      </c>
      <c r="H651" s="3" t="s">
        <v>28</v>
      </c>
      <c r="I651" s="3" t="s">
        <v>47</v>
      </c>
      <c r="J651" s="6">
        <v>45112</v>
      </c>
      <c r="K651" s="3" t="s">
        <v>30</v>
      </c>
      <c r="L651" s="3" t="s">
        <v>53</v>
      </c>
      <c r="M651" s="3">
        <v>69400</v>
      </c>
      <c r="N651" s="3">
        <v>12</v>
      </c>
      <c r="O651" s="3">
        <v>91.1</v>
      </c>
      <c r="P651" s="3">
        <v>0</v>
      </c>
      <c r="Q651" s="3">
        <v>13</v>
      </c>
      <c r="R651" s="3">
        <v>3</v>
      </c>
      <c r="S651" s="3">
        <v>8</v>
      </c>
      <c r="T651" s="3">
        <v>25</v>
      </c>
      <c r="U651" s="3" t="s">
        <v>94</v>
      </c>
      <c r="V651" s="3">
        <v>5783</v>
      </c>
      <c r="W651" s="3">
        <v>3.1</v>
      </c>
      <c r="X651" s="3" t="s">
        <v>108</v>
      </c>
      <c r="Y651" s="7" t="s">
        <v>42</v>
      </c>
    </row>
    <row r="652" spans="1:25" x14ac:dyDescent="0.3">
      <c r="A652" s="5" t="s">
        <v>966</v>
      </c>
      <c r="B652" s="3" t="s">
        <v>284</v>
      </c>
      <c r="C652" s="3" t="s">
        <v>58</v>
      </c>
      <c r="D652" s="3">
        <v>43</v>
      </c>
      <c r="E652" s="3" t="s">
        <v>37</v>
      </c>
      <c r="F652" s="3" t="s">
        <v>26</v>
      </c>
      <c r="G652" s="3" t="s">
        <v>171</v>
      </c>
      <c r="H652" s="3" t="s">
        <v>28</v>
      </c>
      <c r="I652" s="3" t="s">
        <v>107</v>
      </c>
      <c r="J652" s="6">
        <v>46096</v>
      </c>
      <c r="K652" s="3" t="s">
        <v>61</v>
      </c>
      <c r="L652" s="3" t="s">
        <v>31</v>
      </c>
      <c r="M652" s="3">
        <v>126000</v>
      </c>
      <c r="N652" s="3">
        <v>21</v>
      </c>
      <c r="O652" s="3">
        <v>98.4</v>
      </c>
      <c r="P652" s="3">
        <v>4</v>
      </c>
      <c r="Q652" s="3">
        <v>8</v>
      </c>
      <c r="R652" s="3">
        <v>1</v>
      </c>
      <c r="S652" s="3">
        <v>26</v>
      </c>
      <c r="T652" s="3">
        <v>18</v>
      </c>
      <c r="U652" s="3" t="s">
        <v>104</v>
      </c>
      <c r="V652" s="3">
        <v>10500</v>
      </c>
      <c r="W652" s="3">
        <v>0.4</v>
      </c>
      <c r="X652" s="3" t="s">
        <v>62</v>
      </c>
      <c r="Y652" s="7" t="s">
        <v>42</v>
      </c>
    </row>
    <row r="653" spans="1:25" x14ac:dyDescent="0.3">
      <c r="A653" s="5" t="s">
        <v>967</v>
      </c>
      <c r="B653" s="3" t="s">
        <v>271</v>
      </c>
      <c r="C653" s="3" t="s">
        <v>58</v>
      </c>
      <c r="D653" s="3">
        <v>39</v>
      </c>
      <c r="E653" s="3" t="s">
        <v>160</v>
      </c>
      <c r="F653" s="3" t="s">
        <v>26</v>
      </c>
      <c r="G653" s="3" t="s">
        <v>46</v>
      </c>
      <c r="H653" s="3" t="s">
        <v>28</v>
      </c>
      <c r="I653" s="3" t="s">
        <v>92</v>
      </c>
      <c r="J653" s="6">
        <v>43828</v>
      </c>
      <c r="K653" s="3" t="s">
        <v>87</v>
      </c>
      <c r="L653" s="3" t="s">
        <v>93</v>
      </c>
      <c r="M653" s="3">
        <v>71000</v>
      </c>
      <c r="N653" s="3">
        <v>18</v>
      </c>
      <c r="O653" s="3">
        <v>87.1</v>
      </c>
      <c r="P653" s="3">
        <v>5</v>
      </c>
      <c r="Q653" s="3">
        <v>7</v>
      </c>
      <c r="R653" s="3">
        <v>1</v>
      </c>
      <c r="S653" s="3">
        <v>28</v>
      </c>
      <c r="T653" s="3">
        <v>11</v>
      </c>
      <c r="U653" s="3" t="s">
        <v>74</v>
      </c>
      <c r="V653" s="3">
        <v>5917</v>
      </c>
      <c r="W653" s="3">
        <v>6.6</v>
      </c>
      <c r="X653" s="3" t="s">
        <v>108</v>
      </c>
      <c r="Y653" s="7" t="s">
        <v>75</v>
      </c>
    </row>
    <row r="654" spans="1:25" x14ac:dyDescent="0.3">
      <c r="A654" s="5" t="s">
        <v>968</v>
      </c>
      <c r="B654" s="3" t="s">
        <v>742</v>
      </c>
      <c r="C654" s="3" t="s">
        <v>24</v>
      </c>
      <c r="D654" s="3">
        <v>27</v>
      </c>
      <c r="E654" s="3" t="s">
        <v>25</v>
      </c>
      <c r="F654" s="3" t="s">
        <v>38</v>
      </c>
      <c r="G654" s="3" t="s">
        <v>27</v>
      </c>
      <c r="H654" s="3" t="s">
        <v>28</v>
      </c>
      <c r="I654" s="3" t="s">
        <v>73</v>
      </c>
      <c r="J654" s="6">
        <v>46186</v>
      </c>
      <c r="K654" s="3" t="s">
        <v>30</v>
      </c>
      <c r="L654" s="3" t="s">
        <v>53</v>
      </c>
      <c r="M654" s="3">
        <v>83400</v>
      </c>
      <c r="N654" s="3">
        <v>5</v>
      </c>
      <c r="O654" s="3">
        <v>97.8</v>
      </c>
      <c r="P654" s="3">
        <v>6</v>
      </c>
      <c r="Q654" s="3">
        <v>9</v>
      </c>
      <c r="R654" s="3">
        <v>2</v>
      </c>
      <c r="S654" s="3">
        <v>9</v>
      </c>
      <c r="T654" s="3">
        <v>19</v>
      </c>
      <c r="U654" s="3" t="s">
        <v>32</v>
      </c>
      <c r="V654" s="3">
        <v>6950</v>
      </c>
      <c r="W654" s="3">
        <v>0.1</v>
      </c>
      <c r="X654" s="3" t="s">
        <v>95</v>
      </c>
      <c r="Y654" s="7" t="s">
        <v>42</v>
      </c>
    </row>
    <row r="655" spans="1:25" x14ac:dyDescent="0.3">
      <c r="A655" s="5" t="s">
        <v>969</v>
      </c>
      <c r="B655" s="3" t="s">
        <v>103</v>
      </c>
      <c r="C655" s="3" t="s">
        <v>58</v>
      </c>
      <c r="D655" s="3">
        <v>43</v>
      </c>
      <c r="E655" s="3" t="s">
        <v>160</v>
      </c>
      <c r="F655" s="3" t="s">
        <v>60</v>
      </c>
      <c r="G655" s="3" t="s">
        <v>80</v>
      </c>
      <c r="H655" s="3" t="s">
        <v>28</v>
      </c>
      <c r="I655" s="3" t="s">
        <v>107</v>
      </c>
      <c r="J655" s="6">
        <v>44161</v>
      </c>
      <c r="K655" s="3" t="s">
        <v>30</v>
      </c>
      <c r="L655" s="3" t="s">
        <v>53</v>
      </c>
      <c r="M655" s="3">
        <v>63700</v>
      </c>
      <c r="N655" s="3">
        <v>24</v>
      </c>
      <c r="O655" s="3">
        <v>94.3</v>
      </c>
      <c r="P655" s="3">
        <v>2</v>
      </c>
      <c r="Q655" s="3">
        <v>6</v>
      </c>
      <c r="R655" s="3">
        <v>2</v>
      </c>
      <c r="S655" s="3">
        <v>7</v>
      </c>
      <c r="T655" s="3">
        <v>12</v>
      </c>
      <c r="U655" s="3" t="s">
        <v>123</v>
      </c>
      <c r="V655" s="3">
        <v>5308</v>
      </c>
      <c r="W655" s="3">
        <v>5.7</v>
      </c>
      <c r="X655" s="3" t="s">
        <v>62</v>
      </c>
      <c r="Y655" s="7" t="s">
        <v>42</v>
      </c>
    </row>
    <row r="656" spans="1:25" x14ac:dyDescent="0.3">
      <c r="A656" s="5" t="s">
        <v>970</v>
      </c>
      <c r="B656" s="3" t="s">
        <v>499</v>
      </c>
      <c r="C656" s="3" t="s">
        <v>24</v>
      </c>
      <c r="D656" s="3">
        <v>39</v>
      </c>
      <c r="E656" s="3" t="s">
        <v>83</v>
      </c>
      <c r="F656" s="3" t="s">
        <v>72</v>
      </c>
      <c r="G656" s="3" t="s">
        <v>122</v>
      </c>
      <c r="H656" s="3" t="s">
        <v>67</v>
      </c>
      <c r="I656" s="3" t="s">
        <v>29</v>
      </c>
      <c r="J656" s="6">
        <v>46199</v>
      </c>
      <c r="K656" s="3" t="s">
        <v>87</v>
      </c>
      <c r="L656" s="3" t="s">
        <v>93</v>
      </c>
      <c r="M656" s="3">
        <v>26300</v>
      </c>
      <c r="N656" s="3">
        <v>17</v>
      </c>
      <c r="O656" s="3">
        <v>84.5</v>
      </c>
      <c r="P656" s="3">
        <v>6</v>
      </c>
      <c r="Q656" s="3">
        <v>14</v>
      </c>
      <c r="R656" s="3">
        <v>2</v>
      </c>
      <c r="S656" s="3">
        <v>8</v>
      </c>
      <c r="T656" s="3">
        <v>28</v>
      </c>
      <c r="U656" s="3" t="s">
        <v>94</v>
      </c>
      <c r="V656" s="3">
        <v>2192</v>
      </c>
      <c r="W656" s="3">
        <v>0.1</v>
      </c>
      <c r="X656" s="3" t="s">
        <v>108</v>
      </c>
      <c r="Y656" s="7" t="s">
        <v>42</v>
      </c>
    </row>
    <row r="657" spans="1:25" x14ac:dyDescent="0.3">
      <c r="A657" s="5" t="s">
        <v>971</v>
      </c>
      <c r="B657" s="3" t="s">
        <v>77</v>
      </c>
      <c r="C657" s="3" t="s">
        <v>24</v>
      </c>
      <c r="D657" s="3">
        <v>23</v>
      </c>
      <c r="E657" s="3" t="s">
        <v>59</v>
      </c>
      <c r="F657" s="3" t="s">
        <v>52</v>
      </c>
      <c r="G657" s="3" t="s">
        <v>171</v>
      </c>
      <c r="H657" s="3" t="s">
        <v>28</v>
      </c>
      <c r="I657" s="3" t="s">
        <v>47</v>
      </c>
      <c r="J657" s="6">
        <v>44788</v>
      </c>
      <c r="K657" s="3" t="s">
        <v>30</v>
      </c>
      <c r="L657" s="3" t="s">
        <v>31</v>
      </c>
      <c r="M657" s="3">
        <v>123400</v>
      </c>
      <c r="N657" s="3">
        <v>4</v>
      </c>
      <c r="O657" s="3">
        <v>91</v>
      </c>
      <c r="P657" s="3">
        <v>7</v>
      </c>
      <c r="Q657" s="3">
        <v>12</v>
      </c>
      <c r="R657" s="3">
        <v>3</v>
      </c>
      <c r="S657" s="3">
        <v>10</v>
      </c>
      <c r="T657" s="3">
        <v>19</v>
      </c>
      <c r="U657" s="3" t="s">
        <v>123</v>
      </c>
      <c r="V657" s="3">
        <v>10283</v>
      </c>
      <c r="W657" s="3">
        <v>4</v>
      </c>
      <c r="X657" s="3" t="s">
        <v>48</v>
      </c>
      <c r="Y657" s="7" t="s">
        <v>55</v>
      </c>
    </row>
    <row r="658" spans="1:25" x14ac:dyDescent="0.3">
      <c r="A658" s="5" t="s">
        <v>972</v>
      </c>
      <c r="B658" s="3" t="s">
        <v>867</v>
      </c>
      <c r="C658" s="3" t="s">
        <v>58</v>
      </c>
      <c r="D658" s="3">
        <v>24</v>
      </c>
      <c r="E658" s="3" t="s">
        <v>83</v>
      </c>
      <c r="F658" s="3" t="s">
        <v>52</v>
      </c>
      <c r="G658" s="3" t="s">
        <v>122</v>
      </c>
      <c r="H658" s="3" t="s">
        <v>28</v>
      </c>
      <c r="I658" s="3" t="s">
        <v>86</v>
      </c>
      <c r="J658" s="6">
        <v>44700</v>
      </c>
      <c r="K658" s="3" t="s">
        <v>30</v>
      </c>
      <c r="L658" s="3" t="s">
        <v>53</v>
      </c>
      <c r="M658" s="3">
        <v>18500</v>
      </c>
      <c r="N658" s="3">
        <v>2</v>
      </c>
      <c r="O658" s="3">
        <v>90.8</v>
      </c>
      <c r="P658" s="3">
        <v>2</v>
      </c>
      <c r="Q658" s="3">
        <v>14</v>
      </c>
      <c r="R658" s="3">
        <v>2</v>
      </c>
      <c r="S658" s="3">
        <v>21</v>
      </c>
      <c r="T658" s="3">
        <v>3</v>
      </c>
      <c r="U658" s="3" t="s">
        <v>94</v>
      </c>
      <c r="V658" s="3">
        <v>1542</v>
      </c>
      <c r="W658" s="3">
        <v>4.2</v>
      </c>
      <c r="X658" s="3" t="s">
        <v>48</v>
      </c>
      <c r="Y658" s="7" t="s">
        <v>75</v>
      </c>
    </row>
    <row r="659" spans="1:25" x14ac:dyDescent="0.3">
      <c r="A659" s="5" t="s">
        <v>973</v>
      </c>
      <c r="B659" s="3" t="s">
        <v>687</v>
      </c>
      <c r="C659" s="3" t="s">
        <v>24</v>
      </c>
      <c r="D659" s="3">
        <v>32</v>
      </c>
      <c r="E659" s="3" t="s">
        <v>160</v>
      </c>
      <c r="F659" s="3" t="s">
        <v>72</v>
      </c>
      <c r="G659" s="3" t="s">
        <v>171</v>
      </c>
      <c r="H659" s="3" t="s">
        <v>28</v>
      </c>
      <c r="I659" s="3" t="s">
        <v>40</v>
      </c>
      <c r="J659" s="6">
        <v>43170</v>
      </c>
      <c r="K659" s="3" t="s">
        <v>30</v>
      </c>
      <c r="L659" s="3" t="s">
        <v>53</v>
      </c>
      <c r="M659" s="3">
        <v>134600</v>
      </c>
      <c r="N659" s="3">
        <v>12</v>
      </c>
      <c r="O659" s="3">
        <v>85.9</v>
      </c>
      <c r="P659" s="3">
        <v>4</v>
      </c>
      <c r="Q659" s="3">
        <v>8</v>
      </c>
      <c r="R659" s="3">
        <v>0</v>
      </c>
      <c r="S659" s="3">
        <v>7</v>
      </c>
      <c r="T659" s="3">
        <v>4</v>
      </c>
      <c r="U659" s="3" t="s">
        <v>94</v>
      </c>
      <c r="V659" s="3">
        <v>11217</v>
      </c>
      <c r="W659" s="3">
        <v>8.4</v>
      </c>
      <c r="X659" s="3" t="s">
        <v>33</v>
      </c>
      <c r="Y659" s="7" t="s">
        <v>42</v>
      </c>
    </row>
    <row r="660" spans="1:25" x14ac:dyDescent="0.3">
      <c r="A660" s="5" t="s">
        <v>974</v>
      </c>
      <c r="B660" s="3" t="s">
        <v>846</v>
      </c>
      <c r="C660" s="3" t="s">
        <v>24</v>
      </c>
      <c r="D660" s="3">
        <v>26</v>
      </c>
      <c r="E660" s="3" t="s">
        <v>78</v>
      </c>
      <c r="F660" s="3" t="s">
        <v>60</v>
      </c>
      <c r="G660" s="3" t="s">
        <v>80</v>
      </c>
      <c r="H660" s="3" t="s">
        <v>28</v>
      </c>
      <c r="I660" s="3" t="s">
        <v>47</v>
      </c>
      <c r="J660" s="6">
        <v>43254</v>
      </c>
      <c r="K660" s="3" t="s">
        <v>61</v>
      </c>
      <c r="L660" s="3" t="s">
        <v>31</v>
      </c>
      <c r="M660" s="3">
        <v>59700</v>
      </c>
      <c r="N660" s="3">
        <v>7</v>
      </c>
      <c r="O660" s="3">
        <v>92.5</v>
      </c>
      <c r="P660" s="3">
        <v>0</v>
      </c>
      <c r="Q660" s="3">
        <v>9</v>
      </c>
      <c r="R660" s="3">
        <v>2</v>
      </c>
      <c r="S660" s="3">
        <v>25</v>
      </c>
      <c r="T660" s="3">
        <v>7</v>
      </c>
      <c r="U660" s="3" t="s">
        <v>94</v>
      </c>
      <c r="V660" s="3">
        <v>4975</v>
      </c>
      <c r="W660" s="3">
        <v>8.1999999999999993</v>
      </c>
      <c r="X660" s="3" t="s">
        <v>95</v>
      </c>
      <c r="Y660" s="7" t="s">
        <v>42</v>
      </c>
    </row>
    <row r="661" spans="1:25" x14ac:dyDescent="0.3">
      <c r="A661" s="5" t="s">
        <v>975</v>
      </c>
      <c r="B661" s="3" t="s">
        <v>424</v>
      </c>
      <c r="C661" s="3" t="s">
        <v>58</v>
      </c>
      <c r="D661" s="3">
        <v>25</v>
      </c>
      <c r="E661" s="3" t="s">
        <v>98</v>
      </c>
      <c r="F661" s="3" t="s">
        <v>79</v>
      </c>
      <c r="G661" s="3" t="s">
        <v>122</v>
      </c>
      <c r="H661" s="3" t="s">
        <v>115</v>
      </c>
      <c r="I661" s="3" t="s">
        <v>73</v>
      </c>
      <c r="J661" s="6">
        <v>44562</v>
      </c>
      <c r="K661" s="3" t="s">
        <v>30</v>
      </c>
      <c r="L661" s="3" t="s">
        <v>31</v>
      </c>
      <c r="M661" s="3">
        <v>20000</v>
      </c>
      <c r="N661" s="3">
        <v>1</v>
      </c>
      <c r="O661" s="3">
        <v>84.2</v>
      </c>
      <c r="P661" s="3">
        <v>8</v>
      </c>
      <c r="Q661" s="3">
        <v>1</v>
      </c>
      <c r="R661" s="3">
        <v>4</v>
      </c>
      <c r="S661" s="3">
        <v>17</v>
      </c>
      <c r="T661" s="3">
        <v>4</v>
      </c>
      <c r="U661" s="3" t="s">
        <v>94</v>
      </c>
      <c r="V661" s="3">
        <v>1667</v>
      </c>
      <c r="W661" s="3">
        <v>4.5999999999999996</v>
      </c>
      <c r="X661" s="3" t="s">
        <v>95</v>
      </c>
      <c r="Y661" s="7" t="s">
        <v>42</v>
      </c>
    </row>
    <row r="662" spans="1:25" x14ac:dyDescent="0.3">
      <c r="A662" s="5" t="s">
        <v>976</v>
      </c>
      <c r="B662" s="3" t="s">
        <v>391</v>
      </c>
      <c r="C662" s="3" t="s">
        <v>58</v>
      </c>
      <c r="D662" s="3">
        <v>36</v>
      </c>
      <c r="E662" s="3" t="s">
        <v>65</v>
      </c>
      <c r="F662" s="3" t="s">
        <v>66</v>
      </c>
      <c r="G662" s="3" t="s">
        <v>46</v>
      </c>
      <c r="H662" s="3" t="s">
        <v>28</v>
      </c>
      <c r="I662" s="3" t="s">
        <v>47</v>
      </c>
      <c r="J662" s="6">
        <v>45913</v>
      </c>
      <c r="K662" s="3" t="s">
        <v>30</v>
      </c>
      <c r="L662" s="3" t="s">
        <v>53</v>
      </c>
      <c r="M662" s="3">
        <v>65700</v>
      </c>
      <c r="N662" s="3">
        <v>14</v>
      </c>
      <c r="O662" s="3">
        <v>95.4</v>
      </c>
      <c r="P662" s="3">
        <v>7</v>
      </c>
      <c r="Q662" s="3">
        <v>13</v>
      </c>
      <c r="R662" s="3">
        <v>4</v>
      </c>
      <c r="S662" s="3">
        <v>4</v>
      </c>
      <c r="T662" s="3">
        <v>8</v>
      </c>
      <c r="U662" s="3" t="s">
        <v>74</v>
      </c>
      <c r="V662" s="3">
        <v>5475</v>
      </c>
      <c r="W662" s="3">
        <v>0.9</v>
      </c>
      <c r="X662" s="3" t="s">
        <v>108</v>
      </c>
      <c r="Y662" s="7" t="s">
        <v>42</v>
      </c>
    </row>
    <row r="663" spans="1:25" x14ac:dyDescent="0.3">
      <c r="A663" s="5" t="s">
        <v>977</v>
      </c>
      <c r="B663" s="3" t="s">
        <v>675</v>
      </c>
      <c r="C663" s="3" t="s">
        <v>24</v>
      </c>
      <c r="D663" s="3">
        <v>25</v>
      </c>
      <c r="E663" s="3" t="s">
        <v>45</v>
      </c>
      <c r="F663" s="3" t="s">
        <v>91</v>
      </c>
      <c r="G663" s="3" t="s">
        <v>171</v>
      </c>
      <c r="H663" s="3" t="s">
        <v>28</v>
      </c>
      <c r="I663" s="3" t="s">
        <v>92</v>
      </c>
      <c r="J663" s="6">
        <v>45419</v>
      </c>
      <c r="K663" s="3" t="s">
        <v>30</v>
      </c>
      <c r="L663" s="3" t="s">
        <v>31</v>
      </c>
      <c r="M663" s="3">
        <v>83100</v>
      </c>
      <c r="N663" s="3">
        <v>5</v>
      </c>
      <c r="O663" s="3">
        <v>86.6</v>
      </c>
      <c r="P663" s="3">
        <v>2</v>
      </c>
      <c r="Q663" s="3">
        <v>12</v>
      </c>
      <c r="R663" s="3">
        <v>1</v>
      </c>
      <c r="S663" s="3">
        <v>7</v>
      </c>
      <c r="T663" s="3">
        <v>4</v>
      </c>
      <c r="U663" s="3" t="s">
        <v>74</v>
      </c>
      <c r="V663" s="3">
        <v>6925</v>
      </c>
      <c r="W663" s="3">
        <v>2.2000000000000002</v>
      </c>
      <c r="X663" s="3" t="s">
        <v>95</v>
      </c>
      <c r="Y663" s="7" t="s">
        <v>55</v>
      </c>
    </row>
    <row r="664" spans="1:25" x14ac:dyDescent="0.3">
      <c r="A664" s="5" t="s">
        <v>978</v>
      </c>
      <c r="B664" s="3" t="s">
        <v>231</v>
      </c>
      <c r="C664" s="3" t="s">
        <v>24</v>
      </c>
      <c r="D664" s="3">
        <v>38</v>
      </c>
      <c r="E664" s="3" t="s">
        <v>65</v>
      </c>
      <c r="F664" s="3" t="s">
        <v>26</v>
      </c>
      <c r="G664" s="3" t="s">
        <v>171</v>
      </c>
      <c r="H664" s="3" t="s">
        <v>115</v>
      </c>
      <c r="I664" s="3" t="s">
        <v>68</v>
      </c>
      <c r="J664" s="6">
        <v>45689</v>
      </c>
      <c r="K664" s="3" t="s">
        <v>30</v>
      </c>
      <c r="L664" s="3" t="s">
        <v>31</v>
      </c>
      <c r="M664" s="3">
        <v>133000</v>
      </c>
      <c r="N664" s="3">
        <v>17</v>
      </c>
      <c r="O664" s="3">
        <v>89.4</v>
      </c>
      <c r="P664" s="3">
        <v>3</v>
      </c>
      <c r="Q664" s="3">
        <v>2</v>
      </c>
      <c r="R664" s="3">
        <v>3</v>
      </c>
      <c r="S664" s="3">
        <v>1</v>
      </c>
      <c r="T664" s="3">
        <v>16</v>
      </c>
      <c r="U664" s="3" t="s">
        <v>123</v>
      </c>
      <c r="V664" s="3">
        <v>11083</v>
      </c>
      <c r="W664" s="3">
        <v>1.5</v>
      </c>
      <c r="X664" s="3" t="s">
        <v>108</v>
      </c>
      <c r="Y664" s="7" t="s">
        <v>75</v>
      </c>
    </row>
    <row r="665" spans="1:25" x14ac:dyDescent="0.3">
      <c r="A665" s="5" t="s">
        <v>979</v>
      </c>
      <c r="B665" s="3" t="s">
        <v>103</v>
      </c>
      <c r="C665" s="3" t="s">
        <v>24</v>
      </c>
      <c r="D665" s="3">
        <v>44</v>
      </c>
      <c r="E665" s="3" t="s">
        <v>98</v>
      </c>
      <c r="F665" s="3" t="s">
        <v>52</v>
      </c>
      <c r="G665" s="3" t="s">
        <v>39</v>
      </c>
      <c r="H665" s="3" t="s">
        <v>28</v>
      </c>
      <c r="I665" s="3" t="s">
        <v>68</v>
      </c>
      <c r="J665" s="6">
        <v>45120</v>
      </c>
      <c r="K665" s="3" t="s">
        <v>30</v>
      </c>
      <c r="L665" s="3" t="s">
        <v>53</v>
      </c>
      <c r="M665" s="3">
        <v>38300</v>
      </c>
      <c r="N665" s="3">
        <v>20</v>
      </c>
      <c r="O665" s="3">
        <v>91</v>
      </c>
      <c r="P665" s="3">
        <v>0</v>
      </c>
      <c r="Q665" s="3">
        <v>8</v>
      </c>
      <c r="R665" s="3">
        <v>4</v>
      </c>
      <c r="S665" s="3">
        <v>30</v>
      </c>
      <c r="T665" s="3">
        <v>14</v>
      </c>
      <c r="U665" s="3" t="s">
        <v>104</v>
      </c>
      <c r="V665" s="3">
        <v>3192</v>
      </c>
      <c r="W665" s="3">
        <v>3.1</v>
      </c>
      <c r="X665" s="3" t="s">
        <v>62</v>
      </c>
      <c r="Y665" s="7" t="s">
        <v>55</v>
      </c>
    </row>
    <row r="666" spans="1:25" x14ac:dyDescent="0.3">
      <c r="A666" s="5" t="s">
        <v>980</v>
      </c>
      <c r="B666" s="3" t="s">
        <v>509</v>
      </c>
      <c r="C666" s="3" t="s">
        <v>24</v>
      </c>
      <c r="D666" s="3">
        <v>22</v>
      </c>
      <c r="E666" s="3" t="s">
        <v>83</v>
      </c>
      <c r="F666" s="3" t="s">
        <v>72</v>
      </c>
      <c r="G666" s="3" t="s">
        <v>39</v>
      </c>
      <c r="H666" s="3" t="s">
        <v>28</v>
      </c>
      <c r="I666" s="3" t="s">
        <v>68</v>
      </c>
      <c r="J666" s="6">
        <v>44198</v>
      </c>
      <c r="K666" s="3" t="s">
        <v>30</v>
      </c>
      <c r="L666" s="3" t="s">
        <v>53</v>
      </c>
      <c r="M666" s="3">
        <v>50000</v>
      </c>
      <c r="N666" s="3">
        <v>2</v>
      </c>
      <c r="O666" s="3">
        <v>98.6</v>
      </c>
      <c r="P666" s="3">
        <v>0</v>
      </c>
      <c r="Q666" s="3">
        <v>5</v>
      </c>
      <c r="R666" s="3">
        <v>0</v>
      </c>
      <c r="S666" s="3">
        <v>17</v>
      </c>
      <c r="T666" s="3">
        <v>7</v>
      </c>
      <c r="U666" s="3" t="s">
        <v>123</v>
      </c>
      <c r="V666" s="3">
        <v>4167</v>
      </c>
      <c r="W666" s="3">
        <v>5.6</v>
      </c>
      <c r="X666" s="3" t="s">
        <v>48</v>
      </c>
      <c r="Y666" s="7" t="s">
        <v>55</v>
      </c>
    </row>
    <row r="667" spans="1:25" x14ac:dyDescent="0.3">
      <c r="A667" s="5" t="s">
        <v>981</v>
      </c>
      <c r="B667" s="3" t="s">
        <v>613</v>
      </c>
      <c r="C667" s="3" t="s">
        <v>58</v>
      </c>
      <c r="D667" s="3">
        <v>28</v>
      </c>
      <c r="E667" s="3" t="s">
        <v>65</v>
      </c>
      <c r="F667" s="3" t="s">
        <v>91</v>
      </c>
      <c r="G667" s="3" t="s">
        <v>46</v>
      </c>
      <c r="H667" s="3" t="s">
        <v>28</v>
      </c>
      <c r="I667" s="3" t="s">
        <v>86</v>
      </c>
      <c r="J667" s="6">
        <v>43671</v>
      </c>
      <c r="K667" s="3" t="s">
        <v>30</v>
      </c>
      <c r="L667" s="3" t="s">
        <v>53</v>
      </c>
      <c r="M667" s="3">
        <v>47500</v>
      </c>
      <c r="N667" s="3">
        <v>9</v>
      </c>
      <c r="O667" s="3">
        <v>84.7</v>
      </c>
      <c r="P667" s="3">
        <v>5</v>
      </c>
      <c r="Q667" s="3">
        <v>1</v>
      </c>
      <c r="R667" s="3">
        <v>1</v>
      </c>
      <c r="S667" s="3">
        <v>18</v>
      </c>
      <c r="T667" s="3">
        <v>3</v>
      </c>
      <c r="U667" s="3" t="s">
        <v>74</v>
      </c>
      <c r="V667" s="3">
        <v>3958</v>
      </c>
      <c r="W667" s="3">
        <v>7</v>
      </c>
      <c r="X667" s="3" t="s">
        <v>95</v>
      </c>
      <c r="Y667" s="7" t="s">
        <v>42</v>
      </c>
    </row>
    <row r="668" spans="1:25" x14ac:dyDescent="0.3">
      <c r="A668" s="5" t="s">
        <v>982</v>
      </c>
      <c r="B668" s="3" t="s">
        <v>264</v>
      </c>
      <c r="C668" s="3" t="s">
        <v>58</v>
      </c>
      <c r="D668" s="3">
        <v>40</v>
      </c>
      <c r="E668" s="3" t="s">
        <v>45</v>
      </c>
      <c r="F668" s="3" t="s">
        <v>38</v>
      </c>
      <c r="G668" s="3" t="s">
        <v>46</v>
      </c>
      <c r="H668" s="3" t="s">
        <v>122</v>
      </c>
      <c r="I668" s="3" t="s">
        <v>86</v>
      </c>
      <c r="J668" s="6">
        <v>43249</v>
      </c>
      <c r="K668" s="3" t="s">
        <v>61</v>
      </c>
      <c r="L668" s="3" t="s">
        <v>31</v>
      </c>
      <c r="M668" s="3">
        <v>80600</v>
      </c>
      <c r="N668" s="3">
        <v>17</v>
      </c>
      <c r="O668" s="3">
        <v>88.5</v>
      </c>
      <c r="P668" s="3">
        <v>5</v>
      </c>
      <c r="Q668" s="3">
        <v>5</v>
      </c>
      <c r="R668" s="3">
        <v>4</v>
      </c>
      <c r="S668" s="3">
        <v>17</v>
      </c>
      <c r="T668" s="3">
        <v>3</v>
      </c>
      <c r="U668" s="3" t="s">
        <v>41</v>
      </c>
      <c r="V668" s="3">
        <v>6717</v>
      </c>
      <c r="W668" s="3">
        <v>8.1999999999999993</v>
      </c>
      <c r="X668" s="3" t="s">
        <v>62</v>
      </c>
      <c r="Y668" s="7" t="s">
        <v>42</v>
      </c>
    </row>
    <row r="669" spans="1:25" x14ac:dyDescent="0.3">
      <c r="A669" s="5" t="s">
        <v>983</v>
      </c>
      <c r="B669" s="3" t="s">
        <v>311</v>
      </c>
      <c r="C669" s="3" t="s">
        <v>58</v>
      </c>
      <c r="D669" s="3">
        <v>47</v>
      </c>
      <c r="E669" s="3" t="s">
        <v>78</v>
      </c>
      <c r="F669" s="3" t="s">
        <v>52</v>
      </c>
      <c r="G669" s="3" t="s">
        <v>46</v>
      </c>
      <c r="H669" s="3" t="s">
        <v>67</v>
      </c>
      <c r="I669" s="3" t="s">
        <v>68</v>
      </c>
      <c r="J669" s="6">
        <v>45158</v>
      </c>
      <c r="K669" s="3" t="s">
        <v>30</v>
      </c>
      <c r="L669" s="3" t="s">
        <v>31</v>
      </c>
      <c r="M669" s="3">
        <v>66700</v>
      </c>
      <c r="N669" s="3">
        <v>26</v>
      </c>
      <c r="O669" s="3">
        <v>91.8</v>
      </c>
      <c r="P669" s="3">
        <v>8</v>
      </c>
      <c r="Q669" s="3">
        <v>13</v>
      </c>
      <c r="R669" s="3">
        <v>2</v>
      </c>
      <c r="S669" s="3">
        <v>19</v>
      </c>
      <c r="T669" s="3">
        <v>20</v>
      </c>
      <c r="U669" s="3" t="s">
        <v>74</v>
      </c>
      <c r="V669" s="3">
        <v>5558</v>
      </c>
      <c r="W669" s="3">
        <v>2.9</v>
      </c>
      <c r="X669" s="3" t="s">
        <v>54</v>
      </c>
      <c r="Y669" s="7" t="s">
        <v>42</v>
      </c>
    </row>
    <row r="670" spans="1:25" x14ac:dyDescent="0.3">
      <c r="A670" s="5" t="s">
        <v>984</v>
      </c>
      <c r="B670" s="3" t="s">
        <v>293</v>
      </c>
      <c r="C670" s="3" t="s">
        <v>58</v>
      </c>
      <c r="D670" s="3">
        <v>45</v>
      </c>
      <c r="E670" s="3" t="s">
        <v>137</v>
      </c>
      <c r="F670" s="3" t="s">
        <v>26</v>
      </c>
      <c r="G670" s="3" t="s">
        <v>39</v>
      </c>
      <c r="H670" s="3" t="s">
        <v>28</v>
      </c>
      <c r="I670" s="3" t="s">
        <v>73</v>
      </c>
      <c r="J670" s="6">
        <v>45792</v>
      </c>
      <c r="K670" s="3" t="s">
        <v>30</v>
      </c>
      <c r="L670" s="3" t="s">
        <v>53</v>
      </c>
      <c r="M670" s="3">
        <v>36600</v>
      </c>
      <c r="N670" s="3">
        <v>24</v>
      </c>
      <c r="O670" s="3">
        <v>90.7</v>
      </c>
      <c r="P670" s="3">
        <v>4</v>
      </c>
      <c r="Q670" s="3">
        <v>13</v>
      </c>
      <c r="R670" s="3">
        <v>4</v>
      </c>
      <c r="S670" s="3">
        <v>15</v>
      </c>
      <c r="T670" s="3">
        <v>29</v>
      </c>
      <c r="U670" s="3" t="s">
        <v>130</v>
      </c>
      <c r="V670" s="3">
        <v>3050</v>
      </c>
      <c r="W670" s="3">
        <v>1.2</v>
      </c>
      <c r="X670" s="3" t="s">
        <v>54</v>
      </c>
      <c r="Y670" s="7" t="s">
        <v>42</v>
      </c>
    </row>
    <row r="671" spans="1:25" x14ac:dyDescent="0.3">
      <c r="A671" s="5" t="s">
        <v>985</v>
      </c>
      <c r="B671" s="3" t="s">
        <v>234</v>
      </c>
      <c r="C671" s="3" t="s">
        <v>24</v>
      </c>
      <c r="D671" s="3">
        <v>34</v>
      </c>
      <c r="E671" s="3" t="s">
        <v>65</v>
      </c>
      <c r="F671" s="3" t="s">
        <v>52</v>
      </c>
      <c r="G671" s="3" t="s">
        <v>171</v>
      </c>
      <c r="H671" s="3" t="s">
        <v>28</v>
      </c>
      <c r="I671" s="3" t="s">
        <v>68</v>
      </c>
      <c r="J671" s="6">
        <v>45210</v>
      </c>
      <c r="K671" s="3" t="s">
        <v>30</v>
      </c>
      <c r="L671" s="3" t="s">
        <v>31</v>
      </c>
      <c r="M671" s="3">
        <v>109200</v>
      </c>
      <c r="N671" s="3">
        <v>11</v>
      </c>
      <c r="O671" s="3">
        <v>91.5</v>
      </c>
      <c r="P671" s="3">
        <v>2</v>
      </c>
      <c r="Q671" s="3">
        <v>4</v>
      </c>
      <c r="R671" s="3">
        <v>4</v>
      </c>
      <c r="S671" s="3">
        <v>3</v>
      </c>
      <c r="T671" s="3">
        <v>9</v>
      </c>
      <c r="U671" s="3" t="s">
        <v>130</v>
      </c>
      <c r="V671" s="3">
        <v>9100</v>
      </c>
      <c r="W671" s="3">
        <v>2.8</v>
      </c>
      <c r="X671" s="3" t="s">
        <v>33</v>
      </c>
      <c r="Y671" s="7" t="s">
        <v>55</v>
      </c>
    </row>
    <row r="672" spans="1:25" x14ac:dyDescent="0.3">
      <c r="A672" s="5" t="s">
        <v>986</v>
      </c>
      <c r="B672" s="3" t="s">
        <v>271</v>
      </c>
      <c r="C672" s="3" t="s">
        <v>24</v>
      </c>
      <c r="D672" s="3">
        <v>27</v>
      </c>
      <c r="E672" s="3" t="s">
        <v>137</v>
      </c>
      <c r="F672" s="3" t="s">
        <v>91</v>
      </c>
      <c r="G672" s="3" t="s">
        <v>46</v>
      </c>
      <c r="H672" s="3" t="s">
        <v>115</v>
      </c>
      <c r="I672" s="3" t="s">
        <v>47</v>
      </c>
      <c r="J672" s="6">
        <v>44512</v>
      </c>
      <c r="K672" s="3" t="s">
        <v>30</v>
      </c>
      <c r="L672" s="3" t="s">
        <v>53</v>
      </c>
      <c r="M672" s="3">
        <v>49200</v>
      </c>
      <c r="N672" s="3">
        <v>7</v>
      </c>
      <c r="O672" s="3">
        <v>90</v>
      </c>
      <c r="P672" s="3">
        <v>5</v>
      </c>
      <c r="Q672" s="3">
        <v>9</v>
      </c>
      <c r="R672" s="3">
        <v>1</v>
      </c>
      <c r="S672" s="3">
        <v>16</v>
      </c>
      <c r="T672" s="3">
        <v>10</v>
      </c>
      <c r="U672" s="3" t="s">
        <v>94</v>
      </c>
      <c r="V672" s="3">
        <v>4100</v>
      </c>
      <c r="W672" s="3">
        <v>4.7</v>
      </c>
      <c r="X672" s="3" t="s">
        <v>95</v>
      </c>
      <c r="Y672" s="7" t="s">
        <v>55</v>
      </c>
    </row>
    <row r="673" spans="1:25" x14ac:dyDescent="0.3">
      <c r="A673" s="5" t="s">
        <v>987</v>
      </c>
      <c r="B673" s="3" t="s">
        <v>541</v>
      </c>
      <c r="C673" s="3" t="s">
        <v>24</v>
      </c>
      <c r="D673" s="3">
        <v>44</v>
      </c>
      <c r="E673" s="3" t="s">
        <v>98</v>
      </c>
      <c r="F673" s="3" t="s">
        <v>38</v>
      </c>
      <c r="G673" s="3" t="s">
        <v>27</v>
      </c>
      <c r="H673" s="3" t="s">
        <v>28</v>
      </c>
      <c r="I673" s="3" t="s">
        <v>86</v>
      </c>
      <c r="J673" s="6">
        <v>45019</v>
      </c>
      <c r="K673" s="3" t="s">
        <v>30</v>
      </c>
      <c r="L673" s="3" t="s">
        <v>93</v>
      </c>
      <c r="M673" s="3">
        <v>101700</v>
      </c>
      <c r="N673" s="3">
        <v>24</v>
      </c>
      <c r="O673" s="3">
        <v>92.4</v>
      </c>
      <c r="P673" s="3">
        <v>7</v>
      </c>
      <c r="Q673" s="3">
        <v>4</v>
      </c>
      <c r="R673" s="3">
        <v>3</v>
      </c>
      <c r="S673" s="3">
        <v>5</v>
      </c>
      <c r="T673" s="3">
        <v>3</v>
      </c>
      <c r="U673" s="3" t="s">
        <v>130</v>
      </c>
      <c r="V673" s="3">
        <v>8475</v>
      </c>
      <c r="W673" s="3">
        <v>3.3</v>
      </c>
      <c r="X673" s="3" t="s">
        <v>62</v>
      </c>
      <c r="Y673" s="7" t="s">
        <v>75</v>
      </c>
    </row>
    <row r="674" spans="1:25" x14ac:dyDescent="0.3">
      <c r="A674" s="5" t="s">
        <v>988</v>
      </c>
      <c r="B674" s="3" t="s">
        <v>806</v>
      </c>
      <c r="C674" s="3" t="s">
        <v>24</v>
      </c>
      <c r="D674" s="3">
        <v>44</v>
      </c>
      <c r="E674" s="3" t="s">
        <v>25</v>
      </c>
      <c r="F674" s="3" t="s">
        <v>52</v>
      </c>
      <c r="G674" s="3" t="s">
        <v>80</v>
      </c>
      <c r="H674" s="3" t="s">
        <v>115</v>
      </c>
      <c r="I674" s="3" t="s">
        <v>68</v>
      </c>
      <c r="J674" s="6">
        <v>43874</v>
      </c>
      <c r="K674" s="3" t="s">
        <v>30</v>
      </c>
      <c r="L674" s="3" t="s">
        <v>93</v>
      </c>
      <c r="M674" s="3">
        <v>45100</v>
      </c>
      <c r="N674" s="3">
        <v>25</v>
      </c>
      <c r="O674" s="3">
        <v>81.2</v>
      </c>
      <c r="P674" s="3">
        <v>6</v>
      </c>
      <c r="Q674" s="3">
        <v>4</v>
      </c>
      <c r="R674" s="3">
        <v>2</v>
      </c>
      <c r="S674" s="3">
        <v>11</v>
      </c>
      <c r="T674" s="3">
        <v>8</v>
      </c>
      <c r="U674" s="3" t="s">
        <v>104</v>
      </c>
      <c r="V674" s="3">
        <v>3758</v>
      </c>
      <c r="W674" s="3">
        <v>6.5</v>
      </c>
      <c r="X674" s="3" t="s">
        <v>62</v>
      </c>
      <c r="Y674" s="7" t="s">
        <v>42</v>
      </c>
    </row>
    <row r="675" spans="1:25" x14ac:dyDescent="0.3">
      <c r="A675" s="5" t="s">
        <v>989</v>
      </c>
      <c r="B675" s="3" t="s">
        <v>386</v>
      </c>
      <c r="C675" s="3" t="s">
        <v>24</v>
      </c>
      <c r="D675" s="3">
        <v>42</v>
      </c>
      <c r="E675" s="3" t="s">
        <v>59</v>
      </c>
      <c r="F675" s="3" t="s">
        <v>38</v>
      </c>
      <c r="G675" s="3" t="s">
        <v>80</v>
      </c>
      <c r="H675" s="3" t="s">
        <v>28</v>
      </c>
      <c r="I675" s="3" t="s">
        <v>73</v>
      </c>
      <c r="J675" s="6">
        <v>44854</v>
      </c>
      <c r="K675" s="3" t="s">
        <v>30</v>
      </c>
      <c r="L675" s="3" t="s">
        <v>31</v>
      </c>
      <c r="M675" s="3">
        <v>50000</v>
      </c>
      <c r="N675" s="3">
        <v>21</v>
      </c>
      <c r="O675" s="3">
        <v>98.1</v>
      </c>
      <c r="P675" s="3">
        <v>2</v>
      </c>
      <c r="Q675" s="3">
        <v>1</v>
      </c>
      <c r="R675" s="3">
        <v>2</v>
      </c>
      <c r="S675" s="3">
        <v>6</v>
      </c>
      <c r="T675" s="3">
        <v>30</v>
      </c>
      <c r="U675" s="3" t="s">
        <v>123</v>
      </c>
      <c r="V675" s="3">
        <v>4167</v>
      </c>
      <c r="W675" s="3">
        <v>3.8</v>
      </c>
      <c r="X675" s="3" t="s">
        <v>62</v>
      </c>
      <c r="Y675" s="7" t="s">
        <v>42</v>
      </c>
    </row>
    <row r="676" spans="1:25" x14ac:dyDescent="0.3">
      <c r="A676" s="5" t="s">
        <v>990</v>
      </c>
      <c r="B676" s="3" t="s">
        <v>350</v>
      </c>
      <c r="C676" s="3" t="s">
        <v>58</v>
      </c>
      <c r="D676" s="3">
        <v>45</v>
      </c>
      <c r="E676" s="3" t="s">
        <v>37</v>
      </c>
      <c r="F676" s="3" t="s">
        <v>60</v>
      </c>
      <c r="G676" s="3" t="s">
        <v>171</v>
      </c>
      <c r="H676" s="3" t="s">
        <v>28</v>
      </c>
      <c r="I676" s="3" t="s">
        <v>107</v>
      </c>
      <c r="J676" s="6">
        <v>44972</v>
      </c>
      <c r="K676" s="3" t="s">
        <v>30</v>
      </c>
      <c r="L676" s="3" t="s">
        <v>53</v>
      </c>
      <c r="M676" s="3">
        <v>135400</v>
      </c>
      <c r="N676" s="3">
        <v>25</v>
      </c>
      <c r="O676" s="3">
        <v>90.6</v>
      </c>
      <c r="P676" s="3">
        <v>0</v>
      </c>
      <c r="Q676" s="3">
        <v>13</v>
      </c>
      <c r="R676" s="3">
        <v>2</v>
      </c>
      <c r="S676" s="3">
        <v>22</v>
      </c>
      <c r="T676" s="3">
        <v>18</v>
      </c>
      <c r="U676" s="3" t="s">
        <v>32</v>
      </c>
      <c r="V676" s="3">
        <v>11283</v>
      </c>
      <c r="W676" s="3">
        <v>3.5</v>
      </c>
      <c r="X676" s="3" t="s">
        <v>54</v>
      </c>
      <c r="Y676" s="7" t="s">
        <v>75</v>
      </c>
    </row>
    <row r="677" spans="1:25" x14ac:dyDescent="0.3">
      <c r="A677" s="5" t="s">
        <v>991</v>
      </c>
      <c r="B677" s="3" t="s">
        <v>721</v>
      </c>
      <c r="C677" s="3" t="s">
        <v>58</v>
      </c>
      <c r="D677" s="3">
        <v>34</v>
      </c>
      <c r="E677" s="3" t="s">
        <v>59</v>
      </c>
      <c r="F677" s="3" t="s">
        <v>79</v>
      </c>
      <c r="G677" s="3" t="s">
        <v>46</v>
      </c>
      <c r="H677" s="3" t="s">
        <v>28</v>
      </c>
      <c r="I677" s="3" t="s">
        <v>107</v>
      </c>
      <c r="J677" s="6">
        <v>45676</v>
      </c>
      <c r="K677" s="3" t="s">
        <v>61</v>
      </c>
      <c r="L677" s="3" t="s">
        <v>93</v>
      </c>
      <c r="M677" s="3">
        <v>80700</v>
      </c>
      <c r="N677" s="3">
        <v>11</v>
      </c>
      <c r="O677" s="3">
        <v>100</v>
      </c>
      <c r="P677" s="3">
        <v>3</v>
      </c>
      <c r="Q677" s="3">
        <v>15</v>
      </c>
      <c r="R677" s="3">
        <v>2</v>
      </c>
      <c r="S677" s="3">
        <v>13</v>
      </c>
      <c r="T677" s="3">
        <v>16</v>
      </c>
      <c r="U677" s="3" t="s">
        <v>32</v>
      </c>
      <c r="V677" s="3">
        <v>6725</v>
      </c>
      <c r="W677" s="3">
        <v>1.5</v>
      </c>
      <c r="X677" s="3" t="s">
        <v>33</v>
      </c>
      <c r="Y677" s="7" t="s">
        <v>42</v>
      </c>
    </row>
    <row r="678" spans="1:25" x14ac:dyDescent="0.3">
      <c r="A678" s="5" t="s">
        <v>992</v>
      </c>
      <c r="B678" s="3" t="s">
        <v>597</v>
      </c>
      <c r="C678" s="3" t="s">
        <v>24</v>
      </c>
      <c r="D678" s="3">
        <v>20</v>
      </c>
      <c r="E678" s="3" t="s">
        <v>37</v>
      </c>
      <c r="F678" s="3" t="s">
        <v>91</v>
      </c>
      <c r="G678" s="3" t="s">
        <v>27</v>
      </c>
      <c r="H678" s="3" t="s">
        <v>28</v>
      </c>
      <c r="I678" s="3" t="s">
        <v>29</v>
      </c>
      <c r="J678" s="6">
        <v>44674</v>
      </c>
      <c r="K678" s="3" t="s">
        <v>30</v>
      </c>
      <c r="L678" s="3" t="s">
        <v>31</v>
      </c>
      <c r="M678" s="3">
        <v>73600</v>
      </c>
      <c r="N678" s="3">
        <v>0</v>
      </c>
      <c r="O678" s="3">
        <v>89.3</v>
      </c>
      <c r="P678" s="3">
        <v>5</v>
      </c>
      <c r="Q678" s="3">
        <v>5</v>
      </c>
      <c r="R678" s="3">
        <v>3</v>
      </c>
      <c r="S678" s="3">
        <v>11</v>
      </c>
      <c r="T678" s="3">
        <v>5</v>
      </c>
      <c r="U678" s="3" t="s">
        <v>123</v>
      </c>
      <c r="V678" s="3">
        <v>6133</v>
      </c>
      <c r="W678" s="3">
        <v>4.3</v>
      </c>
      <c r="X678" s="3" t="s">
        <v>48</v>
      </c>
      <c r="Y678" s="7" t="s">
        <v>42</v>
      </c>
    </row>
    <row r="679" spans="1:25" x14ac:dyDescent="0.3">
      <c r="A679" s="5" t="s">
        <v>993</v>
      </c>
      <c r="B679" s="3" t="s">
        <v>721</v>
      </c>
      <c r="C679" s="3" t="s">
        <v>24</v>
      </c>
      <c r="D679" s="3">
        <v>27</v>
      </c>
      <c r="E679" s="3" t="s">
        <v>51</v>
      </c>
      <c r="F679" s="3" t="s">
        <v>91</v>
      </c>
      <c r="G679" s="3" t="s">
        <v>171</v>
      </c>
      <c r="H679" s="3" t="s">
        <v>28</v>
      </c>
      <c r="I679" s="3" t="s">
        <v>107</v>
      </c>
      <c r="J679" s="6">
        <v>44813</v>
      </c>
      <c r="K679" s="3" t="s">
        <v>30</v>
      </c>
      <c r="L679" s="3" t="s">
        <v>31</v>
      </c>
      <c r="M679" s="3">
        <v>80200</v>
      </c>
      <c r="N679" s="3">
        <v>6</v>
      </c>
      <c r="O679" s="3">
        <v>96.2</v>
      </c>
      <c r="P679" s="3">
        <v>3</v>
      </c>
      <c r="Q679" s="3">
        <v>12</v>
      </c>
      <c r="R679" s="3">
        <v>2</v>
      </c>
      <c r="S679" s="3">
        <v>20</v>
      </c>
      <c r="T679" s="3">
        <v>23</v>
      </c>
      <c r="U679" s="3" t="s">
        <v>41</v>
      </c>
      <c r="V679" s="3">
        <v>6683</v>
      </c>
      <c r="W679" s="3">
        <v>3.9</v>
      </c>
      <c r="X679" s="3" t="s">
        <v>95</v>
      </c>
      <c r="Y679" s="7" t="s">
        <v>55</v>
      </c>
    </row>
    <row r="680" spans="1:25" x14ac:dyDescent="0.3">
      <c r="A680" s="5" t="s">
        <v>994</v>
      </c>
      <c r="B680" s="3" t="s">
        <v>350</v>
      </c>
      <c r="C680" s="3" t="s">
        <v>58</v>
      </c>
      <c r="D680" s="3">
        <v>42</v>
      </c>
      <c r="E680" s="3" t="s">
        <v>37</v>
      </c>
      <c r="F680" s="3" t="s">
        <v>38</v>
      </c>
      <c r="G680" s="3" t="s">
        <v>46</v>
      </c>
      <c r="H680" s="3" t="s">
        <v>122</v>
      </c>
      <c r="I680" s="3" t="s">
        <v>29</v>
      </c>
      <c r="J680" s="6">
        <v>45593</v>
      </c>
      <c r="K680" s="3" t="s">
        <v>30</v>
      </c>
      <c r="L680" s="3" t="s">
        <v>53</v>
      </c>
      <c r="M680" s="3">
        <v>74800</v>
      </c>
      <c r="N680" s="3">
        <v>22</v>
      </c>
      <c r="O680" s="3">
        <v>87.3</v>
      </c>
      <c r="P680" s="3">
        <v>4</v>
      </c>
      <c r="Q680" s="3">
        <v>6</v>
      </c>
      <c r="R680" s="3">
        <v>3</v>
      </c>
      <c r="S680" s="3">
        <v>19</v>
      </c>
      <c r="T680" s="3">
        <v>24</v>
      </c>
      <c r="U680" s="3" t="s">
        <v>74</v>
      </c>
      <c r="V680" s="3">
        <v>6233</v>
      </c>
      <c r="W680" s="3">
        <v>1.8</v>
      </c>
      <c r="X680" s="3" t="s">
        <v>62</v>
      </c>
      <c r="Y680" s="7" t="s">
        <v>55</v>
      </c>
    </row>
    <row r="681" spans="1:25" x14ac:dyDescent="0.3">
      <c r="A681" s="5" t="s">
        <v>995</v>
      </c>
      <c r="B681" s="3" t="s">
        <v>249</v>
      </c>
      <c r="C681" s="3" t="s">
        <v>24</v>
      </c>
      <c r="D681" s="3">
        <v>23</v>
      </c>
      <c r="E681" s="3" t="s">
        <v>83</v>
      </c>
      <c r="F681" s="3" t="s">
        <v>26</v>
      </c>
      <c r="G681" s="3" t="s">
        <v>80</v>
      </c>
      <c r="H681" s="3" t="s">
        <v>28</v>
      </c>
      <c r="I681" s="3" t="s">
        <v>73</v>
      </c>
      <c r="J681" s="6">
        <v>44445</v>
      </c>
      <c r="K681" s="3" t="s">
        <v>30</v>
      </c>
      <c r="L681" s="3" t="s">
        <v>31</v>
      </c>
      <c r="M681" s="3">
        <v>56300</v>
      </c>
      <c r="N681" s="3">
        <v>0</v>
      </c>
      <c r="O681" s="3">
        <v>91.2</v>
      </c>
      <c r="P681" s="3">
        <v>6</v>
      </c>
      <c r="Q681" s="3">
        <v>8</v>
      </c>
      <c r="R681" s="3">
        <v>1</v>
      </c>
      <c r="S681" s="3">
        <v>1</v>
      </c>
      <c r="T681" s="3">
        <v>14</v>
      </c>
      <c r="U681" s="3" t="s">
        <v>32</v>
      </c>
      <c r="V681" s="3">
        <v>4692</v>
      </c>
      <c r="W681" s="3">
        <v>4.9000000000000004</v>
      </c>
      <c r="X681" s="3" t="s">
        <v>48</v>
      </c>
      <c r="Y681" s="7" t="s">
        <v>42</v>
      </c>
    </row>
    <row r="682" spans="1:25" x14ac:dyDescent="0.3">
      <c r="A682" s="5" t="s">
        <v>996</v>
      </c>
      <c r="B682" s="3" t="s">
        <v>541</v>
      </c>
      <c r="C682" s="3" t="s">
        <v>58</v>
      </c>
      <c r="D682" s="3">
        <v>41</v>
      </c>
      <c r="E682" s="3" t="s">
        <v>118</v>
      </c>
      <c r="F682" s="3" t="s">
        <v>38</v>
      </c>
      <c r="G682" s="3" t="s">
        <v>122</v>
      </c>
      <c r="H682" s="3" t="s">
        <v>115</v>
      </c>
      <c r="I682" s="3" t="s">
        <v>107</v>
      </c>
      <c r="J682" s="6">
        <v>44207</v>
      </c>
      <c r="K682" s="3" t="s">
        <v>30</v>
      </c>
      <c r="L682" s="3" t="s">
        <v>93</v>
      </c>
      <c r="M682" s="3">
        <v>22400</v>
      </c>
      <c r="N682" s="3">
        <v>18</v>
      </c>
      <c r="O682" s="3">
        <v>86</v>
      </c>
      <c r="P682" s="3">
        <v>4</v>
      </c>
      <c r="Q682" s="3">
        <v>13</v>
      </c>
      <c r="R682" s="3">
        <v>0</v>
      </c>
      <c r="S682" s="3">
        <v>20</v>
      </c>
      <c r="T682" s="3">
        <v>4</v>
      </c>
      <c r="U682" s="3" t="s">
        <v>123</v>
      </c>
      <c r="V682" s="3">
        <v>1867</v>
      </c>
      <c r="W682" s="3">
        <v>5.6</v>
      </c>
      <c r="X682" s="3" t="s">
        <v>62</v>
      </c>
      <c r="Y682" s="7" t="s">
        <v>42</v>
      </c>
    </row>
    <row r="683" spans="1:25" x14ac:dyDescent="0.3">
      <c r="A683" s="5" t="s">
        <v>997</v>
      </c>
      <c r="B683" s="3" t="s">
        <v>658</v>
      </c>
      <c r="C683" s="3" t="s">
        <v>58</v>
      </c>
      <c r="D683" s="3">
        <v>29</v>
      </c>
      <c r="E683" s="3" t="s">
        <v>101</v>
      </c>
      <c r="F683" s="3" t="s">
        <v>91</v>
      </c>
      <c r="G683" s="3" t="s">
        <v>122</v>
      </c>
      <c r="H683" s="3" t="s">
        <v>28</v>
      </c>
      <c r="I683" s="3" t="s">
        <v>86</v>
      </c>
      <c r="J683" s="6">
        <v>43117</v>
      </c>
      <c r="K683" s="3" t="s">
        <v>30</v>
      </c>
      <c r="L683" s="3" t="s">
        <v>31</v>
      </c>
      <c r="M683" s="3">
        <v>18000</v>
      </c>
      <c r="N683" s="3">
        <v>6</v>
      </c>
      <c r="O683" s="3">
        <v>89.4</v>
      </c>
      <c r="P683" s="3">
        <v>4</v>
      </c>
      <c r="Q683" s="3">
        <v>4</v>
      </c>
      <c r="R683" s="3">
        <v>3</v>
      </c>
      <c r="S683" s="3">
        <v>30</v>
      </c>
      <c r="T683" s="3">
        <v>13</v>
      </c>
      <c r="U683" s="3" t="s">
        <v>104</v>
      </c>
      <c r="V683" s="3">
        <v>1500</v>
      </c>
      <c r="W683" s="3">
        <v>8.5</v>
      </c>
      <c r="X683" s="3" t="s">
        <v>95</v>
      </c>
      <c r="Y683" s="7" t="s">
        <v>75</v>
      </c>
    </row>
    <row r="684" spans="1:25" x14ac:dyDescent="0.3">
      <c r="A684" s="5" t="s">
        <v>998</v>
      </c>
      <c r="B684" s="3" t="s">
        <v>456</v>
      </c>
      <c r="C684" s="3" t="s">
        <v>58</v>
      </c>
      <c r="D684" s="3">
        <v>35</v>
      </c>
      <c r="E684" s="3" t="s">
        <v>137</v>
      </c>
      <c r="F684" s="3" t="s">
        <v>26</v>
      </c>
      <c r="G684" s="3" t="s">
        <v>39</v>
      </c>
      <c r="H684" s="3" t="s">
        <v>28</v>
      </c>
      <c r="I684" s="3" t="s">
        <v>73</v>
      </c>
      <c r="J684" s="6">
        <v>45517</v>
      </c>
      <c r="K684" s="3" t="s">
        <v>30</v>
      </c>
      <c r="L684" s="3" t="s">
        <v>31</v>
      </c>
      <c r="M684" s="3">
        <v>37800</v>
      </c>
      <c r="N684" s="3">
        <v>13</v>
      </c>
      <c r="O684" s="3">
        <v>87.3</v>
      </c>
      <c r="P684" s="3">
        <v>1</v>
      </c>
      <c r="Q684" s="3">
        <v>10</v>
      </c>
      <c r="R684" s="3">
        <v>2</v>
      </c>
      <c r="S684" s="3">
        <v>3</v>
      </c>
      <c r="T684" s="3">
        <v>4</v>
      </c>
      <c r="U684" s="3" t="s">
        <v>130</v>
      </c>
      <c r="V684" s="3">
        <v>3150</v>
      </c>
      <c r="W684" s="3">
        <v>2</v>
      </c>
      <c r="X684" s="3" t="s">
        <v>108</v>
      </c>
      <c r="Y684" s="7" t="s">
        <v>55</v>
      </c>
    </row>
    <row r="685" spans="1:25" x14ac:dyDescent="0.3">
      <c r="A685" s="5" t="s">
        <v>999</v>
      </c>
      <c r="B685" s="3" t="s">
        <v>546</v>
      </c>
      <c r="C685" s="3" t="s">
        <v>24</v>
      </c>
      <c r="D685" s="3">
        <v>37</v>
      </c>
      <c r="E685" s="3" t="s">
        <v>65</v>
      </c>
      <c r="F685" s="3" t="s">
        <v>79</v>
      </c>
      <c r="G685" s="3" t="s">
        <v>39</v>
      </c>
      <c r="H685" s="3" t="s">
        <v>67</v>
      </c>
      <c r="I685" s="3" t="s">
        <v>40</v>
      </c>
      <c r="J685" s="6">
        <v>44792</v>
      </c>
      <c r="K685" s="3" t="s">
        <v>30</v>
      </c>
      <c r="L685" s="3" t="s">
        <v>53</v>
      </c>
      <c r="M685" s="3">
        <v>30700</v>
      </c>
      <c r="N685" s="3">
        <v>17</v>
      </c>
      <c r="O685" s="3">
        <v>93.5</v>
      </c>
      <c r="P685" s="3">
        <v>0</v>
      </c>
      <c r="Q685" s="3">
        <v>14</v>
      </c>
      <c r="R685" s="3">
        <v>1</v>
      </c>
      <c r="S685" s="3">
        <v>7</v>
      </c>
      <c r="T685" s="3">
        <v>30</v>
      </c>
      <c r="U685" s="3" t="s">
        <v>130</v>
      </c>
      <c r="V685" s="3">
        <v>2558</v>
      </c>
      <c r="W685" s="3">
        <v>4</v>
      </c>
      <c r="X685" s="3" t="s">
        <v>108</v>
      </c>
      <c r="Y685" s="7" t="s">
        <v>55</v>
      </c>
    </row>
    <row r="686" spans="1:25" x14ac:dyDescent="0.3">
      <c r="A686" s="5" t="s">
        <v>1000</v>
      </c>
      <c r="B686" s="3" t="s">
        <v>502</v>
      </c>
      <c r="C686" s="3" t="s">
        <v>58</v>
      </c>
      <c r="D686" s="3">
        <v>23</v>
      </c>
      <c r="E686" s="3" t="s">
        <v>45</v>
      </c>
      <c r="F686" s="3" t="s">
        <v>91</v>
      </c>
      <c r="G686" s="3" t="s">
        <v>80</v>
      </c>
      <c r="H686" s="3" t="s">
        <v>28</v>
      </c>
      <c r="I686" s="3" t="s">
        <v>29</v>
      </c>
      <c r="J686" s="6">
        <v>45832</v>
      </c>
      <c r="K686" s="3" t="s">
        <v>30</v>
      </c>
      <c r="L686" s="3" t="s">
        <v>31</v>
      </c>
      <c r="M686" s="3">
        <v>38600</v>
      </c>
      <c r="N686" s="3">
        <v>4</v>
      </c>
      <c r="O686" s="3">
        <v>99.3</v>
      </c>
      <c r="P686" s="3">
        <v>3</v>
      </c>
      <c r="Q686" s="3">
        <v>10</v>
      </c>
      <c r="R686" s="3">
        <v>1</v>
      </c>
      <c r="S686" s="3">
        <v>30</v>
      </c>
      <c r="T686" s="3">
        <v>22</v>
      </c>
      <c r="U686" s="3" t="s">
        <v>104</v>
      </c>
      <c r="V686" s="3">
        <v>3217</v>
      </c>
      <c r="W686" s="3">
        <v>1.1000000000000001</v>
      </c>
      <c r="X686" s="3" t="s">
        <v>48</v>
      </c>
      <c r="Y686" s="7" t="s">
        <v>42</v>
      </c>
    </row>
    <row r="687" spans="1:25" x14ac:dyDescent="0.3">
      <c r="A687" s="5" t="s">
        <v>1001</v>
      </c>
      <c r="B687" s="3" t="s">
        <v>432</v>
      </c>
      <c r="C687" s="3" t="s">
        <v>24</v>
      </c>
      <c r="D687" s="3">
        <v>27</v>
      </c>
      <c r="E687" s="3" t="s">
        <v>83</v>
      </c>
      <c r="F687" s="3" t="s">
        <v>66</v>
      </c>
      <c r="G687" s="3" t="s">
        <v>80</v>
      </c>
      <c r="H687" s="3" t="s">
        <v>28</v>
      </c>
      <c r="I687" s="3" t="s">
        <v>92</v>
      </c>
      <c r="J687" s="6">
        <v>46056</v>
      </c>
      <c r="K687" s="3" t="s">
        <v>30</v>
      </c>
      <c r="L687" s="3" t="s">
        <v>93</v>
      </c>
      <c r="M687" s="3">
        <v>45200</v>
      </c>
      <c r="N687" s="3">
        <v>4</v>
      </c>
      <c r="O687" s="3">
        <v>93.3</v>
      </c>
      <c r="P687" s="3">
        <v>7</v>
      </c>
      <c r="Q687" s="3">
        <v>4</v>
      </c>
      <c r="R687" s="3">
        <v>4</v>
      </c>
      <c r="S687" s="3">
        <v>9</v>
      </c>
      <c r="T687" s="3">
        <v>20</v>
      </c>
      <c r="U687" s="3" t="s">
        <v>41</v>
      </c>
      <c r="V687" s="3">
        <v>3767</v>
      </c>
      <c r="W687" s="3">
        <v>0.5</v>
      </c>
      <c r="X687" s="3" t="s">
        <v>95</v>
      </c>
      <c r="Y687" s="7" t="s">
        <v>42</v>
      </c>
    </row>
    <row r="688" spans="1:25" x14ac:dyDescent="0.3">
      <c r="A688" s="5" t="s">
        <v>1002</v>
      </c>
      <c r="B688" s="3" t="s">
        <v>573</v>
      </c>
      <c r="C688" s="3" t="s">
        <v>24</v>
      </c>
      <c r="D688" s="3">
        <v>23</v>
      </c>
      <c r="E688" s="3" t="s">
        <v>90</v>
      </c>
      <c r="F688" s="3" t="s">
        <v>52</v>
      </c>
      <c r="G688" s="3" t="s">
        <v>80</v>
      </c>
      <c r="H688" s="3" t="s">
        <v>28</v>
      </c>
      <c r="I688" s="3" t="s">
        <v>86</v>
      </c>
      <c r="J688" s="6">
        <v>43683</v>
      </c>
      <c r="K688" s="3" t="s">
        <v>30</v>
      </c>
      <c r="L688" s="3" t="s">
        <v>31</v>
      </c>
      <c r="M688" s="3">
        <v>46800</v>
      </c>
      <c r="N688" s="3">
        <v>3</v>
      </c>
      <c r="O688" s="3">
        <v>100</v>
      </c>
      <c r="P688" s="3">
        <v>2</v>
      </c>
      <c r="Q688" s="3">
        <v>14</v>
      </c>
      <c r="R688" s="3">
        <v>4</v>
      </c>
      <c r="S688" s="3">
        <v>16</v>
      </c>
      <c r="T688" s="3">
        <v>10</v>
      </c>
      <c r="U688" s="3" t="s">
        <v>130</v>
      </c>
      <c r="V688" s="3">
        <v>3900</v>
      </c>
      <c r="W688" s="3">
        <v>7</v>
      </c>
      <c r="X688" s="3" t="s">
        <v>48</v>
      </c>
      <c r="Y688" s="7" t="s">
        <v>55</v>
      </c>
    </row>
    <row r="689" spans="1:25" x14ac:dyDescent="0.3">
      <c r="A689" s="5" t="s">
        <v>1003</v>
      </c>
      <c r="B689" s="3" t="s">
        <v>561</v>
      </c>
      <c r="C689" s="3" t="s">
        <v>58</v>
      </c>
      <c r="D689" s="3">
        <v>29</v>
      </c>
      <c r="E689" s="3" t="s">
        <v>137</v>
      </c>
      <c r="F689" s="3" t="s">
        <v>26</v>
      </c>
      <c r="G689" s="3" t="s">
        <v>80</v>
      </c>
      <c r="H689" s="3" t="s">
        <v>28</v>
      </c>
      <c r="I689" s="3" t="s">
        <v>47</v>
      </c>
      <c r="J689" s="6">
        <v>43355</v>
      </c>
      <c r="K689" s="3" t="s">
        <v>30</v>
      </c>
      <c r="L689" s="3" t="s">
        <v>93</v>
      </c>
      <c r="M689" s="3">
        <v>59000</v>
      </c>
      <c r="N689" s="3">
        <v>5</v>
      </c>
      <c r="O689" s="3">
        <v>94.5</v>
      </c>
      <c r="P689" s="3">
        <v>5</v>
      </c>
      <c r="Q689" s="3">
        <v>14</v>
      </c>
      <c r="R689" s="3">
        <v>0</v>
      </c>
      <c r="S689" s="3">
        <v>6</v>
      </c>
      <c r="T689" s="3">
        <v>17</v>
      </c>
      <c r="U689" s="3" t="s">
        <v>32</v>
      </c>
      <c r="V689" s="3">
        <v>4917</v>
      </c>
      <c r="W689" s="3">
        <v>7.9</v>
      </c>
      <c r="X689" s="3" t="s">
        <v>95</v>
      </c>
      <c r="Y689" s="7" t="s">
        <v>42</v>
      </c>
    </row>
    <row r="690" spans="1:25" x14ac:dyDescent="0.3">
      <c r="A690" s="5" t="s">
        <v>1004</v>
      </c>
      <c r="B690" s="3" t="s">
        <v>366</v>
      </c>
      <c r="C690" s="3" t="s">
        <v>24</v>
      </c>
      <c r="D690" s="3">
        <v>39</v>
      </c>
      <c r="E690" s="3" t="s">
        <v>90</v>
      </c>
      <c r="F690" s="3" t="s">
        <v>72</v>
      </c>
      <c r="G690" s="3" t="s">
        <v>39</v>
      </c>
      <c r="H690" s="3" t="s">
        <v>28</v>
      </c>
      <c r="I690" s="3" t="s">
        <v>68</v>
      </c>
      <c r="J690" s="6">
        <v>45604</v>
      </c>
      <c r="K690" s="3" t="s">
        <v>61</v>
      </c>
      <c r="L690" s="3" t="s">
        <v>53</v>
      </c>
      <c r="M690" s="3">
        <v>39000</v>
      </c>
      <c r="N690" s="3">
        <v>18</v>
      </c>
      <c r="O690" s="3">
        <v>86.3</v>
      </c>
      <c r="P690" s="3">
        <v>1</v>
      </c>
      <c r="Q690" s="3">
        <v>8</v>
      </c>
      <c r="R690" s="3">
        <v>0</v>
      </c>
      <c r="S690" s="3">
        <v>20</v>
      </c>
      <c r="T690" s="3">
        <v>19</v>
      </c>
      <c r="U690" s="3" t="s">
        <v>94</v>
      </c>
      <c r="V690" s="3">
        <v>3250</v>
      </c>
      <c r="W690" s="3">
        <v>1.7</v>
      </c>
      <c r="X690" s="3" t="s">
        <v>108</v>
      </c>
      <c r="Y690" s="7" t="s">
        <v>42</v>
      </c>
    </row>
    <row r="691" spans="1:25" x14ac:dyDescent="0.3">
      <c r="A691" s="5" t="s">
        <v>1005</v>
      </c>
      <c r="B691" s="3" t="s">
        <v>872</v>
      </c>
      <c r="C691" s="3" t="s">
        <v>24</v>
      </c>
      <c r="D691" s="3">
        <v>49</v>
      </c>
      <c r="E691" s="3" t="s">
        <v>90</v>
      </c>
      <c r="F691" s="3" t="s">
        <v>91</v>
      </c>
      <c r="G691" s="3" t="s">
        <v>122</v>
      </c>
      <c r="H691" s="3" t="s">
        <v>67</v>
      </c>
      <c r="I691" s="3" t="s">
        <v>86</v>
      </c>
      <c r="J691" s="6">
        <v>45791</v>
      </c>
      <c r="K691" s="3" t="s">
        <v>30</v>
      </c>
      <c r="L691" s="3" t="s">
        <v>53</v>
      </c>
      <c r="M691" s="3">
        <v>18000</v>
      </c>
      <c r="N691" s="3">
        <v>28</v>
      </c>
      <c r="O691" s="3">
        <v>100</v>
      </c>
      <c r="P691" s="3">
        <v>8</v>
      </c>
      <c r="Q691" s="3">
        <v>5</v>
      </c>
      <c r="R691" s="3">
        <v>4</v>
      </c>
      <c r="S691" s="3">
        <v>9</v>
      </c>
      <c r="T691" s="3">
        <v>27</v>
      </c>
      <c r="U691" s="3" t="s">
        <v>123</v>
      </c>
      <c r="V691" s="3">
        <v>1500</v>
      </c>
      <c r="W691" s="3">
        <v>1.2</v>
      </c>
      <c r="X691" s="3" t="s">
        <v>54</v>
      </c>
      <c r="Y691" s="7" t="s">
        <v>42</v>
      </c>
    </row>
    <row r="692" spans="1:25" x14ac:dyDescent="0.3">
      <c r="A692" s="5" t="s">
        <v>1006</v>
      </c>
      <c r="B692" s="3" t="s">
        <v>129</v>
      </c>
      <c r="C692" s="3" t="s">
        <v>58</v>
      </c>
      <c r="D692" s="3">
        <v>23</v>
      </c>
      <c r="E692" s="3" t="s">
        <v>65</v>
      </c>
      <c r="F692" s="3" t="s">
        <v>72</v>
      </c>
      <c r="G692" s="3" t="s">
        <v>46</v>
      </c>
      <c r="H692" s="3" t="s">
        <v>122</v>
      </c>
      <c r="I692" s="3" t="s">
        <v>29</v>
      </c>
      <c r="J692" s="6">
        <v>43661</v>
      </c>
      <c r="K692" s="3" t="s">
        <v>30</v>
      </c>
      <c r="L692" s="3" t="s">
        <v>53</v>
      </c>
      <c r="M692" s="3">
        <v>83900</v>
      </c>
      <c r="N692" s="3">
        <v>1</v>
      </c>
      <c r="O692" s="3">
        <v>95.6</v>
      </c>
      <c r="P692" s="3">
        <v>8</v>
      </c>
      <c r="Q692" s="3">
        <v>6</v>
      </c>
      <c r="R692" s="3">
        <v>4</v>
      </c>
      <c r="S692" s="3">
        <v>20</v>
      </c>
      <c r="T692" s="3">
        <v>30</v>
      </c>
      <c r="U692" s="3" t="s">
        <v>130</v>
      </c>
      <c r="V692" s="3">
        <v>6992</v>
      </c>
      <c r="W692" s="3">
        <v>7</v>
      </c>
      <c r="X692" s="3" t="s">
        <v>48</v>
      </c>
      <c r="Y692" s="7" t="s">
        <v>55</v>
      </c>
    </row>
    <row r="693" spans="1:25" x14ac:dyDescent="0.3">
      <c r="A693" s="5" t="s">
        <v>1007</v>
      </c>
      <c r="B693" s="3" t="s">
        <v>835</v>
      </c>
      <c r="C693" s="3" t="s">
        <v>24</v>
      </c>
      <c r="D693" s="3">
        <v>35</v>
      </c>
      <c r="E693" s="3" t="s">
        <v>25</v>
      </c>
      <c r="F693" s="3" t="s">
        <v>26</v>
      </c>
      <c r="G693" s="3" t="s">
        <v>80</v>
      </c>
      <c r="H693" s="3" t="s">
        <v>28</v>
      </c>
      <c r="I693" s="3" t="s">
        <v>107</v>
      </c>
      <c r="J693" s="6">
        <v>45681</v>
      </c>
      <c r="K693" s="3" t="s">
        <v>30</v>
      </c>
      <c r="L693" s="3" t="s">
        <v>31</v>
      </c>
      <c r="M693" s="3">
        <v>44800</v>
      </c>
      <c r="N693" s="3">
        <v>13</v>
      </c>
      <c r="O693" s="3">
        <v>84</v>
      </c>
      <c r="P693" s="3">
        <v>3</v>
      </c>
      <c r="Q693" s="3">
        <v>3</v>
      </c>
      <c r="R693" s="3">
        <v>1</v>
      </c>
      <c r="S693" s="3">
        <v>16</v>
      </c>
      <c r="T693" s="3">
        <v>17</v>
      </c>
      <c r="U693" s="3" t="s">
        <v>123</v>
      </c>
      <c r="V693" s="3">
        <v>3733</v>
      </c>
      <c r="W693" s="3">
        <v>1.5</v>
      </c>
      <c r="X693" s="3" t="s">
        <v>108</v>
      </c>
      <c r="Y693" s="7" t="s">
        <v>75</v>
      </c>
    </row>
    <row r="694" spans="1:25" x14ac:dyDescent="0.3">
      <c r="A694" s="5" t="s">
        <v>1008</v>
      </c>
      <c r="B694" s="3" t="s">
        <v>194</v>
      </c>
      <c r="C694" s="3" t="s">
        <v>24</v>
      </c>
      <c r="D694" s="3">
        <v>49</v>
      </c>
      <c r="E694" s="3" t="s">
        <v>25</v>
      </c>
      <c r="F694" s="3" t="s">
        <v>60</v>
      </c>
      <c r="G694" s="3" t="s">
        <v>80</v>
      </c>
      <c r="H694" s="3" t="s">
        <v>28</v>
      </c>
      <c r="I694" s="3" t="s">
        <v>86</v>
      </c>
      <c r="J694" s="6">
        <v>44516</v>
      </c>
      <c r="K694" s="3" t="s">
        <v>30</v>
      </c>
      <c r="L694" s="3" t="s">
        <v>31</v>
      </c>
      <c r="M694" s="3">
        <v>58300</v>
      </c>
      <c r="N694" s="3">
        <v>30</v>
      </c>
      <c r="O694" s="3">
        <v>90.9</v>
      </c>
      <c r="P694" s="3">
        <v>7</v>
      </c>
      <c r="Q694" s="3">
        <v>3</v>
      </c>
      <c r="R694" s="3">
        <v>3</v>
      </c>
      <c r="S694" s="3">
        <v>15</v>
      </c>
      <c r="T694" s="3">
        <v>13</v>
      </c>
      <c r="U694" s="3" t="s">
        <v>104</v>
      </c>
      <c r="V694" s="3">
        <v>4858</v>
      </c>
      <c r="W694" s="3">
        <v>4.7</v>
      </c>
      <c r="X694" s="3" t="s">
        <v>54</v>
      </c>
      <c r="Y694" s="7" t="s">
        <v>55</v>
      </c>
    </row>
    <row r="695" spans="1:25" x14ac:dyDescent="0.3">
      <c r="A695" s="5" t="s">
        <v>1009</v>
      </c>
      <c r="B695" s="3" t="s">
        <v>502</v>
      </c>
      <c r="C695" s="3" t="s">
        <v>24</v>
      </c>
      <c r="D695" s="3">
        <v>31</v>
      </c>
      <c r="E695" s="3" t="s">
        <v>160</v>
      </c>
      <c r="F695" s="3" t="s">
        <v>66</v>
      </c>
      <c r="G695" s="3" t="s">
        <v>46</v>
      </c>
      <c r="H695" s="3" t="s">
        <v>28</v>
      </c>
      <c r="I695" s="3" t="s">
        <v>47</v>
      </c>
      <c r="J695" s="6">
        <v>43420</v>
      </c>
      <c r="K695" s="3" t="s">
        <v>30</v>
      </c>
      <c r="L695" s="3" t="s">
        <v>31</v>
      </c>
      <c r="M695" s="3">
        <v>76700</v>
      </c>
      <c r="N695" s="3">
        <v>8</v>
      </c>
      <c r="O695" s="3">
        <v>95</v>
      </c>
      <c r="P695" s="3">
        <v>1</v>
      </c>
      <c r="Q695" s="3">
        <v>0</v>
      </c>
      <c r="R695" s="3">
        <v>4</v>
      </c>
      <c r="S695" s="3">
        <v>30</v>
      </c>
      <c r="T695" s="3">
        <v>8</v>
      </c>
      <c r="U695" s="3" t="s">
        <v>130</v>
      </c>
      <c r="V695" s="3">
        <v>6392</v>
      </c>
      <c r="W695" s="3">
        <v>7.7</v>
      </c>
      <c r="X695" s="3" t="s">
        <v>33</v>
      </c>
      <c r="Y695" s="7" t="s">
        <v>75</v>
      </c>
    </row>
    <row r="696" spans="1:25" x14ac:dyDescent="0.3">
      <c r="A696" s="5" t="s">
        <v>1010</v>
      </c>
      <c r="B696" s="3" t="s">
        <v>528</v>
      </c>
      <c r="C696" s="3" t="s">
        <v>24</v>
      </c>
      <c r="D696" s="3">
        <v>29</v>
      </c>
      <c r="E696" s="3" t="s">
        <v>71</v>
      </c>
      <c r="F696" s="3" t="s">
        <v>60</v>
      </c>
      <c r="G696" s="3" t="s">
        <v>27</v>
      </c>
      <c r="H696" s="3" t="s">
        <v>28</v>
      </c>
      <c r="I696" s="3" t="s">
        <v>107</v>
      </c>
      <c r="J696" s="6">
        <v>43320</v>
      </c>
      <c r="K696" s="3" t="s">
        <v>30</v>
      </c>
      <c r="L696" s="3" t="s">
        <v>93</v>
      </c>
      <c r="M696" s="3">
        <v>107700</v>
      </c>
      <c r="N696" s="3">
        <v>10</v>
      </c>
      <c r="O696" s="3">
        <v>93.8</v>
      </c>
      <c r="P696" s="3">
        <v>1</v>
      </c>
      <c r="Q696" s="3">
        <v>10</v>
      </c>
      <c r="R696" s="3">
        <v>2</v>
      </c>
      <c r="S696" s="3">
        <v>24</v>
      </c>
      <c r="T696" s="3">
        <v>24</v>
      </c>
      <c r="U696" s="3" t="s">
        <v>41</v>
      </c>
      <c r="V696" s="3">
        <v>8975</v>
      </c>
      <c r="W696" s="3">
        <v>8</v>
      </c>
      <c r="X696" s="3" t="s">
        <v>95</v>
      </c>
      <c r="Y696" s="7" t="s">
        <v>42</v>
      </c>
    </row>
    <row r="697" spans="1:25" x14ac:dyDescent="0.3">
      <c r="A697" s="5" t="s">
        <v>1011</v>
      </c>
      <c r="B697" s="3" t="s">
        <v>170</v>
      </c>
      <c r="C697" s="3" t="s">
        <v>58</v>
      </c>
      <c r="D697" s="3">
        <v>44</v>
      </c>
      <c r="E697" s="3" t="s">
        <v>37</v>
      </c>
      <c r="F697" s="3" t="s">
        <v>60</v>
      </c>
      <c r="G697" s="3" t="s">
        <v>80</v>
      </c>
      <c r="H697" s="3" t="s">
        <v>28</v>
      </c>
      <c r="I697" s="3" t="s">
        <v>47</v>
      </c>
      <c r="J697" s="6">
        <v>43799</v>
      </c>
      <c r="K697" s="3" t="s">
        <v>30</v>
      </c>
      <c r="L697" s="3" t="s">
        <v>31</v>
      </c>
      <c r="M697" s="3">
        <v>66300</v>
      </c>
      <c r="N697" s="3">
        <v>21</v>
      </c>
      <c r="O697" s="3">
        <v>95</v>
      </c>
      <c r="P697" s="3">
        <v>5</v>
      </c>
      <c r="Q697" s="3">
        <v>4</v>
      </c>
      <c r="R697" s="3">
        <v>3</v>
      </c>
      <c r="S697" s="3">
        <v>12</v>
      </c>
      <c r="T697" s="3">
        <v>20</v>
      </c>
      <c r="U697" s="3" t="s">
        <v>94</v>
      </c>
      <c r="V697" s="3">
        <v>5525</v>
      </c>
      <c r="W697" s="3">
        <v>6.7</v>
      </c>
      <c r="X697" s="3" t="s">
        <v>62</v>
      </c>
      <c r="Y697" s="7" t="s">
        <v>42</v>
      </c>
    </row>
    <row r="698" spans="1:25" x14ac:dyDescent="0.3">
      <c r="A698" s="5" t="s">
        <v>1012</v>
      </c>
      <c r="B698" s="3" t="s">
        <v>546</v>
      </c>
      <c r="C698" s="3" t="s">
        <v>24</v>
      </c>
      <c r="D698" s="3">
        <v>30</v>
      </c>
      <c r="E698" s="3" t="s">
        <v>83</v>
      </c>
      <c r="F698" s="3" t="s">
        <v>26</v>
      </c>
      <c r="G698" s="3" t="s">
        <v>46</v>
      </c>
      <c r="H698" s="3" t="s">
        <v>115</v>
      </c>
      <c r="I698" s="3" t="s">
        <v>107</v>
      </c>
      <c r="J698" s="6">
        <v>44538</v>
      </c>
      <c r="K698" s="3" t="s">
        <v>61</v>
      </c>
      <c r="L698" s="3" t="s">
        <v>53</v>
      </c>
      <c r="M698" s="3">
        <v>67000</v>
      </c>
      <c r="N698" s="3">
        <v>7</v>
      </c>
      <c r="O698" s="3">
        <v>96.1</v>
      </c>
      <c r="P698" s="3">
        <v>1</v>
      </c>
      <c r="Q698" s="3">
        <v>1</v>
      </c>
      <c r="R698" s="3">
        <v>3</v>
      </c>
      <c r="S698" s="3">
        <v>30</v>
      </c>
      <c r="T698" s="3">
        <v>25</v>
      </c>
      <c r="U698" s="3" t="s">
        <v>94</v>
      </c>
      <c r="V698" s="3">
        <v>5583</v>
      </c>
      <c r="W698" s="3">
        <v>4.5999999999999996</v>
      </c>
      <c r="X698" s="3" t="s">
        <v>33</v>
      </c>
      <c r="Y698" s="7" t="s">
        <v>75</v>
      </c>
    </row>
    <row r="699" spans="1:25" x14ac:dyDescent="0.3">
      <c r="A699" s="5" t="s">
        <v>1013</v>
      </c>
      <c r="B699" s="3" t="s">
        <v>487</v>
      </c>
      <c r="C699" s="3" t="s">
        <v>24</v>
      </c>
      <c r="D699" s="3">
        <v>21</v>
      </c>
      <c r="E699" s="3" t="s">
        <v>78</v>
      </c>
      <c r="F699" s="3" t="s">
        <v>72</v>
      </c>
      <c r="G699" s="3" t="s">
        <v>171</v>
      </c>
      <c r="H699" s="3" t="s">
        <v>28</v>
      </c>
      <c r="I699" s="3" t="s">
        <v>68</v>
      </c>
      <c r="J699" s="6">
        <v>43132</v>
      </c>
      <c r="K699" s="3" t="s">
        <v>30</v>
      </c>
      <c r="L699" s="3" t="s">
        <v>31</v>
      </c>
      <c r="M699" s="3">
        <v>160200</v>
      </c>
      <c r="N699" s="3">
        <v>0</v>
      </c>
      <c r="O699" s="3">
        <v>88</v>
      </c>
      <c r="P699" s="3">
        <v>0</v>
      </c>
      <c r="Q699" s="3">
        <v>4</v>
      </c>
      <c r="R699" s="3">
        <v>2</v>
      </c>
      <c r="S699" s="3">
        <v>22</v>
      </c>
      <c r="T699" s="3">
        <v>13</v>
      </c>
      <c r="U699" s="3" t="s">
        <v>104</v>
      </c>
      <c r="V699" s="3">
        <v>13350</v>
      </c>
      <c r="W699" s="3">
        <v>8.5</v>
      </c>
      <c r="X699" s="3" t="s">
        <v>48</v>
      </c>
      <c r="Y699" s="7" t="s">
        <v>55</v>
      </c>
    </row>
    <row r="700" spans="1:25" x14ac:dyDescent="0.3">
      <c r="A700" s="5" t="s">
        <v>1014</v>
      </c>
      <c r="B700" s="3" t="s">
        <v>125</v>
      </c>
      <c r="C700" s="3" t="s">
        <v>58</v>
      </c>
      <c r="D700" s="3">
        <v>35</v>
      </c>
      <c r="E700" s="3" t="s">
        <v>137</v>
      </c>
      <c r="F700" s="3" t="s">
        <v>52</v>
      </c>
      <c r="G700" s="3" t="s">
        <v>27</v>
      </c>
      <c r="H700" s="3" t="s">
        <v>28</v>
      </c>
      <c r="I700" s="3" t="s">
        <v>92</v>
      </c>
      <c r="J700" s="6">
        <v>43815</v>
      </c>
      <c r="K700" s="3" t="s">
        <v>30</v>
      </c>
      <c r="L700" s="3" t="s">
        <v>93</v>
      </c>
      <c r="M700" s="3">
        <v>102200</v>
      </c>
      <c r="N700" s="3">
        <v>13</v>
      </c>
      <c r="O700" s="3">
        <v>93.5</v>
      </c>
      <c r="P700" s="3">
        <v>1</v>
      </c>
      <c r="Q700" s="3">
        <v>4</v>
      </c>
      <c r="R700" s="3">
        <v>2</v>
      </c>
      <c r="S700" s="3">
        <v>17</v>
      </c>
      <c r="T700" s="3">
        <v>12</v>
      </c>
      <c r="U700" s="3" t="s">
        <v>94</v>
      </c>
      <c r="V700" s="3">
        <v>8517</v>
      </c>
      <c r="W700" s="3">
        <v>6.6</v>
      </c>
      <c r="X700" s="3" t="s">
        <v>108</v>
      </c>
      <c r="Y700" s="7" t="s">
        <v>75</v>
      </c>
    </row>
    <row r="701" spans="1:25" x14ac:dyDescent="0.3">
      <c r="A701" s="5" t="s">
        <v>1015</v>
      </c>
      <c r="B701" s="3" t="s">
        <v>806</v>
      </c>
      <c r="C701" s="3" t="s">
        <v>24</v>
      </c>
      <c r="D701" s="3">
        <v>42</v>
      </c>
      <c r="E701" s="3" t="s">
        <v>59</v>
      </c>
      <c r="F701" s="3" t="s">
        <v>38</v>
      </c>
      <c r="G701" s="3" t="s">
        <v>80</v>
      </c>
      <c r="H701" s="3" t="s">
        <v>67</v>
      </c>
      <c r="I701" s="3" t="s">
        <v>40</v>
      </c>
      <c r="J701" s="6">
        <v>45902</v>
      </c>
      <c r="K701" s="3" t="s">
        <v>30</v>
      </c>
      <c r="L701" s="3" t="s">
        <v>53</v>
      </c>
      <c r="M701" s="3">
        <v>45400</v>
      </c>
      <c r="N701" s="3">
        <v>20</v>
      </c>
      <c r="O701" s="3">
        <v>92.1</v>
      </c>
      <c r="P701" s="3">
        <v>1</v>
      </c>
      <c r="Q701" s="3">
        <v>3</v>
      </c>
      <c r="R701" s="3">
        <v>2</v>
      </c>
      <c r="S701" s="3">
        <v>26</v>
      </c>
      <c r="T701" s="3">
        <v>13</v>
      </c>
      <c r="U701" s="3" t="s">
        <v>104</v>
      </c>
      <c r="V701" s="3">
        <v>3783</v>
      </c>
      <c r="W701" s="3">
        <v>0.9</v>
      </c>
      <c r="X701" s="3" t="s">
        <v>62</v>
      </c>
      <c r="Y701" s="7" t="s">
        <v>55</v>
      </c>
    </row>
    <row r="702" spans="1:25" x14ac:dyDescent="0.3">
      <c r="A702" s="5" t="s">
        <v>1016</v>
      </c>
      <c r="B702" s="3" t="s">
        <v>487</v>
      </c>
      <c r="C702" s="3" t="s">
        <v>24</v>
      </c>
      <c r="D702" s="3">
        <v>38</v>
      </c>
      <c r="E702" s="3" t="s">
        <v>59</v>
      </c>
      <c r="F702" s="3" t="s">
        <v>72</v>
      </c>
      <c r="G702" s="3" t="s">
        <v>46</v>
      </c>
      <c r="H702" s="3" t="s">
        <v>28</v>
      </c>
      <c r="I702" s="3" t="s">
        <v>92</v>
      </c>
      <c r="J702" s="6">
        <v>44140</v>
      </c>
      <c r="K702" s="3" t="s">
        <v>61</v>
      </c>
      <c r="L702" s="3" t="s">
        <v>53</v>
      </c>
      <c r="M702" s="3">
        <v>106500</v>
      </c>
      <c r="N702" s="3">
        <v>17</v>
      </c>
      <c r="O702" s="3">
        <v>89.7</v>
      </c>
      <c r="P702" s="3">
        <v>4</v>
      </c>
      <c r="Q702" s="3">
        <v>14</v>
      </c>
      <c r="R702" s="3">
        <v>1</v>
      </c>
      <c r="S702" s="3">
        <v>4</v>
      </c>
      <c r="T702" s="3">
        <v>20</v>
      </c>
      <c r="U702" s="3" t="s">
        <v>32</v>
      </c>
      <c r="V702" s="3">
        <v>8875</v>
      </c>
      <c r="W702" s="3">
        <v>5.7</v>
      </c>
      <c r="X702" s="3" t="s">
        <v>108</v>
      </c>
      <c r="Y702" s="7" t="s">
        <v>42</v>
      </c>
    </row>
    <row r="703" spans="1:25" x14ac:dyDescent="0.3">
      <c r="A703" s="5" t="s">
        <v>1017</v>
      </c>
      <c r="B703" s="3" t="s">
        <v>384</v>
      </c>
      <c r="C703" s="3" t="s">
        <v>58</v>
      </c>
      <c r="D703" s="3">
        <v>31</v>
      </c>
      <c r="E703" s="3" t="s">
        <v>118</v>
      </c>
      <c r="F703" s="3" t="s">
        <v>52</v>
      </c>
      <c r="G703" s="3" t="s">
        <v>39</v>
      </c>
      <c r="H703" s="3" t="s">
        <v>67</v>
      </c>
      <c r="I703" s="3" t="s">
        <v>73</v>
      </c>
      <c r="J703" s="6">
        <v>43509</v>
      </c>
      <c r="K703" s="3" t="s">
        <v>30</v>
      </c>
      <c r="L703" s="3" t="s">
        <v>31</v>
      </c>
      <c r="M703" s="3">
        <v>38800</v>
      </c>
      <c r="N703" s="3">
        <v>9</v>
      </c>
      <c r="O703" s="3">
        <v>95.2</v>
      </c>
      <c r="P703" s="3">
        <v>5</v>
      </c>
      <c r="Q703" s="3">
        <v>12</v>
      </c>
      <c r="R703" s="3">
        <v>4</v>
      </c>
      <c r="S703" s="3">
        <v>7</v>
      </c>
      <c r="T703" s="3">
        <v>22</v>
      </c>
      <c r="U703" s="3" t="s">
        <v>94</v>
      </c>
      <c r="V703" s="3">
        <v>3233</v>
      </c>
      <c r="W703" s="3">
        <v>7.5</v>
      </c>
      <c r="X703" s="3" t="s">
        <v>33</v>
      </c>
      <c r="Y703" s="7" t="s">
        <v>42</v>
      </c>
    </row>
    <row r="704" spans="1:25" x14ac:dyDescent="0.3">
      <c r="A704" s="5" t="s">
        <v>1018</v>
      </c>
      <c r="B704" s="3" t="s">
        <v>178</v>
      </c>
      <c r="C704" s="3" t="s">
        <v>58</v>
      </c>
      <c r="D704" s="3">
        <v>23</v>
      </c>
      <c r="E704" s="3" t="s">
        <v>101</v>
      </c>
      <c r="F704" s="3" t="s">
        <v>72</v>
      </c>
      <c r="G704" s="3" t="s">
        <v>46</v>
      </c>
      <c r="H704" s="3" t="s">
        <v>28</v>
      </c>
      <c r="I704" s="3" t="s">
        <v>107</v>
      </c>
      <c r="J704" s="6">
        <v>45976</v>
      </c>
      <c r="K704" s="3" t="s">
        <v>30</v>
      </c>
      <c r="L704" s="3" t="s">
        <v>53</v>
      </c>
      <c r="M704" s="3">
        <v>98400</v>
      </c>
      <c r="N704" s="3">
        <v>1</v>
      </c>
      <c r="O704" s="3">
        <v>92</v>
      </c>
      <c r="P704" s="3">
        <v>2</v>
      </c>
      <c r="Q704" s="3">
        <v>11</v>
      </c>
      <c r="R704" s="3">
        <v>4</v>
      </c>
      <c r="S704" s="3">
        <v>29</v>
      </c>
      <c r="T704" s="3">
        <v>18</v>
      </c>
      <c r="U704" s="3" t="s">
        <v>130</v>
      </c>
      <c r="V704" s="3">
        <v>8200</v>
      </c>
      <c r="W704" s="3">
        <v>0.7</v>
      </c>
      <c r="X704" s="3" t="s">
        <v>48</v>
      </c>
      <c r="Y704" s="7" t="s">
        <v>75</v>
      </c>
    </row>
    <row r="705" spans="1:25" x14ac:dyDescent="0.3">
      <c r="A705" s="5" t="s">
        <v>1019</v>
      </c>
      <c r="B705" s="3" t="s">
        <v>361</v>
      </c>
      <c r="C705" s="3" t="s">
        <v>58</v>
      </c>
      <c r="D705" s="3">
        <v>36</v>
      </c>
      <c r="E705" s="3" t="s">
        <v>101</v>
      </c>
      <c r="F705" s="3" t="s">
        <v>60</v>
      </c>
      <c r="G705" s="3" t="s">
        <v>171</v>
      </c>
      <c r="H705" s="3" t="s">
        <v>28</v>
      </c>
      <c r="I705" s="3" t="s">
        <v>107</v>
      </c>
      <c r="J705" s="6">
        <v>45321</v>
      </c>
      <c r="K705" s="3" t="s">
        <v>30</v>
      </c>
      <c r="L705" s="3" t="s">
        <v>93</v>
      </c>
      <c r="M705" s="3">
        <v>138700</v>
      </c>
      <c r="N705" s="3">
        <v>12</v>
      </c>
      <c r="O705" s="3">
        <v>96.6</v>
      </c>
      <c r="P705" s="3">
        <v>7</v>
      </c>
      <c r="Q705" s="3">
        <v>9</v>
      </c>
      <c r="R705" s="3">
        <v>1</v>
      </c>
      <c r="S705" s="3">
        <v>30</v>
      </c>
      <c r="T705" s="3">
        <v>16</v>
      </c>
      <c r="U705" s="3" t="s">
        <v>41</v>
      </c>
      <c r="V705" s="3">
        <v>11558</v>
      </c>
      <c r="W705" s="3">
        <v>2.5</v>
      </c>
      <c r="X705" s="3" t="s">
        <v>108</v>
      </c>
      <c r="Y705" s="7" t="s">
        <v>55</v>
      </c>
    </row>
    <row r="706" spans="1:25" x14ac:dyDescent="0.3">
      <c r="A706" s="5" t="s">
        <v>1020</v>
      </c>
      <c r="B706" s="3" t="s">
        <v>704</v>
      </c>
      <c r="C706" s="3" t="s">
        <v>24</v>
      </c>
      <c r="D706" s="3">
        <v>31</v>
      </c>
      <c r="E706" s="3" t="s">
        <v>71</v>
      </c>
      <c r="F706" s="3" t="s">
        <v>72</v>
      </c>
      <c r="G706" s="3" t="s">
        <v>80</v>
      </c>
      <c r="H706" s="3" t="s">
        <v>115</v>
      </c>
      <c r="I706" s="3" t="s">
        <v>86</v>
      </c>
      <c r="J706" s="6">
        <v>44036</v>
      </c>
      <c r="K706" s="3" t="s">
        <v>30</v>
      </c>
      <c r="L706" s="3" t="s">
        <v>31</v>
      </c>
      <c r="M706" s="3">
        <v>69700</v>
      </c>
      <c r="N706" s="3">
        <v>12</v>
      </c>
      <c r="O706" s="3">
        <v>92.6</v>
      </c>
      <c r="P706" s="3">
        <v>1</v>
      </c>
      <c r="Q706" s="3">
        <v>12</v>
      </c>
      <c r="R706" s="3">
        <v>3</v>
      </c>
      <c r="S706" s="3">
        <v>26</v>
      </c>
      <c r="T706" s="3">
        <v>11</v>
      </c>
      <c r="U706" s="3" t="s">
        <v>123</v>
      </c>
      <c r="V706" s="3">
        <v>5808</v>
      </c>
      <c r="W706" s="3">
        <v>6</v>
      </c>
      <c r="X706" s="3" t="s">
        <v>33</v>
      </c>
      <c r="Y706" s="7" t="s">
        <v>42</v>
      </c>
    </row>
    <row r="707" spans="1:25" x14ac:dyDescent="0.3">
      <c r="A707" s="5" t="s">
        <v>1021</v>
      </c>
      <c r="B707" s="3" t="s">
        <v>117</v>
      </c>
      <c r="C707" s="3" t="s">
        <v>58</v>
      </c>
      <c r="D707" s="3">
        <v>50</v>
      </c>
      <c r="E707" s="3" t="s">
        <v>137</v>
      </c>
      <c r="F707" s="3" t="s">
        <v>72</v>
      </c>
      <c r="G707" s="3" t="s">
        <v>27</v>
      </c>
      <c r="H707" s="3" t="s">
        <v>28</v>
      </c>
      <c r="I707" s="3" t="s">
        <v>92</v>
      </c>
      <c r="J707" s="6">
        <v>44228</v>
      </c>
      <c r="K707" s="3" t="s">
        <v>87</v>
      </c>
      <c r="L707" s="3" t="s">
        <v>31</v>
      </c>
      <c r="M707" s="3">
        <v>135700</v>
      </c>
      <c r="N707" s="3">
        <v>27</v>
      </c>
      <c r="O707" s="3">
        <v>89.4</v>
      </c>
      <c r="P707" s="3">
        <v>2</v>
      </c>
      <c r="Q707" s="3">
        <v>8</v>
      </c>
      <c r="R707" s="3">
        <v>1</v>
      </c>
      <c r="S707" s="3">
        <v>6</v>
      </c>
      <c r="T707" s="3">
        <v>5</v>
      </c>
      <c r="U707" s="3" t="s">
        <v>123</v>
      </c>
      <c r="V707" s="3">
        <v>11308</v>
      </c>
      <c r="W707" s="3">
        <v>5.5</v>
      </c>
      <c r="X707" s="3" t="s">
        <v>54</v>
      </c>
      <c r="Y707" s="7" t="s">
        <v>42</v>
      </c>
    </row>
    <row r="708" spans="1:25" x14ac:dyDescent="0.3">
      <c r="A708" s="5" t="s">
        <v>1022</v>
      </c>
      <c r="B708" s="3" t="s">
        <v>271</v>
      </c>
      <c r="C708" s="3" t="s">
        <v>58</v>
      </c>
      <c r="D708" s="3">
        <v>35</v>
      </c>
      <c r="E708" s="3" t="s">
        <v>137</v>
      </c>
      <c r="F708" s="3" t="s">
        <v>72</v>
      </c>
      <c r="G708" s="3" t="s">
        <v>80</v>
      </c>
      <c r="H708" s="3" t="s">
        <v>67</v>
      </c>
      <c r="I708" s="3" t="s">
        <v>29</v>
      </c>
      <c r="J708" s="6">
        <v>44441</v>
      </c>
      <c r="K708" s="3" t="s">
        <v>30</v>
      </c>
      <c r="L708" s="3" t="s">
        <v>93</v>
      </c>
      <c r="M708" s="3">
        <v>58900</v>
      </c>
      <c r="N708" s="3">
        <v>16</v>
      </c>
      <c r="O708" s="3">
        <v>91.8</v>
      </c>
      <c r="P708" s="3">
        <v>3</v>
      </c>
      <c r="Q708" s="3">
        <v>4</v>
      </c>
      <c r="R708" s="3">
        <v>4</v>
      </c>
      <c r="S708" s="3">
        <v>29</v>
      </c>
      <c r="T708" s="3">
        <v>19</v>
      </c>
      <c r="U708" s="3" t="s">
        <v>41</v>
      </c>
      <c r="V708" s="3">
        <v>4908</v>
      </c>
      <c r="W708" s="3">
        <v>4.9000000000000004</v>
      </c>
      <c r="X708" s="3" t="s">
        <v>108</v>
      </c>
      <c r="Y708" s="7" t="s">
        <v>55</v>
      </c>
    </row>
    <row r="709" spans="1:25" x14ac:dyDescent="0.3">
      <c r="A709" s="5" t="s">
        <v>1023</v>
      </c>
      <c r="B709" s="3" t="s">
        <v>112</v>
      </c>
      <c r="C709" s="3" t="s">
        <v>58</v>
      </c>
      <c r="D709" s="3">
        <v>22</v>
      </c>
      <c r="E709" s="3" t="s">
        <v>160</v>
      </c>
      <c r="F709" s="3" t="s">
        <v>60</v>
      </c>
      <c r="G709" s="3" t="s">
        <v>171</v>
      </c>
      <c r="H709" s="3" t="s">
        <v>67</v>
      </c>
      <c r="I709" s="3" t="s">
        <v>68</v>
      </c>
      <c r="J709" s="6">
        <v>43807</v>
      </c>
      <c r="K709" s="3" t="s">
        <v>30</v>
      </c>
      <c r="L709" s="3" t="s">
        <v>53</v>
      </c>
      <c r="M709" s="3">
        <v>145600</v>
      </c>
      <c r="N709" s="3">
        <v>0</v>
      </c>
      <c r="O709" s="3">
        <v>94.4</v>
      </c>
      <c r="P709" s="3">
        <v>4</v>
      </c>
      <c r="Q709" s="3">
        <v>5</v>
      </c>
      <c r="R709" s="3">
        <v>0</v>
      </c>
      <c r="S709" s="3">
        <v>17</v>
      </c>
      <c r="T709" s="3">
        <v>29</v>
      </c>
      <c r="U709" s="3" t="s">
        <v>74</v>
      </c>
      <c r="V709" s="3">
        <v>12133</v>
      </c>
      <c r="W709" s="3">
        <v>6.6</v>
      </c>
      <c r="X709" s="3" t="s">
        <v>48</v>
      </c>
      <c r="Y709" s="7" t="s">
        <v>55</v>
      </c>
    </row>
    <row r="710" spans="1:25" x14ac:dyDescent="0.3">
      <c r="A710" s="5" t="s">
        <v>1024</v>
      </c>
      <c r="B710" s="3" t="s">
        <v>687</v>
      </c>
      <c r="C710" s="3" t="s">
        <v>24</v>
      </c>
      <c r="D710" s="3">
        <v>21</v>
      </c>
      <c r="E710" s="3" t="s">
        <v>45</v>
      </c>
      <c r="F710" s="3" t="s">
        <v>52</v>
      </c>
      <c r="G710" s="3" t="s">
        <v>46</v>
      </c>
      <c r="H710" s="3" t="s">
        <v>28</v>
      </c>
      <c r="I710" s="3" t="s">
        <v>47</v>
      </c>
      <c r="J710" s="6">
        <v>46124</v>
      </c>
      <c r="K710" s="3" t="s">
        <v>87</v>
      </c>
      <c r="L710" s="3" t="s">
        <v>93</v>
      </c>
      <c r="M710" s="3">
        <v>65100</v>
      </c>
      <c r="N710" s="3">
        <v>1</v>
      </c>
      <c r="O710" s="3">
        <v>91.2</v>
      </c>
      <c r="P710" s="3">
        <v>4</v>
      </c>
      <c r="Q710" s="3">
        <v>15</v>
      </c>
      <c r="R710" s="3">
        <v>1</v>
      </c>
      <c r="S710" s="3">
        <v>22</v>
      </c>
      <c r="T710" s="3">
        <v>14</v>
      </c>
      <c r="U710" s="3" t="s">
        <v>123</v>
      </c>
      <c r="V710" s="3">
        <v>5425</v>
      </c>
      <c r="W710" s="3">
        <v>0.3</v>
      </c>
      <c r="X710" s="3" t="s">
        <v>48</v>
      </c>
      <c r="Y710" s="7" t="s">
        <v>42</v>
      </c>
    </row>
    <row r="711" spans="1:25" x14ac:dyDescent="0.3">
      <c r="A711" s="5" t="s">
        <v>1025</v>
      </c>
      <c r="B711" s="3" t="s">
        <v>402</v>
      </c>
      <c r="C711" s="3" t="s">
        <v>24</v>
      </c>
      <c r="D711" s="3">
        <v>45</v>
      </c>
      <c r="E711" s="3" t="s">
        <v>83</v>
      </c>
      <c r="F711" s="3" t="s">
        <v>91</v>
      </c>
      <c r="G711" s="3" t="s">
        <v>122</v>
      </c>
      <c r="H711" s="3" t="s">
        <v>28</v>
      </c>
      <c r="I711" s="3" t="s">
        <v>29</v>
      </c>
      <c r="J711" s="6">
        <v>43883</v>
      </c>
      <c r="K711" s="3" t="s">
        <v>30</v>
      </c>
      <c r="L711" s="3" t="s">
        <v>53</v>
      </c>
      <c r="M711" s="3">
        <v>18000</v>
      </c>
      <c r="N711" s="3">
        <v>24</v>
      </c>
      <c r="O711" s="3">
        <v>88.8</v>
      </c>
      <c r="P711" s="3">
        <v>5</v>
      </c>
      <c r="Q711" s="3">
        <v>13</v>
      </c>
      <c r="R711" s="3">
        <v>0</v>
      </c>
      <c r="S711" s="3">
        <v>5</v>
      </c>
      <c r="T711" s="3">
        <v>6</v>
      </c>
      <c r="U711" s="3" t="s">
        <v>94</v>
      </c>
      <c r="V711" s="3">
        <v>1500</v>
      </c>
      <c r="W711" s="3">
        <v>6.4</v>
      </c>
      <c r="X711" s="3" t="s">
        <v>54</v>
      </c>
      <c r="Y711" s="7" t="s">
        <v>55</v>
      </c>
    </row>
    <row r="712" spans="1:25" x14ac:dyDescent="0.3">
      <c r="A712" s="5" t="s">
        <v>1026</v>
      </c>
      <c r="B712" s="3" t="s">
        <v>704</v>
      </c>
      <c r="C712" s="3" t="s">
        <v>24</v>
      </c>
      <c r="D712" s="3">
        <v>26</v>
      </c>
      <c r="E712" s="3" t="s">
        <v>45</v>
      </c>
      <c r="F712" s="3" t="s">
        <v>38</v>
      </c>
      <c r="G712" s="3" t="s">
        <v>46</v>
      </c>
      <c r="H712" s="3" t="s">
        <v>28</v>
      </c>
      <c r="I712" s="3" t="s">
        <v>68</v>
      </c>
      <c r="J712" s="6">
        <v>44305</v>
      </c>
      <c r="K712" s="3" t="s">
        <v>30</v>
      </c>
      <c r="L712" s="3" t="s">
        <v>31</v>
      </c>
      <c r="M712" s="3">
        <v>78900</v>
      </c>
      <c r="N712" s="3">
        <v>5</v>
      </c>
      <c r="O712" s="3">
        <v>91.8</v>
      </c>
      <c r="P712" s="3">
        <v>3</v>
      </c>
      <c r="Q712" s="3">
        <v>0</v>
      </c>
      <c r="R712" s="3">
        <v>0</v>
      </c>
      <c r="S712" s="3">
        <v>27</v>
      </c>
      <c r="T712" s="3">
        <v>21</v>
      </c>
      <c r="U712" s="3" t="s">
        <v>74</v>
      </c>
      <c r="V712" s="3">
        <v>6575</v>
      </c>
      <c r="W712" s="3">
        <v>5.3</v>
      </c>
      <c r="X712" s="3" t="s">
        <v>95</v>
      </c>
      <c r="Y712" s="7" t="s">
        <v>55</v>
      </c>
    </row>
    <row r="713" spans="1:25" x14ac:dyDescent="0.3">
      <c r="A713" s="5" t="s">
        <v>1027</v>
      </c>
      <c r="B713" s="3" t="s">
        <v>424</v>
      </c>
      <c r="C713" s="3" t="s">
        <v>24</v>
      </c>
      <c r="D713" s="3">
        <v>25</v>
      </c>
      <c r="E713" s="3" t="s">
        <v>160</v>
      </c>
      <c r="F713" s="3" t="s">
        <v>66</v>
      </c>
      <c r="G713" s="3" t="s">
        <v>80</v>
      </c>
      <c r="H713" s="3" t="s">
        <v>115</v>
      </c>
      <c r="I713" s="3" t="s">
        <v>68</v>
      </c>
      <c r="J713" s="6">
        <v>45280</v>
      </c>
      <c r="K713" s="3" t="s">
        <v>61</v>
      </c>
      <c r="L713" s="3" t="s">
        <v>31</v>
      </c>
      <c r="M713" s="3">
        <v>44500</v>
      </c>
      <c r="N713" s="3">
        <v>4</v>
      </c>
      <c r="O713" s="3">
        <v>98.1</v>
      </c>
      <c r="P713" s="3">
        <v>6</v>
      </c>
      <c r="Q713" s="3">
        <v>11</v>
      </c>
      <c r="R713" s="3">
        <v>2</v>
      </c>
      <c r="S713" s="3">
        <v>12</v>
      </c>
      <c r="T713" s="3">
        <v>21</v>
      </c>
      <c r="U713" s="3" t="s">
        <v>74</v>
      </c>
      <c r="V713" s="3">
        <v>3708</v>
      </c>
      <c r="W713" s="3">
        <v>2.6</v>
      </c>
      <c r="X713" s="3" t="s">
        <v>95</v>
      </c>
      <c r="Y713" s="7" t="s">
        <v>42</v>
      </c>
    </row>
    <row r="714" spans="1:25" x14ac:dyDescent="0.3">
      <c r="A714" s="5" t="s">
        <v>1028</v>
      </c>
      <c r="B714" s="3" t="s">
        <v>153</v>
      </c>
      <c r="C714" s="3" t="s">
        <v>24</v>
      </c>
      <c r="D714" s="3">
        <v>20</v>
      </c>
      <c r="E714" s="3" t="s">
        <v>98</v>
      </c>
      <c r="F714" s="3" t="s">
        <v>26</v>
      </c>
      <c r="G714" s="3" t="s">
        <v>122</v>
      </c>
      <c r="H714" s="3" t="s">
        <v>28</v>
      </c>
      <c r="I714" s="3" t="s">
        <v>86</v>
      </c>
      <c r="J714" s="6">
        <v>45811</v>
      </c>
      <c r="K714" s="3" t="s">
        <v>30</v>
      </c>
      <c r="L714" s="3" t="s">
        <v>31</v>
      </c>
      <c r="M714" s="3">
        <v>22500</v>
      </c>
      <c r="N714" s="3">
        <v>1</v>
      </c>
      <c r="O714" s="3">
        <v>94.3</v>
      </c>
      <c r="P714" s="3">
        <v>7</v>
      </c>
      <c r="Q714" s="3">
        <v>4</v>
      </c>
      <c r="R714" s="3">
        <v>2</v>
      </c>
      <c r="S714" s="3">
        <v>23</v>
      </c>
      <c r="T714" s="3">
        <v>5</v>
      </c>
      <c r="U714" s="3" t="s">
        <v>130</v>
      </c>
      <c r="V714" s="3">
        <v>1875</v>
      </c>
      <c r="W714" s="3">
        <v>1.2</v>
      </c>
      <c r="X714" s="3" t="s">
        <v>48</v>
      </c>
      <c r="Y714" s="7" t="s">
        <v>42</v>
      </c>
    </row>
    <row r="715" spans="1:25" x14ac:dyDescent="0.3">
      <c r="A715" s="5" t="s">
        <v>1029</v>
      </c>
      <c r="B715" s="3" t="s">
        <v>1030</v>
      </c>
      <c r="C715" s="3" t="s">
        <v>24</v>
      </c>
      <c r="D715" s="3">
        <v>34</v>
      </c>
      <c r="E715" s="3" t="s">
        <v>59</v>
      </c>
      <c r="F715" s="3" t="s">
        <v>38</v>
      </c>
      <c r="G715" s="3" t="s">
        <v>27</v>
      </c>
      <c r="H715" s="3" t="s">
        <v>28</v>
      </c>
      <c r="I715" s="3" t="s">
        <v>86</v>
      </c>
      <c r="J715" s="6">
        <v>44279</v>
      </c>
      <c r="K715" s="3" t="s">
        <v>30</v>
      </c>
      <c r="L715" s="3" t="s">
        <v>31</v>
      </c>
      <c r="M715" s="3">
        <v>93200</v>
      </c>
      <c r="N715" s="3">
        <v>11</v>
      </c>
      <c r="O715" s="3">
        <v>92.8</v>
      </c>
      <c r="P715" s="3">
        <v>3</v>
      </c>
      <c r="Q715" s="3">
        <v>11</v>
      </c>
      <c r="R715" s="3">
        <v>2</v>
      </c>
      <c r="S715" s="3">
        <v>8</v>
      </c>
      <c r="T715" s="3">
        <v>17</v>
      </c>
      <c r="U715" s="3" t="s">
        <v>41</v>
      </c>
      <c r="V715" s="3">
        <v>7767</v>
      </c>
      <c r="W715" s="3">
        <v>5.4</v>
      </c>
      <c r="X715" s="3" t="s">
        <v>33</v>
      </c>
      <c r="Y715" s="7" t="s">
        <v>42</v>
      </c>
    </row>
    <row r="716" spans="1:25" x14ac:dyDescent="0.3">
      <c r="A716" s="5" t="s">
        <v>1031</v>
      </c>
      <c r="B716" s="3" t="s">
        <v>375</v>
      </c>
      <c r="C716" s="3" t="s">
        <v>24</v>
      </c>
      <c r="D716" s="3">
        <v>46</v>
      </c>
      <c r="E716" s="3" t="s">
        <v>65</v>
      </c>
      <c r="F716" s="3" t="s">
        <v>79</v>
      </c>
      <c r="G716" s="3" t="s">
        <v>80</v>
      </c>
      <c r="H716" s="3" t="s">
        <v>28</v>
      </c>
      <c r="I716" s="3" t="s">
        <v>29</v>
      </c>
      <c r="J716" s="6">
        <v>45507</v>
      </c>
      <c r="K716" s="3" t="s">
        <v>30</v>
      </c>
      <c r="L716" s="3" t="s">
        <v>31</v>
      </c>
      <c r="M716" s="3">
        <v>46100</v>
      </c>
      <c r="N716" s="3">
        <v>23</v>
      </c>
      <c r="O716" s="3">
        <v>90.1</v>
      </c>
      <c r="P716" s="3">
        <v>8</v>
      </c>
      <c r="Q716" s="3">
        <v>8</v>
      </c>
      <c r="R716" s="3">
        <v>0</v>
      </c>
      <c r="S716" s="3">
        <v>29</v>
      </c>
      <c r="T716" s="3">
        <v>22</v>
      </c>
      <c r="U716" s="3" t="s">
        <v>130</v>
      </c>
      <c r="V716" s="3">
        <v>3842</v>
      </c>
      <c r="W716" s="3">
        <v>2</v>
      </c>
      <c r="X716" s="3" t="s">
        <v>54</v>
      </c>
      <c r="Y716" s="7" t="s">
        <v>42</v>
      </c>
    </row>
    <row r="717" spans="1:25" x14ac:dyDescent="0.3">
      <c r="A717" s="5" t="s">
        <v>1032</v>
      </c>
      <c r="B717" s="3" t="s">
        <v>704</v>
      </c>
      <c r="C717" s="3" t="s">
        <v>24</v>
      </c>
      <c r="D717" s="3">
        <v>31</v>
      </c>
      <c r="E717" s="3" t="s">
        <v>71</v>
      </c>
      <c r="F717" s="3" t="s">
        <v>52</v>
      </c>
      <c r="G717" s="3" t="s">
        <v>46</v>
      </c>
      <c r="H717" s="3" t="s">
        <v>28</v>
      </c>
      <c r="I717" s="3" t="s">
        <v>73</v>
      </c>
      <c r="J717" s="6">
        <v>44359</v>
      </c>
      <c r="K717" s="3" t="s">
        <v>30</v>
      </c>
      <c r="L717" s="3" t="s">
        <v>53</v>
      </c>
      <c r="M717" s="3">
        <v>63100</v>
      </c>
      <c r="N717" s="3">
        <v>8</v>
      </c>
      <c r="O717" s="3">
        <v>92.1</v>
      </c>
      <c r="P717" s="3">
        <v>5</v>
      </c>
      <c r="Q717" s="3">
        <v>11</v>
      </c>
      <c r="R717" s="3">
        <v>4</v>
      </c>
      <c r="S717" s="3">
        <v>22</v>
      </c>
      <c r="T717" s="3">
        <v>26</v>
      </c>
      <c r="U717" s="3" t="s">
        <v>41</v>
      </c>
      <c r="V717" s="3">
        <v>5258</v>
      </c>
      <c r="W717" s="3">
        <v>5.0999999999999996</v>
      </c>
      <c r="X717" s="3" t="s">
        <v>33</v>
      </c>
      <c r="Y717" s="7" t="s">
        <v>75</v>
      </c>
    </row>
    <row r="718" spans="1:25" x14ac:dyDescent="0.3">
      <c r="A718" s="5" t="s">
        <v>1033</v>
      </c>
      <c r="B718" s="3" t="s">
        <v>635</v>
      </c>
      <c r="C718" s="3" t="s">
        <v>24</v>
      </c>
      <c r="D718" s="3">
        <v>32</v>
      </c>
      <c r="E718" s="3" t="s">
        <v>65</v>
      </c>
      <c r="F718" s="3" t="s">
        <v>26</v>
      </c>
      <c r="G718" s="3" t="s">
        <v>80</v>
      </c>
      <c r="H718" s="3" t="s">
        <v>115</v>
      </c>
      <c r="I718" s="3" t="s">
        <v>73</v>
      </c>
      <c r="J718" s="6">
        <v>45908</v>
      </c>
      <c r="K718" s="3" t="s">
        <v>30</v>
      </c>
      <c r="L718" s="3" t="s">
        <v>93</v>
      </c>
      <c r="M718" s="3">
        <v>53100</v>
      </c>
      <c r="N718" s="3">
        <v>11</v>
      </c>
      <c r="O718" s="3">
        <v>86.2</v>
      </c>
      <c r="P718" s="3">
        <v>7</v>
      </c>
      <c r="Q718" s="3">
        <v>10</v>
      </c>
      <c r="R718" s="3">
        <v>2</v>
      </c>
      <c r="S718" s="3">
        <v>29</v>
      </c>
      <c r="T718" s="3">
        <v>26</v>
      </c>
      <c r="U718" s="3" t="s">
        <v>130</v>
      </c>
      <c r="V718" s="3">
        <v>4425</v>
      </c>
      <c r="W718" s="3">
        <v>0.9</v>
      </c>
      <c r="X718" s="3" t="s">
        <v>33</v>
      </c>
      <c r="Y718" s="7" t="s">
        <v>42</v>
      </c>
    </row>
    <row r="719" spans="1:25" x14ac:dyDescent="0.3">
      <c r="A719" s="5" t="s">
        <v>1034</v>
      </c>
      <c r="B719" s="3" t="s">
        <v>23</v>
      </c>
      <c r="C719" s="3" t="s">
        <v>58</v>
      </c>
      <c r="D719" s="3">
        <v>27</v>
      </c>
      <c r="E719" s="3" t="s">
        <v>78</v>
      </c>
      <c r="F719" s="3" t="s">
        <v>60</v>
      </c>
      <c r="G719" s="3" t="s">
        <v>39</v>
      </c>
      <c r="H719" s="3" t="s">
        <v>115</v>
      </c>
      <c r="I719" s="3" t="s">
        <v>47</v>
      </c>
      <c r="J719" s="6">
        <v>43265</v>
      </c>
      <c r="K719" s="3" t="s">
        <v>30</v>
      </c>
      <c r="L719" s="3" t="s">
        <v>31</v>
      </c>
      <c r="M719" s="3">
        <v>42800</v>
      </c>
      <c r="N719" s="3">
        <v>6</v>
      </c>
      <c r="O719" s="3">
        <v>90.1</v>
      </c>
      <c r="P719" s="3">
        <v>8</v>
      </c>
      <c r="Q719" s="3">
        <v>5</v>
      </c>
      <c r="R719" s="3">
        <v>2</v>
      </c>
      <c r="S719" s="3">
        <v>7</v>
      </c>
      <c r="T719" s="3">
        <v>21</v>
      </c>
      <c r="U719" s="3" t="s">
        <v>32</v>
      </c>
      <c r="V719" s="3">
        <v>3567</v>
      </c>
      <c r="W719" s="3">
        <v>8.1</v>
      </c>
      <c r="X719" s="3" t="s">
        <v>95</v>
      </c>
      <c r="Y719" s="7" t="s">
        <v>55</v>
      </c>
    </row>
    <row r="720" spans="1:25" x14ac:dyDescent="0.3">
      <c r="A720" s="5" t="s">
        <v>1035</v>
      </c>
      <c r="B720" s="3" t="s">
        <v>359</v>
      </c>
      <c r="C720" s="3" t="s">
        <v>24</v>
      </c>
      <c r="D720" s="3">
        <v>28</v>
      </c>
      <c r="E720" s="3" t="s">
        <v>137</v>
      </c>
      <c r="F720" s="3" t="s">
        <v>72</v>
      </c>
      <c r="G720" s="3" t="s">
        <v>171</v>
      </c>
      <c r="H720" s="3" t="s">
        <v>122</v>
      </c>
      <c r="I720" s="3" t="s">
        <v>40</v>
      </c>
      <c r="J720" s="6">
        <v>45865</v>
      </c>
      <c r="K720" s="3" t="s">
        <v>61</v>
      </c>
      <c r="L720" s="3" t="s">
        <v>31</v>
      </c>
      <c r="M720" s="3">
        <v>144700</v>
      </c>
      <c r="N720" s="3">
        <v>9</v>
      </c>
      <c r="O720" s="3">
        <v>93.7</v>
      </c>
      <c r="P720" s="3">
        <v>0</v>
      </c>
      <c r="Q720" s="3">
        <v>8</v>
      </c>
      <c r="R720" s="3">
        <v>3</v>
      </c>
      <c r="S720" s="3">
        <v>11</v>
      </c>
      <c r="T720" s="3">
        <v>28</v>
      </c>
      <c r="U720" s="3" t="s">
        <v>94</v>
      </c>
      <c r="V720" s="3">
        <v>12058</v>
      </c>
      <c r="W720" s="3">
        <v>1</v>
      </c>
      <c r="X720" s="3" t="s">
        <v>95</v>
      </c>
      <c r="Y720" s="7" t="s">
        <v>55</v>
      </c>
    </row>
    <row r="721" spans="1:25" x14ac:dyDescent="0.3">
      <c r="A721" s="5" t="s">
        <v>1036</v>
      </c>
      <c r="B721" s="3" t="s">
        <v>100</v>
      </c>
      <c r="C721" s="3" t="s">
        <v>24</v>
      </c>
      <c r="D721" s="3">
        <v>20</v>
      </c>
      <c r="E721" s="3" t="s">
        <v>65</v>
      </c>
      <c r="F721" s="3" t="s">
        <v>60</v>
      </c>
      <c r="G721" s="3" t="s">
        <v>80</v>
      </c>
      <c r="H721" s="3" t="s">
        <v>28</v>
      </c>
      <c r="I721" s="3" t="s">
        <v>92</v>
      </c>
      <c r="J721" s="6">
        <v>45575</v>
      </c>
      <c r="K721" s="3" t="s">
        <v>30</v>
      </c>
      <c r="L721" s="3" t="s">
        <v>31</v>
      </c>
      <c r="M721" s="3">
        <v>53800</v>
      </c>
      <c r="N721" s="3">
        <v>1</v>
      </c>
      <c r="O721" s="3">
        <v>91.6</v>
      </c>
      <c r="P721" s="3">
        <v>4</v>
      </c>
      <c r="Q721" s="3">
        <v>11</v>
      </c>
      <c r="R721" s="3">
        <v>0</v>
      </c>
      <c r="S721" s="3">
        <v>9</v>
      </c>
      <c r="T721" s="3">
        <v>10</v>
      </c>
      <c r="U721" s="3" t="s">
        <v>41</v>
      </c>
      <c r="V721" s="3">
        <v>4483</v>
      </c>
      <c r="W721" s="3">
        <v>1.8</v>
      </c>
      <c r="X721" s="3" t="s">
        <v>48</v>
      </c>
      <c r="Y721" s="7" t="s">
        <v>34</v>
      </c>
    </row>
    <row r="722" spans="1:25" x14ac:dyDescent="0.3">
      <c r="A722" s="5" t="s">
        <v>1037</v>
      </c>
      <c r="B722" s="3" t="s">
        <v>456</v>
      </c>
      <c r="C722" s="3" t="s">
        <v>58</v>
      </c>
      <c r="D722" s="3">
        <v>24</v>
      </c>
      <c r="E722" s="3" t="s">
        <v>37</v>
      </c>
      <c r="F722" s="3" t="s">
        <v>72</v>
      </c>
      <c r="G722" s="3" t="s">
        <v>46</v>
      </c>
      <c r="H722" s="3" t="s">
        <v>28</v>
      </c>
      <c r="I722" s="3" t="s">
        <v>29</v>
      </c>
      <c r="J722" s="6">
        <v>45825</v>
      </c>
      <c r="K722" s="3" t="s">
        <v>30</v>
      </c>
      <c r="L722" s="3" t="s">
        <v>31</v>
      </c>
      <c r="M722" s="3">
        <v>96300</v>
      </c>
      <c r="N722" s="3">
        <v>3</v>
      </c>
      <c r="O722" s="3">
        <v>89.1</v>
      </c>
      <c r="P722" s="3">
        <v>6</v>
      </c>
      <c r="Q722" s="3">
        <v>12</v>
      </c>
      <c r="R722" s="3">
        <v>0</v>
      </c>
      <c r="S722" s="3">
        <v>6</v>
      </c>
      <c r="T722" s="3">
        <v>25</v>
      </c>
      <c r="U722" s="3" t="s">
        <v>94</v>
      </c>
      <c r="V722" s="3">
        <v>8025</v>
      </c>
      <c r="W722" s="3">
        <v>1.1000000000000001</v>
      </c>
      <c r="X722" s="3" t="s">
        <v>48</v>
      </c>
      <c r="Y722" s="7" t="s">
        <v>42</v>
      </c>
    </row>
    <row r="723" spans="1:25" x14ac:dyDescent="0.3">
      <c r="A723" s="5" t="s">
        <v>1038</v>
      </c>
      <c r="B723" s="3" t="s">
        <v>100</v>
      </c>
      <c r="C723" s="3" t="s">
        <v>24</v>
      </c>
      <c r="D723" s="3">
        <v>26</v>
      </c>
      <c r="E723" s="3" t="s">
        <v>101</v>
      </c>
      <c r="F723" s="3" t="s">
        <v>38</v>
      </c>
      <c r="G723" s="3" t="s">
        <v>46</v>
      </c>
      <c r="H723" s="3" t="s">
        <v>28</v>
      </c>
      <c r="I723" s="3" t="s">
        <v>107</v>
      </c>
      <c r="J723" s="6">
        <v>45636</v>
      </c>
      <c r="K723" s="3" t="s">
        <v>30</v>
      </c>
      <c r="L723" s="3" t="s">
        <v>31</v>
      </c>
      <c r="M723" s="3">
        <v>77900</v>
      </c>
      <c r="N723" s="3">
        <v>6</v>
      </c>
      <c r="O723" s="3">
        <v>84.9</v>
      </c>
      <c r="P723" s="3">
        <v>1</v>
      </c>
      <c r="Q723" s="3">
        <v>3</v>
      </c>
      <c r="R723" s="3">
        <v>2</v>
      </c>
      <c r="S723" s="3">
        <v>6</v>
      </c>
      <c r="T723" s="3">
        <v>30</v>
      </c>
      <c r="U723" s="3" t="s">
        <v>32</v>
      </c>
      <c r="V723" s="3">
        <v>6492</v>
      </c>
      <c r="W723" s="3">
        <v>1.6</v>
      </c>
      <c r="X723" s="3" t="s">
        <v>95</v>
      </c>
      <c r="Y723" s="7" t="s">
        <v>75</v>
      </c>
    </row>
    <row r="724" spans="1:25" x14ac:dyDescent="0.3">
      <c r="A724" s="5" t="s">
        <v>1039</v>
      </c>
      <c r="B724" s="3" t="s">
        <v>541</v>
      </c>
      <c r="C724" s="3" t="s">
        <v>58</v>
      </c>
      <c r="D724" s="3">
        <v>37</v>
      </c>
      <c r="E724" s="3" t="s">
        <v>160</v>
      </c>
      <c r="F724" s="3" t="s">
        <v>66</v>
      </c>
      <c r="G724" s="3" t="s">
        <v>46</v>
      </c>
      <c r="H724" s="3" t="s">
        <v>28</v>
      </c>
      <c r="I724" s="3" t="s">
        <v>73</v>
      </c>
      <c r="J724" s="6">
        <v>43313</v>
      </c>
      <c r="K724" s="3" t="s">
        <v>87</v>
      </c>
      <c r="L724" s="3" t="s">
        <v>53</v>
      </c>
      <c r="M724" s="3">
        <v>73800</v>
      </c>
      <c r="N724" s="3">
        <v>17</v>
      </c>
      <c r="O724" s="3">
        <v>90.4</v>
      </c>
      <c r="P724" s="3">
        <v>6</v>
      </c>
      <c r="Q724" s="3">
        <v>1</v>
      </c>
      <c r="R724" s="3">
        <v>3</v>
      </c>
      <c r="S724" s="3">
        <v>16</v>
      </c>
      <c r="T724" s="3">
        <v>22</v>
      </c>
      <c r="U724" s="3" t="s">
        <v>41</v>
      </c>
      <c r="V724" s="3">
        <v>6150</v>
      </c>
      <c r="W724" s="3">
        <v>8</v>
      </c>
      <c r="X724" s="3" t="s">
        <v>108</v>
      </c>
      <c r="Y724" s="7" t="s">
        <v>42</v>
      </c>
    </row>
    <row r="725" spans="1:25" x14ac:dyDescent="0.3">
      <c r="A725" s="5" t="s">
        <v>1040</v>
      </c>
      <c r="B725" s="3" t="s">
        <v>23</v>
      </c>
      <c r="C725" s="3" t="s">
        <v>24</v>
      </c>
      <c r="D725" s="3">
        <v>41</v>
      </c>
      <c r="E725" s="3" t="s">
        <v>65</v>
      </c>
      <c r="F725" s="3" t="s">
        <v>38</v>
      </c>
      <c r="G725" s="3" t="s">
        <v>27</v>
      </c>
      <c r="H725" s="3" t="s">
        <v>28</v>
      </c>
      <c r="I725" s="3" t="s">
        <v>40</v>
      </c>
      <c r="J725" s="6">
        <v>45049</v>
      </c>
      <c r="K725" s="3" t="s">
        <v>30</v>
      </c>
      <c r="L725" s="3" t="s">
        <v>93</v>
      </c>
      <c r="M725" s="3">
        <v>82400</v>
      </c>
      <c r="N725" s="3">
        <v>22</v>
      </c>
      <c r="O725" s="3">
        <v>87.3</v>
      </c>
      <c r="P725" s="3">
        <v>6</v>
      </c>
      <c r="Q725" s="3">
        <v>14</v>
      </c>
      <c r="R725" s="3">
        <v>3</v>
      </c>
      <c r="S725" s="3">
        <v>4</v>
      </c>
      <c r="T725" s="3">
        <v>25</v>
      </c>
      <c r="U725" s="3" t="s">
        <v>94</v>
      </c>
      <c r="V725" s="3">
        <v>6867</v>
      </c>
      <c r="W725" s="3">
        <v>3.2</v>
      </c>
      <c r="X725" s="3" t="s">
        <v>62</v>
      </c>
      <c r="Y725" s="7" t="s">
        <v>42</v>
      </c>
    </row>
    <row r="726" spans="1:25" x14ac:dyDescent="0.3">
      <c r="A726" s="5" t="s">
        <v>1041</v>
      </c>
      <c r="B726" s="3" t="s">
        <v>256</v>
      </c>
      <c r="C726" s="3" t="s">
        <v>24</v>
      </c>
      <c r="D726" s="3">
        <v>27</v>
      </c>
      <c r="E726" s="3" t="s">
        <v>59</v>
      </c>
      <c r="F726" s="3" t="s">
        <v>79</v>
      </c>
      <c r="G726" s="3" t="s">
        <v>46</v>
      </c>
      <c r="H726" s="3" t="s">
        <v>115</v>
      </c>
      <c r="I726" s="3" t="s">
        <v>47</v>
      </c>
      <c r="J726" s="6">
        <v>43866</v>
      </c>
      <c r="K726" s="3" t="s">
        <v>30</v>
      </c>
      <c r="L726" s="3" t="s">
        <v>93</v>
      </c>
      <c r="M726" s="3">
        <v>76000</v>
      </c>
      <c r="N726" s="3">
        <v>6</v>
      </c>
      <c r="O726" s="3">
        <v>90.9</v>
      </c>
      <c r="P726" s="3">
        <v>2</v>
      </c>
      <c r="Q726" s="3">
        <v>8</v>
      </c>
      <c r="R726" s="3">
        <v>1</v>
      </c>
      <c r="S726" s="3">
        <v>9</v>
      </c>
      <c r="T726" s="3">
        <v>30</v>
      </c>
      <c r="U726" s="3" t="s">
        <v>123</v>
      </c>
      <c r="V726" s="3">
        <v>6333</v>
      </c>
      <c r="W726" s="3">
        <v>6.5</v>
      </c>
      <c r="X726" s="3" t="s">
        <v>95</v>
      </c>
      <c r="Y726" s="7" t="s">
        <v>42</v>
      </c>
    </row>
    <row r="727" spans="1:25" x14ac:dyDescent="0.3">
      <c r="A727" s="5" t="s">
        <v>1042</v>
      </c>
      <c r="B727" s="3" t="s">
        <v>1043</v>
      </c>
      <c r="C727" s="3" t="s">
        <v>58</v>
      </c>
      <c r="D727" s="3">
        <v>43</v>
      </c>
      <c r="E727" s="3" t="s">
        <v>51</v>
      </c>
      <c r="F727" s="3" t="s">
        <v>38</v>
      </c>
      <c r="G727" s="3" t="s">
        <v>80</v>
      </c>
      <c r="H727" s="3" t="s">
        <v>67</v>
      </c>
      <c r="I727" s="3" t="s">
        <v>47</v>
      </c>
      <c r="J727" s="6">
        <v>45305</v>
      </c>
      <c r="K727" s="3" t="s">
        <v>30</v>
      </c>
      <c r="L727" s="3" t="s">
        <v>53</v>
      </c>
      <c r="M727" s="3">
        <v>54400</v>
      </c>
      <c r="N727" s="3">
        <v>20</v>
      </c>
      <c r="O727" s="3">
        <v>92.4</v>
      </c>
      <c r="P727" s="3">
        <v>8</v>
      </c>
      <c r="Q727" s="3">
        <v>3</v>
      </c>
      <c r="R727" s="3">
        <v>1</v>
      </c>
      <c r="S727" s="3">
        <v>20</v>
      </c>
      <c r="T727" s="3">
        <v>8</v>
      </c>
      <c r="U727" s="3" t="s">
        <v>104</v>
      </c>
      <c r="V727" s="3">
        <v>4533</v>
      </c>
      <c r="W727" s="3">
        <v>2.5</v>
      </c>
      <c r="X727" s="3" t="s">
        <v>62</v>
      </c>
      <c r="Y727" s="7" t="s">
        <v>42</v>
      </c>
    </row>
    <row r="728" spans="1:25" x14ac:dyDescent="0.3">
      <c r="A728" s="5" t="s">
        <v>1044</v>
      </c>
      <c r="B728" s="3" t="s">
        <v>820</v>
      </c>
      <c r="C728" s="3" t="s">
        <v>24</v>
      </c>
      <c r="D728" s="3">
        <v>45</v>
      </c>
      <c r="E728" s="3" t="s">
        <v>45</v>
      </c>
      <c r="F728" s="3" t="s">
        <v>38</v>
      </c>
      <c r="G728" s="3" t="s">
        <v>27</v>
      </c>
      <c r="H728" s="3" t="s">
        <v>115</v>
      </c>
      <c r="I728" s="3" t="s">
        <v>29</v>
      </c>
      <c r="J728" s="6">
        <v>45583</v>
      </c>
      <c r="K728" s="3" t="s">
        <v>30</v>
      </c>
      <c r="L728" s="3" t="s">
        <v>31</v>
      </c>
      <c r="M728" s="3">
        <v>87500</v>
      </c>
      <c r="N728" s="3">
        <v>22</v>
      </c>
      <c r="O728" s="3">
        <v>98.2</v>
      </c>
      <c r="P728" s="3">
        <v>6</v>
      </c>
      <c r="Q728" s="3">
        <v>13</v>
      </c>
      <c r="R728" s="3">
        <v>2</v>
      </c>
      <c r="S728" s="3">
        <v>30</v>
      </c>
      <c r="T728" s="3">
        <v>19</v>
      </c>
      <c r="U728" s="3" t="s">
        <v>130</v>
      </c>
      <c r="V728" s="3">
        <v>7292</v>
      </c>
      <c r="W728" s="3">
        <v>1.8</v>
      </c>
      <c r="X728" s="3" t="s">
        <v>54</v>
      </c>
      <c r="Y728" s="7" t="s">
        <v>75</v>
      </c>
    </row>
    <row r="729" spans="1:25" x14ac:dyDescent="0.3">
      <c r="A729" s="5" t="s">
        <v>1045</v>
      </c>
      <c r="B729" s="3" t="s">
        <v>125</v>
      </c>
      <c r="C729" s="3" t="s">
        <v>58</v>
      </c>
      <c r="D729" s="3">
        <v>29</v>
      </c>
      <c r="E729" s="3" t="s">
        <v>98</v>
      </c>
      <c r="F729" s="3" t="s">
        <v>91</v>
      </c>
      <c r="G729" s="3" t="s">
        <v>39</v>
      </c>
      <c r="H729" s="3" t="s">
        <v>115</v>
      </c>
      <c r="I729" s="3" t="s">
        <v>86</v>
      </c>
      <c r="J729" s="6">
        <v>44302</v>
      </c>
      <c r="K729" s="3" t="s">
        <v>30</v>
      </c>
      <c r="L729" s="3" t="s">
        <v>31</v>
      </c>
      <c r="M729" s="3">
        <v>29200</v>
      </c>
      <c r="N729" s="3">
        <v>9</v>
      </c>
      <c r="O729" s="3">
        <v>95.7</v>
      </c>
      <c r="P729" s="3">
        <v>4</v>
      </c>
      <c r="Q729" s="3">
        <v>10</v>
      </c>
      <c r="R729" s="3">
        <v>0</v>
      </c>
      <c r="S729" s="3">
        <v>19</v>
      </c>
      <c r="T729" s="3">
        <v>11</v>
      </c>
      <c r="U729" s="3" t="s">
        <v>32</v>
      </c>
      <c r="V729" s="3">
        <v>2433</v>
      </c>
      <c r="W729" s="3">
        <v>5.3</v>
      </c>
      <c r="X729" s="3" t="s">
        <v>95</v>
      </c>
      <c r="Y729" s="7" t="s">
        <v>42</v>
      </c>
    </row>
    <row r="730" spans="1:25" x14ac:dyDescent="0.3">
      <c r="A730" s="5" t="s">
        <v>1046</v>
      </c>
      <c r="B730" s="3" t="s">
        <v>879</v>
      </c>
      <c r="C730" s="3" t="s">
        <v>24</v>
      </c>
      <c r="D730" s="3">
        <v>48</v>
      </c>
      <c r="E730" s="3" t="s">
        <v>160</v>
      </c>
      <c r="F730" s="3" t="s">
        <v>52</v>
      </c>
      <c r="G730" s="3" t="s">
        <v>80</v>
      </c>
      <c r="H730" s="3" t="s">
        <v>115</v>
      </c>
      <c r="I730" s="3" t="s">
        <v>29</v>
      </c>
      <c r="J730" s="6">
        <v>44920</v>
      </c>
      <c r="K730" s="3" t="s">
        <v>61</v>
      </c>
      <c r="L730" s="3" t="s">
        <v>53</v>
      </c>
      <c r="M730" s="3">
        <v>54000</v>
      </c>
      <c r="N730" s="3">
        <v>28</v>
      </c>
      <c r="O730" s="3">
        <v>92.2</v>
      </c>
      <c r="P730" s="3">
        <v>6</v>
      </c>
      <c r="Q730" s="3">
        <v>13</v>
      </c>
      <c r="R730" s="3">
        <v>3</v>
      </c>
      <c r="S730" s="3">
        <v>14</v>
      </c>
      <c r="T730" s="3">
        <v>16</v>
      </c>
      <c r="U730" s="3" t="s">
        <v>41</v>
      </c>
      <c r="V730" s="3">
        <v>4500</v>
      </c>
      <c r="W730" s="3">
        <v>3.6</v>
      </c>
      <c r="X730" s="3" t="s">
        <v>54</v>
      </c>
      <c r="Y730" s="7" t="s">
        <v>75</v>
      </c>
    </row>
    <row r="731" spans="1:25" x14ac:dyDescent="0.3">
      <c r="A731" s="5" t="s">
        <v>1047</v>
      </c>
      <c r="B731" s="3" t="s">
        <v>548</v>
      </c>
      <c r="C731" s="3" t="s">
        <v>58</v>
      </c>
      <c r="D731" s="3">
        <v>27</v>
      </c>
      <c r="E731" s="3" t="s">
        <v>98</v>
      </c>
      <c r="F731" s="3" t="s">
        <v>91</v>
      </c>
      <c r="G731" s="3" t="s">
        <v>171</v>
      </c>
      <c r="H731" s="3" t="s">
        <v>28</v>
      </c>
      <c r="I731" s="3" t="s">
        <v>40</v>
      </c>
      <c r="J731" s="6">
        <v>45990</v>
      </c>
      <c r="K731" s="3" t="s">
        <v>30</v>
      </c>
      <c r="L731" s="3" t="s">
        <v>31</v>
      </c>
      <c r="M731" s="3">
        <v>77700</v>
      </c>
      <c r="N731" s="3">
        <v>6</v>
      </c>
      <c r="O731" s="3">
        <v>100</v>
      </c>
      <c r="P731" s="3">
        <v>6</v>
      </c>
      <c r="Q731" s="3">
        <v>1</v>
      </c>
      <c r="R731" s="3">
        <v>3</v>
      </c>
      <c r="S731" s="3">
        <v>12</v>
      </c>
      <c r="T731" s="3">
        <v>30</v>
      </c>
      <c r="U731" s="3" t="s">
        <v>74</v>
      </c>
      <c r="V731" s="3">
        <v>6475</v>
      </c>
      <c r="W731" s="3">
        <v>0.7</v>
      </c>
      <c r="X731" s="3" t="s">
        <v>95</v>
      </c>
      <c r="Y731" s="7" t="s">
        <v>42</v>
      </c>
    </row>
    <row r="732" spans="1:25" x14ac:dyDescent="0.3">
      <c r="A732" s="5" t="s">
        <v>1048</v>
      </c>
      <c r="B732" s="3" t="s">
        <v>625</v>
      </c>
      <c r="C732" s="3" t="s">
        <v>24</v>
      </c>
      <c r="D732" s="3">
        <v>31</v>
      </c>
      <c r="E732" s="3" t="s">
        <v>71</v>
      </c>
      <c r="F732" s="3" t="s">
        <v>26</v>
      </c>
      <c r="G732" s="3" t="s">
        <v>46</v>
      </c>
      <c r="H732" s="3" t="s">
        <v>67</v>
      </c>
      <c r="I732" s="3" t="s">
        <v>86</v>
      </c>
      <c r="J732" s="6">
        <v>43745</v>
      </c>
      <c r="K732" s="3" t="s">
        <v>30</v>
      </c>
      <c r="L732" s="3" t="s">
        <v>31</v>
      </c>
      <c r="M732" s="3">
        <v>70500</v>
      </c>
      <c r="N732" s="3">
        <v>10</v>
      </c>
      <c r="O732" s="3">
        <v>93</v>
      </c>
      <c r="P732" s="3">
        <v>5</v>
      </c>
      <c r="Q732" s="3">
        <v>0</v>
      </c>
      <c r="R732" s="3">
        <v>3</v>
      </c>
      <c r="S732" s="3">
        <v>13</v>
      </c>
      <c r="T732" s="3">
        <v>25</v>
      </c>
      <c r="U732" s="3" t="s">
        <v>74</v>
      </c>
      <c r="V732" s="3">
        <v>5875</v>
      </c>
      <c r="W732" s="3">
        <v>6.8</v>
      </c>
      <c r="X732" s="3" t="s">
        <v>33</v>
      </c>
      <c r="Y732" s="7" t="s">
        <v>42</v>
      </c>
    </row>
    <row r="733" spans="1:25" x14ac:dyDescent="0.3">
      <c r="A733" s="5" t="s">
        <v>1049</v>
      </c>
      <c r="B733" s="3" t="s">
        <v>168</v>
      </c>
      <c r="C733" s="3" t="s">
        <v>24</v>
      </c>
      <c r="D733" s="3">
        <v>35</v>
      </c>
      <c r="E733" s="3" t="s">
        <v>71</v>
      </c>
      <c r="F733" s="3" t="s">
        <v>52</v>
      </c>
      <c r="G733" s="3" t="s">
        <v>27</v>
      </c>
      <c r="H733" s="3" t="s">
        <v>28</v>
      </c>
      <c r="I733" s="3" t="s">
        <v>40</v>
      </c>
      <c r="J733" s="6">
        <v>44761</v>
      </c>
      <c r="K733" s="3" t="s">
        <v>30</v>
      </c>
      <c r="L733" s="3" t="s">
        <v>53</v>
      </c>
      <c r="M733" s="3">
        <v>79100</v>
      </c>
      <c r="N733" s="3">
        <v>12</v>
      </c>
      <c r="O733" s="3">
        <v>87.4</v>
      </c>
      <c r="P733" s="3">
        <v>3</v>
      </c>
      <c r="Q733" s="3">
        <v>1</v>
      </c>
      <c r="R733" s="3">
        <v>0</v>
      </c>
      <c r="S733" s="3">
        <v>16</v>
      </c>
      <c r="T733" s="3">
        <v>10</v>
      </c>
      <c r="U733" s="3" t="s">
        <v>74</v>
      </c>
      <c r="V733" s="3">
        <v>6592</v>
      </c>
      <c r="W733" s="3">
        <v>4</v>
      </c>
      <c r="X733" s="3" t="s">
        <v>108</v>
      </c>
      <c r="Y733" s="7" t="s">
        <v>42</v>
      </c>
    </row>
    <row r="734" spans="1:25" x14ac:dyDescent="0.3">
      <c r="A734" s="5" t="s">
        <v>1050</v>
      </c>
      <c r="B734" s="3" t="s">
        <v>513</v>
      </c>
      <c r="C734" s="3" t="s">
        <v>24</v>
      </c>
      <c r="D734" s="3">
        <v>31</v>
      </c>
      <c r="E734" s="3" t="s">
        <v>71</v>
      </c>
      <c r="F734" s="3" t="s">
        <v>52</v>
      </c>
      <c r="G734" s="3" t="s">
        <v>46</v>
      </c>
      <c r="H734" s="3" t="s">
        <v>28</v>
      </c>
      <c r="I734" s="3" t="s">
        <v>107</v>
      </c>
      <c r="J734" s="6">
        <v>45460</v>
      </c>
      <c r="K734" s="3" t="s">
        <v>30</v>
      </c>
      <c r="L734" s="3" t="s">
        <v>53</v>
      </c>
      <c r="M734" s="3">
        <v>62300</v>
      </c>
      <c r="N734" s="3">
        <v>12</v>
      </c>
      <c r="O734" s="3">
        <v>89.9</v>
      </c>
      <c r="P734" s="3">
        <v>7</v>
      </c>
      <c r="Q734" s="3">
        <v>4</v>
      </c>
      <c r="R734" s="3">
        <v>1</v>
      </c>
      <c r="S734" s="3">
        <v>6</v>
      </c>
      <c r="T734" s="3">
        <v>19</v>
      </c>
      <c r="U734" s="3" t="s">
        <v>104</v>
      </c>
      <c r="V734" s="3">
        <v>5192</v>
      </c>
      <c r="W734" s="3">
        <v>2.1</v>
      </c>
      <c r="X734" s="3" t="s">
        <v>33</v>
      </c>
      <c r="Y734" s="7" t="s">
        <v>75</v>
      </c>
    </row>
    <row r="735" spans="1:25" x14ac:dyDescent="0.3">
      <c r="A735" s="5" t="s">
        <v>1051</v>
      </c>
      <c r="B735" s="3" t="s">
        <v>309</v>
      </c>
      <c r="C735" s="3" t="s">
        <v>24</v>
      </c>
      <c r="D735" s="3">
        <v>41</v>
      </c>
      <c r="E735" s="3" t="s">
        <v>59</v>
      </c>
      <c r="F735" s="3" t="s">
        <v>66</v>
      </c>
      <c r="G735" s="3" t="s">
        <v>27</v>
      </c>
      <c r="H735" s="3" t="s">
        <v>28</v>
      </c>
      <c r="I735" s="3" t="s">
        <v>86</v>
      </c>
      <c r="J735" s="6">
        <v>44956</v>
      </c>
      <c r="K735" s="3" t="s">
        <v>30</v>
      </c>
      <c r="L735" s="3" t="s">
        <v>31</v>
      </c>
      <c r="M735" s="3">
        <v>95700</v>
      </c>
      <c r="N735" s="3">
        <v>19</v>
      </c>
      <c r="O735" s="3">
        <v>100</v>
      </c>
      <c r="P735" s="3">
        <v>1</v>
      </c>
      <c r="Q735" s="3">
        <v>2</v>
      </c>
      <c r="R735" s="3">
        <v>2</v>
      </c>
      <c r="S735" s="3">
        <v>23</v>
      </c>
      <c r="T735" s="3">
        <v>12</v>
      </c>
      <c r="U735" s="3" t="s">
        <v>41</v>
      </c>
      <c r="V735" s="3">
        <v>7975</v>
      </c>
      <c r="W735" s="3">
        <v>3.5</v>
      </c>
      <c r="X735" s="3" t="s">
        <v>62</v>
      </c>
      <c r="Y735" s="7" t="s">
        <v>75</v>
      </c>
    </row>
    <row r="736" spans="1:25" x14ac:dyDescent="0.3">
      <c r="A736" s="5" t="s">
        <v>1052</v>
      </c>
      <c r="B736" s="3" t="s">
        <v>295</v>
      </c>
      <c r="C736" s="3" t="s">
        <v>24</v>
      </c>
      <c r="D736" s="3">
        <v>41</v>
      </c>
      <c r="E736" s="3" t="s">
        <v>37</v>
      </c>
      <c r="F736" s="3" t="s">
        <v>38</v>
      </c>
      <c r="G736" s="3" t="s">
        <v>171</v>
      </c>
      <c r="H736" s="3" t="s">
        <v>28</v>
      </c>
      <c r="I736" s="3" t="s">
        <v>107</v>
      </c>
      <c r="J736" s="6">
        <v>43227</v>
      </c>
      <c r="K736" s="3" t="s">
        <v>61</v>
      </c>
      <c r="L736" s="3" t="s">
        <v>31</v>
      </c>
      <c r="M736" s="3">
        <v>130500</v>
      </c>
      <c r="N736" s="3">
        <v>22</v>
      </c>
      <c r="O736" s="3">
        <v>87.4</v>
      </c>
      <c r="P736" s="3">
        <v>7</v>
      </c>
      <c r="Q736" s="3">
        <v>12</v>
      </c>
      <c r="R736" s="3">
        <v>1</v>
      </c>
      <c r="S736" s="3">
        <v>20</v>
      </c>
      <c r="T736" s="3">
        <v>13</v>
      </c>
      <c r="U736" s="3" t="s">
        <v>94</v>
      </c>
      <c r="V736" s="3">
        <v>10875</v>
      </c>
      <c r="W736" s="3">
        <v>8.1999999999999993</v>
      </c>
      <c r="X736" s="3" t="s">
        <v>62</v>
      </c>
      <c r="Y736" s="7" t="s">
        <v>42</v>
      </c>
    </row>
    <row r="737" spans="1:25" x14ac:dyDescent="0.3">
      <c r="A737" s="5" t="s">
        <v>1053</v>
      </c>
      <c r="B737" s="3" t="s">
        <v>268</v>
      </c>
      <c r="C737" s="3" t="s">
        <v>58</v>
      </c>
      <c r="D737" s="3">
        <v>46</v>
      </c>
      <c r="E737" s="3" t="s">
        <v>160</v>
      </c>
      <c r="F737" s="3" t="s">
        <v>66</v>
      </c>
      <c r="G737" s="3" t="s">
        <v>80</v>
      </c>
      <c r="H737" s="3" t="s">
        <v>28</v>
      </c>
      <c r="I737" s="3" t="s">
        <v>73</v>
      </c>
      <c r="J737" s="6">
        <v>43477</v>
      </c>
      <c r="K737" s="3" t="s">
        <v>30</v>
      </c>
      <c r="L737" s="3" t="s">
        <v>93</v>
      </c>
      <c r="M737" s="3">
        <v>39000</v>
      </c>
      <c r="N737" s="3">
        <v>23</v>
      </c>
      <c r="O737" s="3">
        <v>89.5</v>
      </c>
      <c r="P737" s="3">
        <v>4</v>
      </c>
      <c r="Q737" s="3">
        <v>5</v>
      </c>
      <c r="R737" s="3">
        <v>3</v>
      </c>
      <c r="S737" s="3">
        <v>3</v>
      </c>
      <c r="T737" s="3">
        <v>3</v>
      </c>
      <c r="U737" s="3" t="s">
        <v>32</v>
      </c>
      <c r="V737" s="3">
        <v>3250</v>
      </c>
      <c r="W737" s="3">
        <v>7.6</v>
      </c>
      <c r="X737" s="3" t="s">
        <v>54</v>
      </c>
      <c r="Y737" s="7" t="s">
        <v>42</v>
      </c>
    </row>
    <row r="738" spans="1:25" x14ac:dyDescent="0.3">
      <c r="A738" s="5" t="s">
        <v>1054</v>
      </c>
      <c r="B738" s="3" t="s">
        <v>156</v>
      </c>
      <c r="C738" s="3" t="s">
        <v>24</v>
      </c>
      <c r="D738" s="3">
        <v>22</v>
      </c>
      <c r="E738" s="3" t="s">
        <v>25</v>
      </c>
      <c r="F738" s="3" t="s">
        <v>72</v>
      </c>
      <c r="G738" s="3" t="s">
        <v>39</v>
      </c>
      <c r="H738" s="3" t="s">
        <v>28</v>
      </c>
      <c r="I738" s="3" t="s">
        <v>107</v>
      </c>
      <c r="J738" s="6">
        <v>43325</v>
      </c>
      <c r="K738" s="3" t="s">
        <v>30</v>
      </c>
      <c r="L738" s="3" t="s">
        <v>93</v>
      </c>
      <c r="M738" s="3">
        <v>47600</v>
      </c>
      <c r="N738" s="3">
        <v>3</v>
      </c>
      <c r="O738" s="3">
        <v>96</v>
      </c>
      <c r="P738" s="3">
        <v>6</v>
      </c>
      <c r="Q738" s="3">
        <v>13</v>
      </c>
      <c r="R738" s="3">
        <v>3</v>
      </c>
      <c r="S738" s="3">
        <v>27</v>
      </c>
      <c r="T738" s="3">
        <v>27</v>
      </c>
      <c r="U738" s="3" t="s">
        <v>94</v>
      </c>
      <c r="V738" s="3">
        <v>3967</v>
      </c>
      <c r="W738" s="3">
        <v>8</v>
      </c>
      <c r="X738" s="3" t="s">
        <v>48</v>
      </c>
      <c r="Y738" s="7" t="s">
        <v>75</v>
      </c>
    </row>
    <row r="739" spans="1:25" x14ac:dyDescent="0.3">
      <c r="A739" s="5" t="s">
        <v>1055</v>
      </c>
      <c r="B739" s="3" t="s">
        <v>1056</v>
      </c>
      <c r="C739" s="3" t="s">
        <v>24</v>
      </c>
      <c r="D739" s="3">
        <v>37</v>
      </c>
      <c r="E739" s="3" t="s">
        <v>78</v>
      </c>
      <c r="F739" s="3" t="s">
        <v>26</v>
      </c>
      <c r="G739" s="3" t="s">
        <v>80</v>
      </c>
      <c r="H739" s="3" t="s">
        <v>28</v>
      </c>
      <c r="I739" s="3" t="s">
        <v>40</v>
      </c>
      <c r="J739" s="6">
        <v>46189</v>
      </c>
      <c r="K739" s="3" t="s">
        <v>30</v>
      </c>
      <c r="L739" s="3" t="s">
        <v>53</v>
      </c>
      <c r="M739" s="3">
        <v>53900</v>
      </c>
      <c r="N739" s="3">
        <v>14</v>
      </c>
      <c r="O739" s="3">
        <v>86.6</v>
      </c>
      <c r="P739" s="3">
        <v>2</v>
      </c>
      <c r="Q739" s="3">
        <v>3</v>
      </c>
      <c r="R739" s="3">
        <v>0</v>
      </c>
      <c r="S739" s="3">
        <v>8</v>
      </c>
      <c r="T739" s="3">
        <v>10</v>
      </c>
      <c r="U739" s="3" t="s">
        <v>94</v>
      </c>
      <c r="V739" s="3">
        <v>4492</v>
      </c>
      <c r="W739" s="3">
        <v>0.1</v>
      </c>
      <c r="X739" s="3" t="s">
        <v>108</v>
      </c>
      <c r="Y739" s="7" t="s">
        <v>42</v>
      </c>
    </row>
    <row r="740" spans="1:25" x14ac:dyDescent="0.3">
      <c r="A740" s="5" t="s">
        <v>1057</v>
      </c>
      <c r="B740" s="3" t="s">
        <v>23</v>
      </c>
      <c r="C740" s="3" t="s">
        <v>24</v>
      </c>
      <c r="D740" s="3">
        <v>24</v>
      </c>
      <c r="E740" s="3" t="s">
        <v>78</v>
      </c>
      <c r="F740" s="3" t="s">
        <v>72</v>
      </c>
      <c r="G740" s="3" t="s">
        <v>46</v>
      </c>
      <c r="H740" s="3" t="s">
        <v>115</v>
      </c>
      <c r="I740" s="3" t="s">
        <v>68</v>
      </c>
      <c r="J740" s="6">
        <v>43597</v>
      </c>
      <c r="K740" s="3" t="s">
        <v>87</v>
      </c>
      <c r="L740" s="3" t="s">
        <v>31</v>
      </c>
      <c r="M740" s="3">
        <v>92300</v>
      </c>
      <c r="N740" s="3">
        <v>3</v>
      </c>
      <c r="O740" s="3">
        <v>96.1</v>
      </c>
      <c r="P740" s="3">
        <v>6</v>
      </c>
      <c r="Q740" s="3">
        <v>1</v>
      </c>
      <c r="R740" s="3">
        <v>0</v>
      </c>
      <c r="S740" s="3">
        <v>18</v>
      </c>
      <c r="T740" s="3">
        <v>18</v>
      </c>
      <c r="U740" s="3" t="s">
        <v>32</v>
      </c>
      <c r="V740" s="3">
        <v>7692</v>
      </c>
      <c r="W740" s="3">
        <v>7.2</v>
      </c>
      <c r="X740" s="3" t="s">
        <v>48</v>
      </c>
      <c r="Y740" s="7" t="s">
        <v>75</v>
      </c>
    </row>
    <row r="741" spans="1:25" x14ac:dyDescent="0.3">
      <c r="A741" s="5" t="s">
        <v>1058</v>
      </c>
      <c r="B741" s="3" t="s">
        <v>591</v>
      </c>
      <c r="C741" s="3" t="s">
        <v>24</v>
      </c>
      <c r="D741" s="3">
        <v>33</v>
      </c>
      <c r="E741" s="3" t="s">
        <v>65</v>
      </c>
      <c r="F741" s="3" t="s">
        <v>52</v>
      </c>
      <c r="G741" s="3" t="s">
        <v>39</v>
      </c>
      <c r="H741" s="3" t="s">
        <v>67</v>
      </c>
      <c r="I741" s="3" t="s">
        <v>40</v>
      </c>
      <c r="J741" s="6">
        <v>45117</v>
      </c>
      <c r="K741" s="3" t="s">
        <v>30</v>
      </c>
      <c r="L741" s="3" t="s">
        <v>31</v>
      </c>
      <c r="M741" s="3">
        <v>34800</v>
      </c>
      <c r="N741" s="3">
        <v>11</v>
      </c>
      <c r="O741" s="3">
        <v>96.8</v>
      </c>
      <c r="P741" s="3">
        <v>8</v>
      </c>
      <c r="Q741" s="3">
        <v>12</v>
      </c>
      <c r="R741" s="3">
        <v>0</v>
      </c>
      <c r="S741" s="3">
        <v>13</v>
      </c>
      <c r="T741" s="3">
        <v>4</v>
      </c>
      <c r="U741" s="3" t="s">
        <v>74</v>
      </c>
      <c r="V741" s="3">
        <v>2900</v>
      </c>
      <c r="W741" s="3">
        <v>3.1</v>
      </c>
      <c r="X741" s="3" t="s">
        <v>33</v>
      </c>
      <c r="Y741" s="7" t="s">
        <v>42</v>
      </c>
    </row>
    <row r="742" spans="1:25" x14ac:dyDescent="0.3">
      <c r="A742" s="5" t="s">
        <v>1059</v>
      </c>
      <c r="B742" s="3" t="s">
        <v>145</v>
      </c>
      <c r="C742" s="3" t="s">
        <v>24</v>
      </c>
      <c r="D742" s="3">
        <v>44</v>
      </c>
      <c r="E742" s="3" t="s">
        <v>101</v>
      </c>
      <c r="F742" s="3" t="s">
        <v>52</v>
      </c>
      <c r="G742" s="3" t="s">
        <v>122</v>
      </c>
      <c r="H742" s="3" t="s">
        <v>28</v>
      </c>
      <c r="I742" s="3" t="s">
        <v>107</v>
      </c>
      <c r="J742" s="6">
        <v>43573</v>
      </c>
      <c r="K742" s="3" t="s">
        <v>30</v>
      </c>
      <c r="L742" s="3" t="s">
        <v>31</v>
      </c>
      <c r="M742" s="3">
        <v>24600</v>
      </c>
      <c r="N742" s="3">
        <v>22</v>
      </c>
      <c r="O742" s="3">
        <v>92.4</v>
      </c>
      <c r="P742" s="3">
        <v>6</v>
      </c>
      <c r="Q742" s="3">
        <v>6</v>
      </c>
      <c r="R742" s="3">
        <v>2</v>
      </c>
      <c r="S742" s="3">
        <v>2</v>
      </c>
      <c r="T742" s="3">
        <v>15</v>
      </c>
      <c r="U742" s="3" t="s">
        <v>104</v>
      </c>
      <c r="V742" s="3">
        <v>2050</v>
      </c>
      <c r="W742" s="3">
        <v>7.3</v>
      </c>
      <c r="X742" s="3" t="s">
        <v>62</v>
      </c>
      <c r="Y742" s="7" t="s">
        <v>42</v>
      </c>
    </row>
    <row r="743" spans="1:25" x14ac:dyDescent="0.3">
      <c r="A743" s="5" t="s">
        <v>1060</v>
      </c>
      <c r="B743" s="3" t="s">
        <v>452</v>
      </c>
      <c r="C743" s="3" t="s">
        <v>58</v>
      </c>
      <c r="D743" s="3">
        <v>39</v>
      </c>
      <c r="E743" s="3" t="s">
        <v>90</v>
      </c>
      <c r="F743" s="3" t="s">
        <v>60</v>
      </c>
      <c r="G743" s="3" t="s">
        <v>80</v>
      </c>
      <c r="H743" s="3" t="s">
        <v>28</v>
      </c>
      <c r="I743" s="3" t="s">
        <v>68</v>
      </c>
      <c r="J743" s="6">
        <v>44989</v>
      </c>
      <c r="K743" s="3" t="s">
        <v>30</v>
      </c>
      <c r="L743" s="3" t="s">
        <v>53</v>
      </c>
      <c r="M743" s="3">
        <v>56200</v>
      </c>
      <c r="N743" s="3">
        <v>18</v>
      </c>
      <c r="O743" s="3">
        <v>99.3</v>
      </c>
      <c r="P743" s="3">
        <v>0</v>
      </c>
      <c r="Q743" s="3">
        <v>11</v>
      </c>
      <c r="R743" s="3">
        <v>4</v>
      </c>
      <c r="S743" s="3">
        <v>28</v>
      </c>
      <c r="T743" s="3">
        <v>4</v>
      </c>
      <c r="U743" s="3" t="s">
        <v>123</v>
      </c>
      <c r="V743" s="3">
        <v>4683</v>
      </c>
      <c r="W743" s="3">
        <v>3.4</v>
      </c>
      <c r="X743" s="3" t="s">
        <v>108</v>
      </c>
      <c r="Y743" s="7" t="s">
        <v>75</v>
      </c>
    </row>
    <row r="744" spans="1:25" x14ac:dyDescent="0.3">
      <c r="A744" s="5" t="s">
        <v>1061</v>
      </c>
      <c r="B744" s="3" t="s">
        <v>1056</v>
      </c>
      <c r="C744" s="3" t="s">
        <v>24</v>
      </c>
      <c r="D744" s="3">
        <v>50</v>
      </c>
      <c r="E744" s="3" t="s">
        <v>101</v>
      </c>
      <c r="F744" s="3" t="s">
        <v>52</v>
      </c>
      <c r="G744" s="3" t="s">
        <v>171</v>
      </c>
      <c r="H744" s="3" t="s">
        <v>28</v>
      </c>
      <c r="I744" s="3" t="s">
        <v>107</v>
      </c>
      <c r="J744" s="6">
        <v>44261</v>
      </c>
      <c r="K744" s="3" t="s">
        <v>30</v>
      </c>
      <c r="L744" s="3" t="s">
        <v>31</v>
      </c>
      <c r="M744" s="3">
        <v>98300</v>
      </c>
      <c r="N744" s="3">
        <v>26</v>
      </c>
      <c r="O744" s="3">
        <v>90.2</v>
      </c>
      <c r="P744" s="3">
        <v>8</v>
      </c>
      <c r="Q744" s="3">
        <v>10</v>
      </c>
      <c r="R744" s="3">
        <v>4</v>
      </c>
      <c r="S744" s="3">
        <v>3</v>
      </c>
      <c r="T744" s="3">
        <v>7</v>
      </c>
      <c r="U744" s="3" t="s">
        <v>32</v>
      </c>
      <c r="V744" s="3">
        <v>8192</v>
      </c>
      <c r="W744" s="3">
        <v>5.4</v>
      </c>
      <c r="X744" s="3" t="s">
        <v>54</v>
      </c>
      <c r="Y744" s="7" t="s">
        <v>55</v>
      </c>
    </row>
    <row r="745" spans="1:25" x14ac:dyDescent="0.3">
      <c r="A745" s="5" t="s">
        <v>1062</v>
      </c>
      <c r="B745" s="3" t="s">
        <v>767</v>
      </c>
      <c r="C745" s="3" t="s">
        <v>24</v>
      </c>
      <c r="D745" s="3">
        <v>40</v>
      </c>
      <c r="E745" s="3" t="s">
        <v>37</v>
      </c>
      <c r="F745" s="3" t="s">
        <v>72</v>
      </c>
      <c r="G745" s="3" t="s">
        <v>46</v>
      </c>
      <c r="H745" s="3" t="s">
        <v>28</v>
      </c>
      <c r="I745" s="3" t="s">
        <v>92</v>
      </c>
      <c r="J745" s="6">
        <v>45623</v>
      </c>
      <c r="K745" s="3" t="s">
        <v>30</v>
      </c>
      <c r="L745" s="3" t="s">
        <v>93</v>
      </c>
      <c r="M745" s="3">
        <v>81200</v>
      </c>
      <c r="N745" s="3">
        <v>19</v>
      </c>
      <c r="O745" s="3">
        <v>95.7</v>
      </c>
      <c r="P745" s="3">
        <v>6</v>
      </c>
      <c r="Q745" s="3">
        <v>5</v>
      </c>
      <c r="R745" s="3">
        <v>2</v>
      </c>
      <c r="S745" s="3">
        <v>22</v>
      </c>
      <c r="T745" s="3">
        <v>12</v>
      </c>
      <c r="U745" s="3" t="s">
        <v>32</v>
      </c>
      <c r="V745" s="3">
        <v>6767</v>
      </c>
      <c r="W745" s="3">
        <v>1.7</v>
      </c>
      <c r="X745" s="3" t="s">
        <v>62</v>
      </c>
      <c r="Y745" s="7" t="s">
        <v>42</v>
      </c>
    </row>
    <row r="746" spans="1:25" x14ac:dyDescent="0.3">
      <c r="A746" s="5" t="s">
        <v>1063</v>
      </c>
      <c r="B746" s="3" t="s">
        <v>370</v>
      </c>
      <c r="C746" s="3" t="s">
        <v>24</v>
      </c>
      <c r="D746" s="3">
        <v>35</v>
      </c>
      <c r="E746" s="3" t="s">
        <v>59</v>
      </c>
      <c r="F746" s="3" t="s">
        <v>60</v>
      </c>
      <c r="G746" s="3" t="s">
        <v>80</v>
      </c>
      <c r="H746" s="3" t="s">
        <v>28</v>
      </c>
      <c r="I746" s="3" t="s">
        <v>68</v>
      </c>
      <c r="J746" s="6">
        <v>43317</v>
      </c>
      <c r="K746" s="3" t="s">
        <v>87</v>
      </c>
      <c r="L746" s="3" t="s">
        <v>53</v>
      </c>
      <c r="M746" s="3">
        <v>60100</v>
      </c>
      <c r="N746" s="3">
        <v>15</v>
      </c>
      <c r="O746" s="3">
        <v>79.2</v>
      </c>
      <c r="P746" s="3">
        <v>1</v>
      </c>
      <c r="Q746" s="3">
        <v>7</v>
      </c>
      <c r="R746" s="3">
        <v>2</v>
      </c>
      <c r="S746" s="3">
        <v>1</v>
      </c>
      <c r="T746" s="3">
        <v>24</v>
      </c>
      <c r="U746" s="3" t="s">
        <v>32</v>
      </c>
      <c r="V746" s="3">
        <v>5008</v>
      </c>
      <c r="W746" s="3">
        <v>8</v>
      </c>
      <c r="X746" s="3" t="s">
        <v>108</v>
      </c>
      <c r="Y746" s="7" t="s">
        <v>42</v>
      </c>
    </row>
    <row r="747" spans="1:25" x14ac:dyDescent="0.3">
      <c r="A747" s="5" t="s">
        <v>1064</v>
      </c>
      <c r="B747" s="3" t="s">
        <v>663</v>
      </c>
      <c r="C747" s="3" t="s">
        <v>24</v>
      </c>
      <c r="D747" s="3">
        <v>41</v>
      </c>
      <c r="E747" s="3" t="s">
        <v>98</v>
      </c>
      <c r="F747" s="3" t="s">
        <v>60</v>
      </c>
      <c r="G747" s="3" t="s">
        <v>39</v>
      </c>
      <c r="H747" s="3" t="s">
        <v>122</v>
      </c>
      <c r="I747" s="3" t="s">
        <v>47</v>
      </c>
      <c r="J747" s="6">
        <v>43296</v>
      </c>
      <c r="K747" s="3" t="s">
        <v>87</v>
      </c>
      <c r="L747" s="3" t="s">
        <v>31</v>
      </c>
      <c r="M747" s="3">
        <v>41700</v>
      </c>
      <c r="N747" s="3">
        <v>22</v>
      </c>
      <c r="O747" s="3">
        <v>94.4</v>
      </c>
      <c r="P747" s="3">
        <v>4</v>
      </c>
      <c r="Q747" s="3">
        <v>12</v>
      </c>
      <c r="R747" s="3">
        <v>2</v>
      </c>
      <c r="S747" s="3">
        <v>7</v>
      </c>
      <c r="T747" s="3">
        <v>4</v>
      </c>
      <c r="U747" s="3" t="s">
        <v>41</v>
      </c>
      <c r="V747" s="3">
        <v>3475</v>
      </c>
      <c r="W747" s="3">
        <v>8</v>
      </c>
      <c r="X747" s="3" t="s">
        <v>62</v>
      </c>
      <c r="Y747" s="7" t="s">
        <v>42</v>
      </c>
    </row>
    <row r="748" spans="1:25" x14ac:dyDescent="0.3">
      <c r="A748" s="5" t="s">
        <v>1065</v>
      </c>
      <c r="B748" s="3" t="s">
        <v>432</v>
      </c>
      <c r="C748" s="3" t="s">
        <v>24</v>
      </c>
      <c r="D748" s="3">
        <v>46</v>
      </c>
      <c r="E748" s="3" t="s">
        <v>51</v>
      </c>
      <c r="F748" s="3" t="s">
        <v>38</v>
      </c>
      <c r="G748" s="3" t="s">
        <v>80</v>
      </c>
      <c r="H748" s="3" t="s">
        <v>28</v>
      </c>
      <c r="I748" s="3" t="s">
        <v>40</v>
      </c>
      <c r="J748" s="6">
        <v>45349</v>
      </c>
      <c r="K748" s="3" t="s">
        <v>30</v>
      </c>
      <c r="L748" s="3" t="s">
        <v>53</v>
      </c>
      <c r="M748" s="3">
        <v>47600</v>
      </c>
      <c r="N748" s="3">
        <v>24</v>
      </c>
      <c r="O748" s="3">
        <v>97.8</v>
      </c>
      <c r="P748" s="3">
        <v>1</v>
      </c>
      <c r="Q748" s="3">
        <v>9</v>
      </c>
      <c r="R748" s="3">
        <v>1</v>
      </c>
      <c r="S748" s="3">
        <v>1</v>
      </c>
      <c r="T748" s="3">
        <v>16</v>
      </c>
      <c r="U748" s="3" t="s">
        <v>104</v>
      </c>
      <c r="V748" s="3">
        <v>3967</v>
      </c>
      <c r="W748" s="3">
        <v>2.4</v>
      </c>
      <c r="X748" s="3" t="s">
        <v>54</v>
      </c>
      <c r="Y748" s="7" t="s">
        <v>42</v>
      </c>
    </row>
    <row r="749" spans="1:25" x14ac:dyDescent="0.3">
      <c r="A749" s="5" t="s">
        <v>1066</v>
      </c>
      <c r="B749" s="3" t="s">
        <v>799</v>
      </c>
      <c r="C749" s="3" t="s">
        <v>24</v>
      </c>
      <c r="D749" s="3">
        <v>25</v>
      </c>
      <c r="E749" s="3" t="s">
        <v>45</v>
      </c>
      <c r="F749" s="3" t="s">
        <v>52</v>
      </c>
      <c r="G749" s="3" t="s">
        <v>39</v>
      </c>
      <c r="H749" s="3" t="s">
        <v>28</v>
      </c>
      <c r="I749" s="3" t="s">
        <v>92</v>
      </c>
      <c r="J749" s="6">
        <v>43466</v>
      </c>
      <c r="K749" s="3" t="s">
        <v>30</v>
      </c>
      <c r="L749" s="3" t="s">
        <v>53</v>
      </c>
      <c r="M749" s="3">
        <v>33400</v>
      </c>
      <c r="N749" s="3">
        <v>4</v>
      </c>
      <c r="O749" s="3">
        <v>95</v>
      </c>
      <c r="P749" s="3">
        <v>6</v>
      </c>
      <c r="Q749" s="3">
        <v>4</v>
      </c>
      <c r="R749" s="3">
        <v>2</v>
      </c>
      <c r="S749" s="3">
        <v>3</v>
      </c>
      <c r="T749" s="3">
        <v>9</v>
      </c>
      <c r="U749" s="3" t="s">
        <v>104</v>
      </c>
      <c r="V749" s="3">
        <v>2783</v>
      </c>
      <c r="W749" s="3">
        <v>7.6</v>
      </c>
      <c r="X749" s="3" t="s">
        <v>95</v>
      </c>
      <c r="Y749" s="7" t="s">
        <v>55</v>
      </c>
    </row>
    <row r="750" spans="1:25" x14ac:dyDescent="0.3">
      <c r="A750" s="5" t="s">
        <v>1067</v>
      </c>
      <c r="B750" s="3" t="s">
        <v>565</v>
      </c>
      <c r="C750" s="3" t="s">
        <v>24</v>
      </c>
      <c r="D750" s="3">
        <v>35</v>
      </c>
      <c r="E750" s="3" t="s">
        <v>98</v>
      </c>
      <c r="F750" s="3" t="s">
        <v>60</v>
      </c>
      <c r="G750" s="3" t="s">
        <v>39</v>
      </c>
      <c r="H750" s="3" t="s">
        <v>28</v>
      </c>
      <c r="I750" s="3" t="s">
        <v>47</v>
      </c>
      <c r="J750" s="6">
        <v>45867</v>
      </c>
      <c r="K750" s="3" t="s">
        <v>61</v>
      </c>
      <c r="L750" s="3" t="s">
        <v>53</v>
      </c>
      <c r="M750" s="3">
        <v>47700</v>
      </c>
      <c r="N750" s="3">
        <v>12</v>
      </c>
      <c r="O750" s="3">
        <v>89.1</v>
      </c>
      <c r="P750" s="3">
        <v>8</v>
      </c>
      <c r="Q750" s="3">
        <v>2</v>
      </c>
      <c r="R750" s="3">
        <v>1</v>
      </c>
      <c r="S750" s="3">
        <v>1</v>
      </c>
      <c r="T750" s="3">
        <v>3</v>
      </c>
      <c r="U750" s="3" t="s">
        <v>130</v>
      </c>
      <c r="V750" s="3">
        <v>3975</v>
      </c>
      <c r="W750" s="3">
        <v>1</v>
      </c>
      <c r="X750" s="3" t="s">
        <v>108</v>
      </c>
      <c r="Y750" s="7" t="s">
        <v>55</v>
      </c>
    </row>
    <row r="751" spans="1:25" x14ac:dyDescent="0.3">
      <c r="A751" s="5" t="s">
        <v>1068</v>
      </c>
      <c r="B751" s="3" t="s">
        <v>495</v>
      </c>
      <c r="C751" s="3" t="s">
        <v>24</v>
      </c>
      <c r="D751" s="3">
        <v>39</v>
      </c>
      <c r="E751" s="3" t="s">
        <v>137</v>
      </c>
      <c r="F751" s="3" t="s">
        <v>79</v>
      </c>
      <c r="G751" s="3" t="s">
        <v>27</v>
      </c>
      <c r="H751" s="3" t="s">
        <v>28</v>
      </c>
      <c r="I751" s="3" t="s">
        <v>29</v>
      </c>
      <c r="J751" s="6">
        <v>44652</v>
      </c>
      <c r="K751" s="3" t="s">
        <v>30</v>
      </c>
      <c r="L751" s="3" t="s">
        <v>53</v>
      </c>
      <c r="M751" s="3">
        <v>90600</v>
      </c>
      <c r="N751" s="3">
        <v>16</v>
      </c>
      <c r="O751" s="3">
        <v>83.5</v>
      </c>
      <c r="P751" s="3">
        <v>3</v>
      </c>
      <c r="Q751" s="3">
        <v>3</v>
      </c>
      <c r="R751" s="3">
        <v>0</v>
      </c>
      <c r="S751" s="3">
        <v>29</v>
      </c>
      <c r="T751" s="3">
        <v>12</v>
      </c>
      <c r="U751" s="3" t="s">
        <v>123</v>
      </c>
      <c r="V751" s="3">
        <v>7550</v>
      </c>
      <c r="W751" s="3">
        <v>4.3</v>
      </c>
      <c r="X751" s="3" t="s">
        <v>108</v>
      </c>
      <c r="Y751" s="7" t="s">
        <v>42</v>
      </c>
    </row>
    <row r="752" spans="1:25" x14ac:dyDescent="0.3">
      <c r="A752" s="5" t="s">
        <v>1069</v>
      </c>
      <c r="B752" s="3" t="s">
        <v>103</v>
      </c>
      <c r="C752" s="3" t="s">
        <v>24</v>
      </c>
      <c r="D752" s="3">
        <v>33</v>
      </c>
      <c r="E752" s="3" t="s">
        <v>51</v>
      </c>
      <c r="F752" s="3" t="s">
        <v>60</v>
      </c>
      <c r="G752" s="3" t="s">
        <v>171</v>
      </c>
      <c r="H752" s="3" t="s">
        <v>28</v>
      </c>
      <c r="I752" s="3" t="s">
        <v>47</v>
      </c>
      <c r="J752" s="6">
        <v>45548</v>
      </c>
      <c r="K752" s="3" t="s">
        <v>30</v>
      </c>
      <c r="L752" s="3" t="s">
        <v>93</v>
      </c>
      <c r="M752" s="3">
        <v>139700</v>
      </c>
      <c r="N752" s="3">
        <v>14</v>
      </c>
      <c r="O752" s="3">
        <v>96.8</v>
      </c>
      <c r="P752" s="3">
        <v>2</v>
      </c>
      <c r="Q752" s="3">
        <v>4</v>
      </c>
      <c r="R752" s="3">
        <v>3</v>
      </c>
      <c r="S752" s="3">
        <v>24</v>
      </c>
      <c r="T752" s="3">
        <v>15</v>
      </c>
      <c r="U752" s="3" t="s">
        <v>104</v>
      </c>
      <c r="V752" s="3">
        <v>11642</v>
      </c>
      <c r="W752" s="3">
        <v>1.9</v>
      </c>
      <c r="X752" s="3" t="s">
        <v>33</v>
      </c>
      <c r="Y752" s="7" t="s">
        <v>55</v>
      </c>
    </row>
    <row r="753" spans="1:25" x14ac:dyDescent="0.3">
      <c r="A753" s="5" t="s">
        <v>1070</v>
      </c>
      <c r="B753" s="3" t="s">
        <v>299</v>
      </c>
      <c r="C753" s="3" t="s">
        <v>58</v>
      </c>
      <c r="D753" s="3">
        <v>39</v>
      </c>
      <c r="E753" s="3" t="s">
        <v>98</v>
      </c>
      <c r="F753" s="3" t="s">
        <v>72</v>
      </c>
      <c r="G753" s="3" t="s">
        <v>39</v>
      </c>
      <c r="H753" s="3" t="s">
        <v>28</v>
      </c>
      <c r="I753" s="3" t="s">
        <v>47</v>
      </c>
      <c r="J753" s="6">
        <v>44649</v>
      </c>
      <c r="K753" s="3" t="s">
        <v>30</v>
      </c>
      <c r="L753" s="3" t="s">
        <v>31</v>
      </c>
      <c r="M753" s="3">
        <v>51100</v>
      </c>
      <c r="N753" s="3">
        <v>16</v>
      </c>
      <c r="O753" s="3">
        <v>86.9</v>
      </c>
      <c r="P753" s="3">
        <v>5</v>
      </c>
      <c r="Q753" s="3">
        <v>4</v>
      </c>
      <c r="R753" s="3">
        <v>4</v>
      </c>
      <c r="S753" s="3">
        <v>28</v>
      </c>
      <c r="T753" s="3">
        <v>4</v>
      </c>
      <c r="U753" s="3" t="s">
        <v>123</v>
      </c>
      <c r="V753" s="3">
        <v>4258</v>
      </c>
      <c r="W753" s="3">
        <v>4.3</v>
      </c>
      <c r="X753" s="3" t="s">
        <v>108</v>
      </c>
      <c r="Y753" s="7" t="s">
        <v>42</v>
      </c>
    </row>
    <row r="754" spans="1:25" x14ac:dyDescent="0.3">
      <c r="A754" s="5" t="s">
        <v>1071</v>
      </c>
      <c r="B754" s="3" t="s">
        <v>326</v>
      </c>
      <c r="C754" s="3" t="s">
        <v>24</v>
      </c>
      <c r="D754" s="3">
        <v>43</v>
      </c>
      <c r="E754" s="3" t="s">
        <v>59</v>
      </c>
      <c r="F754" s="3" t="s">
        <v>72</v>
      </c>
      <c r="G754" s="3" t="s">
        <v>39</v>
      </c>
      <c r="H754" s="3" t="s">
        <v>122</v>
      </c>
      <c r="I754" s="3" t="s">
        <v>29</v>
      </c>
      <c r="J754" s="6">
        <v>45738</v>
      </c>
      <c r="K754" s="3" t="s">
        <v>30</v>
      </c>
      <c r="L754" s="3" t="s">
        <v>93</v>
      </c>
      <c r="M754" s="3">
        <v>51400</v>
      </c>
      <c r="N754" s="3">
        <v>22</v>
      </c>
      <c r="O754" s="3">
        <v>87.5</v>
      </c>
      <c r="P754" s="3">
        <v>7</v>
      </c>
      <c r="Q754" s="3">
        <v>5</v>
      </c>
      <c r="R754" s="3">
        <v>3</v>
      </c>
      <c r="S754" s="3">
        <v>3</v>
      </c>
      <c r="T754" s="3">
        <v>30</v>
      </c>
      <c r="U754" s="3" t="s">
        <v>104</v>
      </c>
      <c r="V754" s="3">
        <v>4283</v>
      </c>
      <c r="W754" s="3">
        <v>1.4</v>
      </c>
      <c r="X754" s="3" t="s">
        <v>62</v>
      </c>
      <c r="Y754" s="7" t="s">
        <v>55</v>
      </c>
    </row>
    <row r="755" spans="1:25" x14ac:dyDescent="0.3">
      <c r="A755" s="5" t="s">
        <v>1072</v>
      </c>
      <c r="B755" s="3" t="s">
        <v>178</v>
      </c>
      <c r="C755" s="3" t="s">
        <v>58</v>
      </c>
      <c r="D755" s="3">
        <v>24</v>
      </c>
      <c r="E755" s="3" t="s">
        <v>59</v>
      </c>
      <c r="F755" s="3" t="s">
        <v>38</v>
      </c>
      <c r="G755" s="3" t="s">
        <v>80</v>
      </c>
      <c r="H755" s="3" t="s">
        <v>28</v>
      </c>
      <c r="I755" s="3" t="s">
        <v>92</v>
      </c>
      <c r="J755" s="6">
        <v>43314</v>
      </c>
      <c r="K755" s="3" t="s">
        <v>30</v>
      </c>
      <c r="L755" s="3" t="s">
        <v>93</v>
      </c>
      <c r="M755" s="3">
        <v>44500</v>
      </c>
      <c r="N755" s="3">
        <v>0</v>
      </c>
      <c r="O755" s="3">
        <v>89.7</v>
      </c>
      <c r="P755" s="3">
        <v>7</v>
      </c>
      <c r="Q755" s="3">
        <v>8</v>
      </c>
      <c r="R755" s="3">
        <v>4</v>
      </c>
      <c r="S755" s="3">
        <v>20</v>
      </c>
      <c r="T755" s="3">
        <v>11</v>
      </c>
      <c r="U755" s="3" t="s">
        <v>123</v>
      </c>
      <c r="V755" s="3">
        <v>3708</v>
      </c>
      <c r="W755" s="3">
        <v>8</v>
      </c>
      <c r="X755" s="3" t="s">
        <v>48</v>
      </c>
      <c r="Y755" s="7" t="s">
        <v>42</v>
      </c>
    </row>
    <row r="756" spans="1:25" x14ac:dyDescent="0.3">
      <c r="A756" s="5" t="s">
        <v>1073</v>
      </c>
      <c r="B756" s="3" t="s">
        <v>180</v>
      </c>
      <c r="C756" s="3" t="s">
        <v>58</v>
      </c>
      <c r="D756" s="3">
        <v>33</v>
      </c>
      <c r="E756" s="3" t="s">
        <v>37</v>
      </c>
      <c r="F756" s="3" t="s">
        <v>52</v>
      </c>
      <c r="G756" s="3" t="s">
        <v>80</v>
      </c>
      <c r="H756" s="3" t="s">
        <v>28</v>
      </c>
      <c r="I756" s="3" t="s">
        <v>40</v>
      </c>
      <c r="J756" s="6">
        <v>45489</v>
      </c>
      <c r="K756" s="3" t="s">
        <v>30</v>
      </c>
      <c r="L756" s="3" t="s">
        <v>53</v>
      </c>
      <c r="M756" s="3">
        <v>44800</v>
      </c>
      <c r="N756" s="3">
        <v>13</v>
      </c>
      <c r="O756" s="3">
        <v>94.4</v>
      </c>
      <c r="P756" s="3">
        <v>7</v>
      </c>
      <c r="Q756" s="3">
        <v>3</v>
      </c>
      <c r="R756" s="3">
        <v>0</v>
      </c>
      <c r="S756" s="3">
        <v>8</v>
      </c>
      <c r="T756" s="3">
        <v>19</v>
      </c>
      <c r="U756" s="3" t="s">
        <v>32</v>
      </c>
      <c r="V756" s="3">
        <v>3733</v>
      </c>
      <c r="W756" s="3">
        <v>2</v>
      </c>
      <c r="X756" s="3" t="s">
        <v>33</v>
      </c>
      <c r="Y756" s="7" t="s">
        <v>55</v>
      </c>
    </row>
    <row r="757" spans="1:25" x14ac:dyDescent="0.3">
      <c r="A757" s="5" t="s">
        <v>1074</v>
      </c>
      <c r="B757" s="3" t="s">
        <v>239</v>
      </c>
      <c r="C757" s="3" t="s">
        <v>24</v>
      </c>
      <c r="D757" s="3">
        <v>49</v>
      </c>
      <c r="E757" s="3" t="s">
        <v>71</v>
      </c>
      <c r="F757" s="3" t="s">
        <v>91</v>
      </c>
      <c r="G757" s="3" t="s">
        <v>39</v>
      </c>
      <c r="H757" s="3" t="s">
        <v>28</v>
      </c>
      <c r="I757" s="3" t="s">
        <v>107</v>
      </c>
      <c r="J757" s="6">
        <v>46107</v>
      </c>
      <c r="K757" s="3" t="s">
        <v>30</v>
      </c>
      <c r="L757" s="3" t="s">
        <v>31</v>
      </c>
      <c r="M757" s="3">
        <v>28300</v>
      </c>
      <c r="N757" s="3">
        <v>26</v>
      </c>
      <c r="O757" s="3">
        <v>97.1</v>
      </c>
      <c r="P757" s="3">
        <v>4</v>
      </c>
      <c r="Q757" s="3">
        <v>6</v>
      </c>
      <c r="R757" s="3">
        <v>4</v>
      </c>
      <c r="S757" s="3">
        <v>1</v>
      </c>
      <c r="T757" s="3">
        <v>19</v>
      </c>
      <c r="U757" s="3" t="s">
        <v>123</v>
      </c>
      <c r="V757" s="3">
        <v>2358</v>
      </c>
      <c r="W757" s="3">
        <v>0.4</v>
      </c>
      <c r="X757" s="3" t="s">
        <v>54</v>
      </c>
      <c r="Y757" s="7" t="s">
        <v>55</v>
      </c>
    </row>
    <row r="758" spans="1:25" x14ac:dyDescent="0.3">
      <c r="A758" s="5" t="s">
        <v>1075</v>
      </c>
      <c r="B758" s="3" t="s">
        <v>601</v>
      </c>
      <c r="C758" s="3" t="s">
        <v>58</v>
      </c>
      <c r="D758" s="3">
        <v>30</v>
      </c>
      <c r="E758" s="3" t="s">
        <v>137</v>
      </c>
      <c r="F758" s="3" t="s">
        <v>60</v>
      </c>
      <c r="G758" s="3" t="s">
        <v>80</v>
      </c>
      <c r="H758" s="3" t="s">
        <v>28</v>
      </c>
      <c r="I758" s="3" t="s">
        <v>40</v>
      </c>
      <c r="J758" s="6">
        <v>43219</v>
      </c>
      <c r="K758" s="3" t="s">
        <v>30</v>
      </c>
      <c r="L758" s="3" t="s">
        <v>53</v>
      </c>
      <c r="M758" s="3">
        <v>54300</v>
      </c>
      <c r="N758" s="3">
        <v>9</v>
      </c>
      <c r="O758" s="3">
        <v>100</v>
      </c>
      <c r="P758" s="3">
        <v>5</v>
      </c>
      <c r="Q758" s="3">
        <v>6</v>
      </c>
      <c r="R758" s="3">
        <v>0</v>
      </c>
      <c r="S758" s="3">
        <v>19</v>
      </c>
      <c r="T758" s="3">
        <v>13</v>
      </c>
      <c r="U758" s="3" t="s">
        <v>123</v>
      </c>
      <c r="V758" s="3">
        <v>4525</v>
      </c>
      <c r="W758" s="3">
        <v>8.3000000000000007</v>
      </c>
      <c r="X758" s="3" t="s">
        <v>33</v>
      </c>
      <c r="Y758" s="7" t="s">
        <v>42</v>
      </c>
    </row>
    <row r="759" spans="1:25" x14ac:dyDescent="0.3">
      <c r="A759" s="5" t="s">
        <v>1076</v>
      </c>
      <c r="B759" s="3" t="s">
        <v>247</v>
      </c>
      <c r="C759" s="3" t="s">
        <v>24</v>
      </c>
      <c r="D759" s="3">
        <v>40</v>
      </c>
      <c r="E759" s="3" t="s">
        <v>51</v>
      </c>
      <c r="F759" s="3" t="s">
        <v>66</v>
      </c>
      <c r="G759" s="3" t="s">
        <v>39</v>
      </c>
      <c r="H759" s="3" t="s">
        <v>28</v>
      </c>
      <c r="I759" s="3" t="s">
        <v>86</v>
      </c>
      <c r="J759" s="6">
        <v>44817</v>
      </c>
      <c r="K759" s="3" t="s">
        <v>30</v>
      </c>
      <c r="L759" s="3" t="s">
        <v>53</v>
      </c>
      <c r="M759" s="3">
        <v>30200</v>
      </c>
      <c r="N759" s="3">
        <v>16</v>
      </c>
      <c r="O759" s="3">
        <v>91.8</v>
      </c>
      <c r="P759" s="3">
        <v>1</v>
      </c>
      <c r="Q759" s="3">
        <v>15</v>
      </c>
      <c r="R759" s="3">
        <v>3</v>
      </c>
      <c r="S759" s="3">
        <v>21</v>
      </c>
      <c r="T759" s="3">
        <v>28</v>
      </c>
      <c r="U759" s="3" t="s">
        <v>130</v>
      </c>
      <c r="V759" s="3">
        <v>2517</v>
      </c>
      <c r="W759" s="3">
        <v>3.9</v>
      </c>
      <c r="X759" s="3" t="s">
        <v>62</v>
      </c>
      <c r="Y759" s="7" t="s">
        <v>55</v>
      </c>
    </row>
    <row r="760" spans="1:25" x14ac:dyDescent="0.3">
      <c r="A760" s="5" t="s">
        <v>1077</v>
      </c>
      <c r="B760" s="3" t="s">
        <v>333</v>
      </c>
      <c r="C760" s="3" t="s">
        <v>58</v>
      </c>
      <c r="D760" s="3">
        <v>28</v>
      </c>
      <c r="E760" s="3" t="s">
        <v>37</v>
      </c>
      <c r="F760" s="3" t="s">
        <v>72</v>
      </c>
      <c r="G760" s="3" t="s">
        <v>46</v>
      </c>
      <c r="H760" s="3" t="s">
        <v>28</v>
      </c>
      <c r="I760" s="3" t="s">
        <v>86</v>
      </c>
      <c r="J760" s="6">
        <v>45984</v>
      </c>
      <c r="K760" s="3" t="s">
        <v>30</v>
      </c>
      <c r="L760" s="3" t="s">
        <v>53</v>
      </c>
      <c r="M760" s="3">
        <v>94100</v>
      </c>
      <c r="N760" s="3">
        <v>6</v>
      </c>
      <c r="O760" s="3">
        <v>92.7</v>
      </c>
      <c r="P760" s="3">
        <v>5</v>
      </c>
      <c r="Q760" s="3">
        <v>15</v>
      </c>
      <c r="R760" s="3">
        <v>1</v>
      </c>
      <c r="S760" s="3">
        <v>16</v>
      </c>
      <c r="T760" s="3">
        <v>23</v>
      </c>
      <c r="U760" s="3" t="s">
        <v>94</v>
      </c>
      <c r="V760" s="3">
        <v>7842</v>
      </c>
      <c r="W760" s="3">
        <v>0.7</v>
      </c>
      <c r="X760" s="3" t="s">
        <v>95</v>
      </c>
      <c r="Y760" s="7" t="s">
        <v>42</v>
      </c>
    </row>
    <row r="761" spans="1:25" x14ac:dyDescent="0.3">
      <c r="A761" s="5" t="s">
        <v>1078</v>
      </c>
      <c r="B761" s="3" t="s">
        <v>375</v>
      </c>
      <c r="C761" s="3" t="s">
        <v>58</v>
      </c>
      <c r="D761" s="3">
        <v>39</v>
      </c>
      <c r="E761" s="3" t="s">
        <v>59</v>
      </c>
      <c r="F761" s="3" t="s">
        <v>91</v>
      </c>
      <c r="G761" s="3" t="s">
        <v>46</v>
      </c>
      <c r="H761" s="3" t="s">
        <v>28</v>
      </c>
      <c r="I761" s="3" t="s">
        <v>107</v>
      </c>
      <c r="J761" s="6">
        <v>43942</v>
      </c>
      <c r="K761" s="3" t="s">
        <v>61</v>
      </c>
      <c r="L761" s="3" t="s">
        <v>31</v>
      </c>
      <c r="M761" s="3">
        <v>47600</v>
      </c>
      <c r="N761" s="3">
        <v>17</v>
      </c>
      <c r="O761" s="3">
        <v>93.5</v>
      </c>
      <c r="P761" s="3">
        <v>4</v>
      </c>
      <c r="Q761" s="3">
        <v>14</v>
      </c>
      <c r="R761" s="3">
        <v>4</v>
      </c>
      <c r="S761" s="3">
        <v>0</v>
      </c>
      <c r="T761" s="3">
        <v>20</v>
      </c>
      <c r="U761" s="3" t="s">
        <v>104</v>
      </c>
      <c r="V761" s="3">
        <v>3967</v>
      </c>
      <c r="W761" s="3">
        <v>6.3</v>
      </c>
      <c r="X761" s="3" t="s">
        <v>108</v>
      </c>
      <c r="Y761" s="7" t="s">
        <v>55</v>
      </c>
    </row>
    <row r="762" spans="1:25" x14ac:dyDescent="0.3">
      <c r="A762" s="5" t="s">
        <v>1079</v>
      </c>
      <c r="B762" s="3" t="s">
        <v>1080</v>
      </c>
      <c r="C762" s="3" t="s">
        <v>24</v>
      </c>
      <c r="D762" s="3">
        <v>26</v>
      </c>
      <c r="E762" s="3" t="s">
        <v>98</v>
      </c>
      <c r="F762" s="3" t="s">
        <v>52</v>
      </c>
      <c r="G762" s="3" t="s">
        <v>46</v>
      </c>
      <c r="H762" s="3" t="s">
        <v>28</v>
      </c>
      <c r="I762" s="3" t="s">
        <v>92</v>
      </c>
      <c r="J762" s="6">
        <v>46015</v>
      </c>
      <c r="K762" s="3" t="s">
        <v>30</v>
      </c>
      <c r="L762" s="3" t="s">
        <v>53</v>
      </c>
      <c r="M762" s="3">
        <v>62000</v>
      </c>
      <c r="N762" s="3">
        <v>7</v>
      </c>
      <c r="O762" s="3">
        <v>88.8</v>
      </c>
      <c r="P762" s="3">
        <v>2</v>
      </c>
      <c r="Q762" s="3">
        <v>5</v>
      </c>
      <c r="R762" s="3">
        <v>2</v>
      </c>
      <c r="S762" s="3">
        <v>22</v>
      </c>
      <c r="T762" s="3">
        <v>20</v>
      </c>
      <c r="U762" s="3" t="s">
        <v>130</v>
      </c>
      <c r="V762" s="3">
        <v>5167</v>
      </c>
      <c r="W762" s="3">
        <v>0.6</v>
      </c>
      <c r="X762" s="3" t="s">
        <v>95</v>
      </c>
      <c r="Y762" s="7" t="s">
        <v>55</v>
      </c>
    </row>
    <row r="763" spans="1:25" x14ac:dyDescent="0.3">
      <c r="A763" s="5" t="s">
        <v>1081</v>
      </c>
      <c r="B763" s="3" t="s">
        <v>635</v>
      </c>
      <c r="C763" s="3" t="s">
        <v>58</v>
      </c>
      <c r="D763" s="3">
        <v>50</v>
      </c>
      <c r="E763" s="3" t="s">
        <v>101</v>
      </c>
      <c r="F763" s="3" t="s">
        <v>72</v>
      </c>
      <c r="G763" s="3" t="s">
        <v>80</v>
      </c>
      <c r="H763" s="3" t="s">
        <v>28</v>
      </c>
      <c r="I763" s="3" t="s">
        <v>29</v>
      </c>
      <c r="J763" s="6">
        <v>44773</v>
      </c>
      <c r="K763" s="3" t="s">
        <v>30</v>
      </c>
      <c r="L763" s="3" t="s">
        <v>93</v>
      </c>
      <c r="M763" s="3">
        <v>64400</v>
      </c>
      <c r="N763" s="3">
        <v>30</v>
      </c>
      <c r="O763" s="3">
        <v>94.7</v>
      </c>
      <c r="P763" s="3">
        <v>7</v>
      </c>
      <c r="Q763" s="3">
        <v>0</v>
      </c>
      <c r="R763" s="3">
        <v>1</v>
      </c>
      <c r="S763" s="3">
        <v>5</v>
      </c>
      <c r="T763" s="3">
        <v>10</v>
      </c>
      <c r="U763" s="3" t="s">
        <v>104</v>
      </c>
      <c r="V763" s="3">
        <v>5367</v>
      </c>
      <c r="W763" s="3">
        <v>4</v>
      </c>
      <c r="X763" s="3" t="s">
        <v>54</v>
      </c>
      <c r="Y763" s="7" t="s">
        <v>55</v>
      </c>
    </row>
    <row r="764" spans="1:25" x14ac:dyDescent="0.3">
      <c r="A764" s="5" t="s">
        <v>1082</v>
      </c>
      <c r="B764" s="3" t="s">
        <v>515</v>
      </c>
      <c r="C764" s="3" t="s">
        <v>24</v>
      </c>
      <c r="D764" s="3">
        <v>24</v>
      </c>
      <c r="E764" s="3" t="s">
        <v>90</v>
      </c>
      <c r="F764" s="3" t="s">
        <v>79</v>
      </c>
      <c r="G764" s="3" t="s">
        <v>27</v>
      </c>
      <c r="H764" s="3" t="s">
        <v>28</v>
      </c>
      <c r="I764" s="3" t="s">
        <v>68</v>
      </c>
      <c r="J764" s="6">
        <v>44303</v>
      </c>
      <c r="K764" s="3" t="s">
        <v>30</v>
      </c>
      <c r="L764" s="3" t="s">
        <v>53</v>
      </c>
      <c r="M764" s="3">
        <v>101700</v>
      </c>
      <c r="N764" s="3">
        <v>3</v>
      </c>
      <c r="O764" s="3">
        <v>88.3</v>
      </c>
      <c r="P764" s="3">
        <v>3</v>
      </c>
      <c r="Q764" s="3">
        <v>8</v>
      </c>
      <c r="R764" s="3">
        <v>1</v>
      </c>
      <c r="S764" s="3">
        <v>28</v>
      </c>
      <c r="T764" s="3">
        <v>2</v>
      </c>
      <c r="U764" s="3" t="s">
        <v>104</v>
      </c>
      <c r="V764" s="3">
        <v>8475</v>
      </c>
      <c r="W764" s="3">
        <v>5.3</v>
      </c>
      <c r="X764" s="3" t="s">
        <v>48</v>
      </c>
      <c r="Y764" s="7" t="s">
        <v>75</v>
      </c>
    </row>
    <row r="765" spans="1:25" x14ac:dyDescent="0.3">
      <c r="A765" s="5" t="s">
        <v>1083</v>
      </c>
      <c r="B765" s="3" t="s">
        <v>89</v>
      </c>
      <c r="C765" s="3" t="s">
        <v>58</v>
      </c>
      <c r="D765" s="3">
        <v>50</v>
      </c>
      <c r="E765" s="3" t="s">
        <v>160</v>
      </c>
      <c r="F765" s="3" t="s">
        <v>91</v>
      </c>
      <c r="G765" s="3" t="s">
        <v>171</v>
      </c>
      <c r="H765" s="3" t="s">
        <v>28</v>
      </c>
      <c r="I765" s="3" t="s">
        <v>29</v>
      </c>
      <c r="J765" s="6">
        <v>44556</v>
      </c>
      <c r="K765" s="3" t="s">
        <v>30</v>
      </c>
      <c r="L765" s="3" t="s">
        <v>53</v>
      </c>
      <c r="M765" s="3">
        <v>95400</v>
      </c>
      <c r="N765" s="3">
        <v>29</v>
      </c>
      <c r="O765" s="3">
        <v>96.8</v>
      </c>
      <c r="P765" s="3">
        <v>1</v>
      </c>
      <c r="Q765" s="3">
        <v>5</v>
      </c>
      <c r="R765" s="3">
        <v>0</v>
      </c>
      <c r="S765" s="3">
        <v>15</v>
      </c>
      <c r="T765" s="3">
        <v>26</v>
      </c>
      <c r="U765" s="3" t="s">
        <v>74</v>
      </c>
      <c r="V765" s="3">
        <v>7950</v>
      </c>
      <c r="W765" s="3">
        <v>4.5999999999999996</v>
      </c>
      <c r="X765" s="3" t="s">
        <v>54</v>
      </c>
      <c r="Y765" s="7" t="s">
        <v>42</v>
      </c>
    </row>
    <row r="766" spans="1:25" x14ac:dyDescent="0.3">
      <c r="A766" s="5" t="s">
        <v>1084</v>
      </c>
      <c r="B766" s="3" t="s">
        <v>541</v>
      </c>
      <c r="C766" s="3" t="s">
        <v>24</v>
      </c>
      <c r="D766" s="3">
        <v>48</v>
      </c>
      <c r="E766" s="3" t="s">
        <v>90</v>
      </c>
      <c r="F766" s="3" t="s">
        <v>91</v>
      </c>
      <c r="G766" s="3" t="s">
        <v>39</v>
      </c>
      <c r="H766" s="3" t="s">
        <v>28</v>
      </c>
      <c r="I766" s="3" t="s">
        <v>40</v>
      </c>
      <c r="J766" s="6">
        <v>44844</v>
      </c>
      <c r="K766" s="3" t="s">
        <v>30</v>
      </c>
      <c r="L766" s="3" t="s">
        <v>31</v>
      </c>
      <c r="M766" s="3">
        <v>29600</v>
      </c>
      <c r="N766" s="3">
        <v>25</v>
      </c>
      <c r="O766" s="3">
        <v>86.4</v>
      </c>
      <c r="P766" s="3">
        <v>2</v>
      </c>
      <c r="Q766" s="3">
        <v>2</v>
      </c>
      <c r="R766" s="3">
        <v>3</v>
      </c>
      <c r="S766" s="3">
        <v>3</v>
      </c>
      <c r="T766" s="3">
        <v>13</v>
      </c>
      <c r="U766" s="3" t="s">
        <v>41</v>
      </c>
      <c r="V766" s="3">
        <v>2467</v>
      </c>
      <c r="W766" s="3">
        <v>3.8</v>
      </c>
      <c r="X766" s="3" t="s">
        <v>54</v>
      </c>
      <c r="Y766" s="7" t="s">
        <v>55</v>
      </c>
    </row>
    <row r="767" spans="1:25" x14ac:dyDescent="0.3">
      <c r="A767" s="5" t="s">
        <v>1085</v>
      </c>
      <c r="B767" s="3" t="s">
        <v>687</v>
      </c>
      <c r="C767" s="3" t="s">
        <v>24</v>
      </c>
      <c r="D767" s="3">
        <v>34</v>
      </c>
      <c r="E767" s="3" t="s">
        <v>160</v>
      </c>
      <c r="F767" s="3" t="s">
        <v>79</v>
      </c>
      <c r="G767" s="3" t="s">
        <v>39</v>
      </c>
      <c r="H767" s="3" t="s">
        <v>28</v>
      </c>
      <c r="I767" s="3" t="s">
        <v>92</v>
      </c>
      <c r="J767" s="6">
        <v>44045</v>
      </c>
      <c r="K767" s="3" t="s">
        <v>30</v>
      </c>
      <c r="L767" s="3" t="s">
        <v>93</v>
      </c>
      <c r="M767" s="3">
        <v>30600</v>
      </c>
      <c r="N767" s="3">
        <v>10</v>
      </c>
      <c r="O767" s="3">
        <v>95.7</v>
      </c>
      <c r="P767" s="3">
        <v>1</v>
      </c>
      <c r="Q767" s="3">
        <v>10</v>
      </c>
      <c r="R767" s="3">
        <v>2</v>
      </c>
      <c r="S767" s="3">
        <v>4</v>
      </c>
      <c r="T767" s="3">
        <v>28</v>
      </c>
      <c r="U767" s="3" t="s">
        <v>32</v>
      </c>
      <c r="V767" s="3">
        <v>2550</v>
      </c>
      <c r="W767" s="3">
        <v>6</v>
      </c>
      <c r="X767" s="3" t="s">
        <v>33</v>
      </c>
      <c r="Y767" s="7" t="s">
        <v>55</v>
      </c>
    </row>
    <row r="768" spans="1:25" x14ac:dyDescent="0.3">
      <c r="A768" s="5" t="s">
        <v>1086</v>
      </c>
      <c r="B768" s="3" t="s">
        <v>756</v>
      </c>
      <c r="C768" s="3" t="s">
        <v>58</v>
      </c>
      <c r="D768" s="3">
        <v>44</v>
      </c>
      <c r="E768" s="3" t="s">
        <v>59</v>
      </c>
      <c r="F768" s="3" t="s">
        <v>66</v>
      </c>
      <c r="G768" s="3" t="s">
        <v>80</v>
      </c>
      <c r="H768" s="3" t="s">
        <v>28</v>
      </c>
      <c r="I768" s="3" t="s">
        <v>68</v>
      </c>
      <c r="J768" s="6">
        <v>45550</v>
      </c>
      <c r="K768" s="3" t="s">
        <v>30</v>
      </c>
      <c r="L768" s="3" t="s">
        <v>31</v>
      </c>
      <c r="M768" s="3">
        <v>41500</v>
      </c>
      <c r="N768" s="3">
        <v>24</v>
      </c>
      <c r="O768" s="3">
        <v>95.8</v>
      </c>
      <c r="P768" s="3">
        <v>1</v>
      </c>
      <c r="Q768" s="3">
        <v>1</v>
      </c>
      <c r="R768" s="3">
        <v>3</v>
      </c>
      <c r="S768" s="3">
        <v>4</v>
      </c>
      <c r="T768" s="3">
        <v>3</v>
      </c>
      <c r="U768" s="3" t="s">
        <v>74</v>
      </c>
      <c r="V768" s="3">
        <v>3458</v>
      </c>
      <c r="W768" s="3">
        <v>1.9</v>
      </c>
      <c r="X768" s="3" t="s">
        <v>62</v>
      </c>
      <c r="Y768" s="7" t="s">
        <v>75</v>
      </c>
    </row>
    <row r="769" spans="1:25" x14ac:dyDescent="0.3">
      <c r="A769" s="5" t="s">
        <v>1087</v>
      </c>
      <c r="B769" s="3" t="s">
        <v>82</v>
      </c>
      <c r="C769" s="3" t="s">
        <v>24</v>
      </c>
      <c r="D769" s="3">
        <v>32</v>
      </c>
      <c r="E769" s="3" t="s">
        <v>78</v>
      </c>
      <c r="F769" s="3" t="s">
        <v>60</v>
      </c>
      <c r="G769" s="3" t="s">
        <v>39</v>
      </c>
      <c r="H769" s="3" t="s">
        <v>28</v>
      </c>
      <c r="I769" s="3" t="s">
        <v>73</v>
      </c>
      <c r="J769" s="6">
        <v>46031</v>
      </c>
      <c r="K769" s="3" t="s">
        <v>30</v>
      </c>
      <c r="L769" s="3" t="s">
        <v>53</v>
      </c>
      <c r="M769" s="3">
        <v>47700</v>
      </c>
      <c r="N769" s="3">
        <v>8</v>
      </c>
      <c r="O769" s="3">
        <v>83.5</v>
      </c>
      <c r="P769" s="3">
        <v>2</v>
      </c>
      <c r="Q769" s="3">
        <v>13</v>
      </c>
      <c r="R769" s="3">
        <v>3</v>
      </c>
      <c r="S769" s="3">
        <v>8</v>
      </c>
      <c r="T769" s="3">
        <v>3</v>
      </c>
      <c r="U769" s="3" t="s">
        <v>130</v>
      </c>
      <c r="V769" s="3">
        <v>3975</v>
      </c>
      <c r="W769" s="3">
        <v>0.6</v>
      </c>
      <c r="X769" s="3" t="s">
        <v>33</v>
      </c>
      <c r="Y769" s="7" t="s">
        <v>42</v>
      </c>
    </row>
    <row r="770" spans="1:25" x14ac:dyDescent="0.3">
      <c r="A770" s="5" t="s">
        <v>1088</v>
      </c>
      <c r="B770" s="3" t="s">
        <v>405</v>
      </c>
      <c r="C770" s="3" t="s">
        <v>24</v>
      </c>
      <c r="D770" s="3">
        <v>31</v>
      </c>
      <c r="E770" s="3" t="s">
        <v>25</v>
      </c>
      <c r="F770" s="3" t="s">
        <v>52</v>
      </c>
      <c r="G770" s="3" t="s">
        <v>80</v>
      </c>
      <c r="H770" s="3" t="s">
        <v>28</v>
      </c>
      <c r="I770" s="3" t="s">
        <v>29</v>
      </c>
      <c r="J770" s="6">
        <v>43666</v>
      </c>
      <c r="K770" s="3" t="s">
        <v>30</v>
      </c>
      <c r="L770" s="3" t="s">
        <v>53</v>
      </c>
      <c r="M770" s="3">
        <v>48300</v>
      </c>
      <c r="N770" s="3">
        <v>11</v>
      </c>
      <c r="O770" s="3">
        <v>93</v>
      </c>
      <c r="P770" s="3">
        <v>6</v>
      </c>
      <c r="Q770" s="3">
        <v>11</v>
      </c>
      <c r="R770" s="3">
        <v>1</v>
      </c>
      <c r="S770" s="3">
        <v>4</v>
      </c>
      <c r="T770" s="3">
        <v>6</v>
      </c>
      <c r="U770" s="3" t="s">
        <v>104</v>
      </c>
      <c r="V770" s="3">
        <v>4025</v>
      </c>
      <c r="W770" s="3">
        <v>7</v>
      </c>
      <c r="X770" s="3" t="s">
        <v>33</v>
      </c>
      <c r="Y770" s="7" t="s">
        <v>42</v>
      </c>
    </row>
    <row r="771" spans="1:25" x14ac:dyDescent="0.3">
      <c r="A771" s="5" t="s">
        <v>1089</v>
      </c>
      <c r="B771" s="3" t="s">
        <v>345</v>
      </c>
      <c r="C771" s="3" t="s">
        <v>58</v>
      </c>
      <c r="D771" s="3">
        <v>43</v>
      </c>
      <c r="E771" s="3" t="s">
        <v>160</v>
      </c>
      <c r="F771" s="3" t="s">
        <v>38</v>
      </c>
      <c r="G771" s="3" t="s">
        <v>46</v>
      </c>
      <c r="H771" s="3" t="s">
        <v>28</v>
      </c>
      <c r="I771" s="3" t="s">
        <v>40</v>
      </c>
      <c r="J771" s="6">
        <v>45572</v>
      </c>
      <c r="K771" s="3" t="s">
        <v>30</v>
      </c>
      <c r="L771" s="3" t="s">
        <v>93</v>
      </c>
      <c r="M771" s="3">
        <v>66700</v>
      </c>
      <c r="N771" s="3">
        <v>22</v>
      </c>
      <c r="O771" s="3">
        <v>99.1</v>
      </c>
      <c r="P771" s="3">
        <v>0</v>
      </c>
      <c r="Q771" s="3">
        <v>11</v>
      </c>
      <c r="R771" s="3">
        <v>2</v>
      </c>
      <c r="S771" s="3">
        <v>1</v>
      </c>
      <c r="T771" s="3">
        <v>23</v>
      </c>
      <c r="U771" s="3" t="s">
        <v>130</v>
      </c>
      <c r="V771" s="3">
        <v>5558</v>
      </c>
      <c r="W771" s="3">
        <v>1.8</v>
      </c>
      <c r="X771" s="3" t="s">
        <v>62</v>
      </c>
      <c r="Y771" s="7" t="s">
        <v>42</v>
      </c>
    </row>
    <row r="772" spans="1:25" x14ac:dyDescent="0.3">
      <c r="A772" s="5" t="s">
        <v>1090</v>
      </c>
      <c r="B772" s="3" t="s">
        <v>184</v>
      </c>
      <c r="C772" s="3" t="s">
        <v>58</v>
      </c>
      <c r="D772" s="3">
        <v>34</v>
      </c>
      <c r="E772" s="3" t="s">
        <v>78</v>
      </c>
      <c r="F772" s="3" t="s">
        <v>26</v>
      </c>
      <c r="G772" s="3" t="s">
        <v>80</v>
      </c>
      <c r="H772" s="3" t="s">
        <v>28</v>
      </c>
      <c r="I772" s="3" t="s">
        <v>68</v>
      </c>
      <c r="J772" s="6">
        <v>43218</v>
      </c>
      <c r="K772" s="3" t="s">
        <v>30</v>
      </c>
      <c r="L772" s="3" t="s">
        <v>53</v>
      </c>
      <c r="M772" s="3">
        <v>47700</v>
      </c>
      <c r="N772" s="3">
        <v>13</v>
      </c>
      <c r="O772" s="3">
        <v>92.5</v>
      </c>
      <c r="P772" s="3">
        <v>5</v>
      </c>
      <c r="Q772" s="3">
        <v>2</v>
      </c>
      <c r="R772" s="3">
        <v>4</v>
      </c>
      <c r="S772" s="3">
        <v>6</v>
      </c>
      <c r="T772" s="3">
        <v>25</v>
      </c>
      <c r="U772" s="3" t="s">
        <v>94</v>
      </c>
      <c r="V772" s="3">
        <v>3975</v>
      </c>
      <c r="W772" s="3">
        <v>8.3000000000000007</v>
      </c>
      <c r="X772" s="3" t="s">
        <v>33</v>
      </c>
      <c r="Y772" s="7" t="s">
        <v>42</v>
      </c>
    </row>
    <row r="773" spans="1:25" x14ac:dyDescent="0.3">
      <c r="A773" s="5" t="s">
        <v>1091</v>
      </c>
      <c r="B773" s="3" t="s">
        <v>373</v>
      </c>
      <c r="C773" s="3" t="s">
        <v>24</v>
      </c>
      <c r="D773" s="3">
        <v>43</v>
      </c>
      <c r="E773" s="3" t="s">
        <v>78</v>
      </c>
      <c r="F773" s="3" t="s">
        <v>91</v>
      </c>
      <c r="G773" s="3" t="s">
        <v>80</v>
      </c>
      <c r="H773" s="3" t="s">
        <v>28</v>
      </c>
      <c r="I773" s="3" t="s">
        <v>92</v>
      </c>
      <c r="J773" s="6">
        <v>43468</v>
      </c>
      <c r="K773" s="3" t="s">
        <v>30</v>
      </c>
      <c r="L773" s="3" t="s">
        <v>53</v>
      </c>
      <c r="M773" s="3">
        <v>33900</v>
      </c>
      <c r="N773" s="3">
        <v>23</v>
      </c>
      <c r="O773" s="3">
        <v>91.7</v>
      </c>
      <c r="P773" s="3">
        <v>0</v>
      </c>
      <c r="Q773" s="3">
        <v>10</v>
      </c>
      <c r="R773" s="3">
        <v>2</v>
      </c>
      <c r="S773" s="3">
        <v>30</v>
      </c>
      <c r="T773" s="3">
        <v>2</v>
      </c>
      <c r="U773" s="3" t="s">
        <v>94</v>
      </c>
      <c r="V773" s="3">
        <v>2825</v>
      </c>
      <c r="W773" s="3">
        <v>7.6</v>
      </c>
      <c r="X773" s="3" t="s">
        <v>62</v>
      </c>
      <c r="Y773" s="7" t="s">
        <v>42</v>
      </c>
    </row>
    <row r="774" spans="1:25" x14ac:dyDescent="0.3">
      <c r="A774" s="5" t="s">
        <v>1092</v>
      </c>
      <c r="B774" s="3" t="s">
        <v>350</v>
      </c>
      <c r="C774" s="3" t="s">
        <v>24</v>
      </c>
      <c r="D774" s="3">
        <v>45</v>
      </c>
      <c r="E774" s="3" t="s">
        <v>65</v>
      </c>
      <c r="F774" s="3" t="s">
        <v>26</v>
      </c>
      <c r="G774" s="3" t="s">
        <v>80</v>
      </c>
      <c r="H774" s="3" t="s">
        <v>115</v>
      </c>
      <c r="I774" s="3" t="s">
        <v>86</v>
      </c>
      <c r="J774" s="6">
        <v>44230</v>
      </c>
      <c r="K774" s="3" t="s">
        <v>30</v>
      </c>
      <c r="L774" s="3" t="s">
        <v>53</v>
      </c>
      <c r="M774" s="3">
        <v>51600</v>
      </c>
      <c r="N774" s="3">
        <v>21</v>
      </c>
      <c r="O774" s="3">
        <v>88.9</v>
      </c>
      <c r="P774" s="3">
        <v>2</v>
      </c>
      <c r="Q774" s="3">
        <v>0</v>
      </c>
      <c r="R774" s="3">
        <v>0</v>
      </c>
      <c r="S774" s="3">
        <v>14</v>
      </c>
      <c r="T774" s="3">
        <v>13</v>
      </c>
      <c r="U774" s="3" t="s">
        <v>41</v>
      </c>
      <c r="V774" s="3">
        <v>4300</v>
      </c>
      <c r="W774" s="3">
        <v>5.5</v>
      </c>
      <c r="X774" s="3" t="s">
        <v>54</v>
      </c>
      <c r="Y774" s="7" t="s">
        <v>55</v>
      </c>
    </row>
    <row r="775" spans="1:25" x14ac:dyDescent="0.3">
      <c r="A775" s="5" t="s">
        <v>1093</v>
      </c>
      <c r="B775" s="3" t="s">
        <v>1094</v>
      </c>
      <c r="C775" s="3" t="s">
        <v>58</v>
      </c>
      <c r="D775" s="3">
        <v>45</v>
      </c>
      <c r="E775" s="3" t="s">
        <v>71</v>
      </c>
      <c r="F775" s="3" t="s">
        <v>72</v>
      </c>
      <c r="G775" s="3" t="s">
        <v>171</v>
      </c>
      <c r="H775" s="3" t="s">
        <v>28</v>
      </c>
      <c r="I775" s="3" t="s">
        <v>40</v>
      </c>
      <c r="J775" s="6">
        <v>45778</v>
      </c>
      <c r="K775" s="3" t="s">
        <v>61</v>
      </c>
      <c r="L775" s="3" t="s">
        <v>31</v>
      </c>
      <c r="M775" s="3">
        <v>138800</v>
      </c>
      <c r="N775" s="3">
        <v>26</v>
      </c>
      <c r="O775" s="3">
        <v>93.9</v>
      </c>
      <c r="P775" s="3">
        <v>3</v>
      </c>
      <c r="Q775" s="3">
        <v>2</v>
      </c>
      <c r="R775" s="3">
        <v>1</v>
      </c>
      <c r="S775" s="3">
        <v>25</v>
      </c>
      <c r="T775" s="3">
        <v>6</v>
      </c>
      <c r="U775" s="3" t="s">
        <v>74</v>
      </c>
      <c r="V775" s="3">
        <v>11567</v>
      </c>
      <c r="W775" s="3">
        <v>1.3</v>
      </c>
      <c r="X775" s="3" t="s">
        <v>54</v>
      </c>
      <c r="Y775" s="7" t="s">
        <v>55</v>
      </c>
    </row>
    <row r="776" spans="1:25" x14ac:dyDescent="0.3">
      <c r="A776" s="5" t="s">
        <v>1095</v>
      </c>
      <c r="B776" s="3" t="s">
        <v>256</v>
      </c>
      <c r="C776" s="3" t="s">
        <v>24</v>
      </c>
      <c r="D776" s="3">
        <v>38</v>
      </c>
      <c r="E776" s="3" t="s">
        <v>160</v>
      </c>
      <c r="F776" s="3" t="s">
        <v>79</v>
      </c>
      <c r="G776" s="3" t="s">
        <v>39</v>
      </c>
      <c r="H776" s="3" t="s">
        <v>67</v>
      </c>
      <c r="I776" s="3" t="s">
        <v>29</v>
      </c>
      <c r="J776" s="6">
        <v>45018</v>
      </c>
      <c r="K776" s="3" t="s">
        <v>30</v>
      </c>
      <c r="L776" s="3" t="s">
        <v>31</v>
      </c>
      <c r="M776" s="3">
        <v>40900</v>
      </c>
      <c r="N776" s="3">
        <v>16</v>
      </c>
      <c r="O776" s="3">
        <v>89.6</v>
      </c>
      <c r="P776" s="3">
        <v>7</v>
      </c>
      <c r="Q776" s="3">
        <v>14</v>
      </c>
      <c r="R776" s="3">
        <v>2</v>
      </c>
      <c r="S776" s="3">
        <v>24</v>
      </c>
      <c r="T776" s="3">
        <v>29</v>
      </c>
      <c r="U776" s="3" t="s">
        <v>74</v>
      </c>
      <c r="V776" s="3">
        <v>3408</v>
      </c>
      <c r="W776" s="3">
        <v>3.3</v>
      </c>
      <c r="X776" s="3" t="s">
        <v>108</v>
      </c>
      <c r="Y776" s="7" t="s">
        <v>42</v>
      </c>
    </row>
    <row r="777" spans="1:25" x14ac:dyDescent="0.3">
      <c r="A777" s="5" t="s">
        <v>1096</v>
      </c>
      <c r="B777" s="3" t="s">
        <v>792</v>
      </c>
      <c r="C777" s="3" t="s">
        <v>24</v>
      </c>
      <c r="D777" s="3">
        <v>44</v>
      </c>
      <c r="E777" s="3" t="s">
        <v>137</v>
      </c>
      <c r="F777" s="3" t="s">
        <v>26</v>
      </c>
      <c r="G777" s="3" t="s">
        <v>46</v>
      </c>
      <c r="H777" s="3" t="s">
        <v>115</v>
      </c>
      <c r="I777" s="3" t="s">
        <v>47</v>
      </c>
      <c r="J777" s="6">
        <v>45296</v>
      </c>
      <c r="K777" s="3" t="s">
        <v>30</v>
      </c>
      <c r="L777" s="3" t="s">
        <v>53</v>
      </c>
      <c r="M777" s="3">
        <v>66800</v>
      </c>
      <c r="N777" s="3">
        <v>22</v>
      </c>
      <c r="O777" s="3">
        <v>93.8</v>
      </c>
      <c r="P777" s="3">
        <v>1</v>
      </c>
      <c r="Q777" s="3">
        <v>4</v>
      </c>
      <c r="R777" s="3">
        <v>0</v>
      </c>
      <c r="S777" s="3">
        <v>22</v>
      </c>
      <c r="T777" s="3">
        <v>27</v>
      </c>
      <c r="U777" s="3" t="s">
        <v>130</v>
      </c>
      <c r="V777" s="3">
        <v>5567</v>
      </c>
      <c r="W777" s="3">
        <v>2.6</v>
      </c>
      <c r="X777" s="3" t="s">
        <v>62</v>
      </c>
      <c r="Y777" s="7" t="s">
        <v>55</v>
      </c>
    </row>
    <row r="778" spans="1:25" x14ac:dyDescent="0.3">
      <c r="A778" s="5" t="s">
        <v>1097</v>
      </c>
      <c r="B778" s="3" t="s">
        <v>210</v>
      </c>
      <c r="C778" s="3" t="s">
        <v>58</v>
      </c>
      <c r="D778" s="3">
        <v>43</v>
      </c>
      <c r="E778" s="3" t="s">
        <v>51</v>
      </c>
      <c r="F778" s="3" t="s">
        <v>52</v>
      </c>
      <c r="G778" s="3" t="s">
        <v>122</v>
      </c>
      <c r="H778" s="3" t="s">
        <v>122</v>
      </c>
      <c r="I778" s="3" t="s">
        <v>92</v>
      </c>
      <c r="J778" s="6">
        <v>44990</v>
      </c>
      <c r="K778" s="3" t="s">
        <v>30</v>
      </c>
      <c r="L778" s="3" t="s">
        <v>53</v>
      </c>
      <c r="M778" s="3">
        <v>24900</v>
      </c>
      <c r="N778" s="3">
        <v>20</v>
      </c>
      <c r="O778" s="3">
        <v>95.2</v>
      </c>
      <c r="P778" s="3">
        <v>6</v>
      </c>
      <c r="Q778" s="3">
        <v>3</v>
      </c>
      <c r="R778" s="3">
        <v>4</v>
      </c>
      <c r="S778" s="3">
        <v>7</v>
      </c>
      <c r="T778" s="3">
        <v>15</v>
      </c>
      <c r="U778" s="3" t="s">
        <v>41</v>
      </c>
      <c r="V778" s="3">
        <v>2075</v>
      </c>
      <c r="W778" s="3">
        <v>3.4</v>
      </c>
      <c r="X778" s="3" t="s">
        <v>62</v>
      </c>
      <c r="Y778" s="7" t="s">
        <v>42</v>
      </c>
    </row>
    <row r="779" spans="1:25" x14ac:dyDescent="0.3">
      <c r="A779" s="5" t="s">
        <v>1098</v>
      </c>
      <c r="B779" s="3" t="s">
        <v>370</v>
      </c>
      <c r="C779" s="3" t="s">
        <v>58</v>
      </c>
      <c r="D779" s="3">
        <v>38</v>
      </c>
      <c r="E779" s="3" t="s">
        <v>90</v>
      </c>
      <c r="F779" s="3" t="s">
        <v>72</v>
      </c>
      <c r="G779" s="3" t="s">
        <v>39</v>
      </c>
      <c r="H779" s="3" t="s">
        <v>28</v>
      </c>
      <c r="I779" s="3" t="s">
        <v>92</v>
      </c>
      <c r="J779" s="6">
        <v>45298</v>
      </c>
      <c r="K779" s="3" t="s">
        <v>30</v>
      </c>
      <c r="L779" s="3" t="s">
        <v>31</v>
      </c>
      <c r="M779" s="3">
        <v>51300</v>
      </c>
      <c r="N779" s="3">
        <v>15</v>
      </c>
      <c r="O779" s="3">
        <v>92.8</v>
      </c>
      <c r="P779" s="3">
        <v>2</v>
      </c>
      <c r="Q779" s="3">
        <v>9</v>
      </c>
      <c r="R779" s="3">
        <v>3</v>
      </c>
      <c r="S779" s="3">
        <v>28</v>
      </c>
      <c r="T779" s="3">
        <v>9</v>
      </c>
      <c r="U779" s="3" t="s">
        <v>94</v>
      </c>
      <c r="V779" s="3">
        <v>4275</v>
      </c>
      <c r="W779" s="3">
        <v>2.6</v>
      </c>
      <c r="X779" s="3" t="s">
        <v>108</v>
      </c>
      <c r="Y779" s="7" t="s">
        <v>42</v>
      </c>
    </row>
    <row r="780" spans="1:25" x14ac:dyDescent="0.3">
      <c r="A780" s="5" t="s">
        <v>1099</v>
      </c>
      <c r="B780" s="3" t="s">
        <v>631</v>
      </c>
      <c r="C780" s="3" t="s">
        <v>58</v>
      </c>
      <c r="D780" s="3">
        <v>29</v>
      </c>
      <c r="E780" s="3" t="s">
        <v>51</v>
      </c>
      <c r="F780" s="3" t="s">
        <v>52</v>
      </c>
      <c r="G780" s="3" t="s">
        <v>46</v>
      </c>
      <c r="H780" s="3" t="s">
        <v>28</v>
      </c>
      <c r="I780" s="3" t="s">
        <v>47</v>
      </c>
      <c r="J780" s="6">
        <v>43916</v>
      </c>
      <c r="K780" s="3" t="s">
        <v>30</v>
      </c>
      <c r="L780" s="3" t="s">
        <v>53</v>
      </c>
      <c r="M780" s="3">
        <v>67400</v>
      </c>
      <c r="N780" s="3">
        <v>10</v>
      </c>
      <c r="O780" s="3">
        <v>97</v>
      </c>
      <c r="P780" s="3">
        <v>0</v>
      </c>
      <c r="Q780" s="3">
        <v>0</v>
      </c>
      <c r="R780" s="3">
        <v>3</v>
      </c>
      <c r="S780" s="3">
        <v>30</v>
      </c>
      <c r="T780" s="3">
        <v>12</v>
      </c>
      <c r="U780" s="3" t="s">
        <v>32</v>
      </c>
      <c r="V780" s="3">
        <v>5617</v>
      </c>
      <c r="W780" s="3">
        <v>6.3</v>
      </c>
      <c r="X780" s="3" t="s">
        <v>95</v>
      </c>
      <c r="Y780" s="7" t="s">
        <v>55</v>
      </c>
    </row>
    <row r="781" spans="1:25" x14ac:dyDescent="0.3">
      <c r="A781" s="5" t="s">
        <v>1100</v>
      </c>
      <c r="B781" s="3" t="s">
        <v>345</v>
      </c>
      <c r="C781" s="3" t="s">
        <v>58</v>
      </c>
      <c r="D781" s="3">
        <v>36</v>
      </c>
      <c r="E781" s="3" t="s">
        <v>25</v>
      </c>
      <c r="F781" s="3" t="s">
        <v>26</v>
      </c>
      <c r="G781" s="3" t="s">
        <v>39</v>
      </c>
      <c r="H781" s="3" t="s">
        <v>28</v>
      </c>
      <c r="I781" s="3" t="s">
        <v>29</v>
      </c>
      <c r="J781" s="6">
        <v>45404</v>
      </c>
      <c r="K781" s="3" t="s">
        <v>30</v>
      </c>
      <c r="L781" s="3" t="s">
        <v>31</v>
      </c>
      <c r="M781" s="3">
        <v>39800</v>
      </c>
      <c r="N781" s="3">
        <v>12</v>
      </c>
      <c r="O781" s="3">
        <v>93.4</v>
      </c>
      <c r="P781" s="3">
        <v>5</v>
      </c>
      <c r="Q781" s="3">
        <v>4</v>
      </c>
      <c r="R781" s="3">
        <v>0</v>
      </c>
      <c r="S781" s="3">
        <v>25</v>
      </c>
      <c r="T781" s="3">
        <v>19</v>
      </c>
      <c r="U781" s="3" t="s">
        <v>41</v>
      </c>
      <c r="V781" s="3">
        <v>3317</v>
      </c>
      <c r="W781" s="3">
        <v>2.2999999999999998</v>
      </c>
      <c r="X781" s="3" t="s">
        <v>108</v>
      </c>
      <c r="Y781" s="7" t="s">
        <v>42</v>
      </c>
    </row>
    <row r="782" spans="1:25" x14ac:dyDescent="0.3">
      <c r="A782" s="5" t="s">
        <v>1101</v>
      </c>
      <c r="B782" s="3" t="s">
        <v>962</v>
      </c>
      <c r="C782" s="3" t="s">
        <v>24</v>
      </c>
      <c r="D782" s="3">
        <v>35</v>
      </c>
      <c r="E782" s="3" t="s">
        <v>160</v>
      </c>
      <c r="F782" s="3" t="s">
        <v>72</v>
      </c>
      <c r="G782" s="3" t="s">
        <v>122</v>
      </c>
      <c r="H782" s="3" t="s">
        <v>28</v>
      </c>
      <c r="I782" s="3" t="s">
        <v>92</v>
      </c>
      <c r="J782" s="6">
        <v>45230</v>
      </c>
      <c r="K782" s="3" t="s">
        <v>30</v>
      </c>
      <c r="L782" s="3" t="s">
        <v>53</v>
      </c>
      <c r="M782" s="3">
        <v>31300</v>
      </c>
      <c r="N782" s="3">
        <v>16</v>
      </c>
      <c r="O782" s="3">
        <v>89.6</v>
      </c>
      <c r="P782" s="3">
        <v>1</v>
      </c>
      <c r="Q782" s="3">
        <v>2</v>
      </c>
      <c r="R782" s="3">
        <v>1</v>
      </c>
      <c r="S782" s="3">
        <v>2</v>
      </c>
      <c r="T782" s="3">
        <v>11</v>
      </c>
      <c r="U782" s="3" t="s">
        <v>94</v>
      </c>
      <c r="V782" s="3">
        <v>2608</v>
      </c>
      <c r="W782" s="3">
        <v>2.8</v>
      </c>
      <c r="X782" s="3" t="s">
        <v>108</v>
      </c>
      <c r="Y782" s="7" t="s">
        <v>42</v>
      </c>
    </row>
    <row r="783" spans="1:25" x14ac:dyDescent="0.3">
      <c r="A783" s="5" t="s">
        <v>1102</v>
      </c>
      <c r="B783" s="3" t="s">
        <v>239</v>
      </c>
      <c r="C783" s="3" t="s">
        <v>58</v>
      </c>
      <c r="D783" s="3">
        <v>24</v>
      </c>
      <c r="E783" s="3" t="s">
        <v>101</v>
      </c>
      <c r="F783" s="3" t="s">
        <v>72</v>
      </c>
      <c r="G783" s="3" t="s">
        <v>39</v>
      </c>
      <c r="H783" s="3" t="s">
        <v>28</v>
      </c>
      <c r="I783" s="3" t="s">
        <v>73</v>
      </c>
      <c r="J783" s="6">
        <v>45164</v>
      </c>
      <c r="K783" s="3" t="s">
        <v>30</v>
      </c>
      <c r="L783" s="3" t="s">
        <v>53</v>
      </c>
      <c r="M783" s="3">
        <v>41900</v>
      </c>
      <c r="N783" s="3">
        <v>3</v>
      </c>
      <c r="O783" s="3">
        <v>82.3</v>
      </c>
      <c r="P783" s="3">
        <v>2</v>
      </c>
      <c r="Q783" s="3">
        <v>9</v>
      </c>
      <c r="R783" s="3">
        <v>3</v>
      </c>
      <c r="S783" s="3">
        <v>10</v>
      </c>
      <c r="T783" s="3">
        <v>10</v>
      </c>
      <c r="U783" s="3" t="s">
        <v>130</v>
      </c>
      <c r="V783" s="3">
        <v>3492</v>
      </c>
      <c r="W783" s="3">
        <v>2.9</v>
      </c>
      <c r="X783" s="3" t="s">
        <v>48</v>
      </c>
      <c r="Y783" s="7" t="s">
        <v>42</v>
      </c>
    </row>
    <row r="784" spans="1:25" x14ac:dyDescent="0.3">
      <c r="A784" s="5" t="s">
        <v>1103</v>
      </c>
      <c r="B784" s="3" t="s">
        <v>546</v>
      </c>
      <c r="C784" s="3" t="s">
        <v>58</v>
      </c>
      <c r="D784" s="3">
        <v>48</v>
      </c>
      <c r="E784" s="3" t="s">
        <v>65</v>
      </c>
      <c r="F784" s="3" t="s">
        <v>60</v>
      </c>
      <c r="G784" s="3" t="s">
        <v>46</v>
      </c>
      <c r="H784" s="3" t="s">
        <v>122</v>
      </c>
      <c r="I784" s="3" t="s">
        <v>107</v>
      </c>
      <c r="J784" s="6">
        <v>44001</v>
      </c>
      <c r="K784" s="3" t="s">
        <v>30</v>
      </c>
      <c r="L784" s="3" t="s">
        <v>31</v>
      </c>
      <c r="M784" s="3">
        <v>86500</v>
      </c>
      <c r="N784" s="3">
        <v>24</v>
      </c>
      <c r="O784" s="3">
        <v>89.1</v>
      </c>
      <c r="P784" s="3">
        <v>5</v>
      </c>
      <c r="Q784" s="3">
        <v>10</v>
      </c>
      <c r="R784" s="3">
        <v>1</v>
      </c>
      <c r="S784" s="3">
        <v>28</v>
      </c>
      <c r="T784" s="3">
        <v>16</v>
      </c>
      <c r="U784" s="3" t="s">
        <v>94</v>
      </c>
      <c r="V784" s="3">
        <v>7208</v>
      </c>
      <c r="W784" s="3">
        <v>6.1</v>
      </c>
      <c r="X784" s="3" t="s">
        <v>54</v>
      </c>
      <c r="Y784" s="7" t="s">
        <v>55</v>
      </c>
    </row>
    <row r="785" spans="1:25" x14ac:dyDescent="0.3">
      <c r="A785" s="5" t="s">
        <v>1104</v>
      </c>
      <c r="B785" s="3" t="s">
        <v>182</v>
      </c>
      <c r="C785" s="3" t="s">
        <v>58</v>
      </c>
      <c r="D785" s="3">
        <v>23</v>
      </c>
      <c r="E785" s="3" t="s">
        <v>101</v>
      </c>
      <c r="F785" s="3" t="s">
        <v>60</v>
      </c>
      <c r="G785" s="3" t="s">
        <v>46</v>
      </c>
      <c r="H785" s="3" t="s">
        <v>28</v>
      </c>
      <c r="I785" s="3" t="s">
        <v>40</v>
      </c>
      <c r="J785" s="6">
        <v>43293</v>
      </c>
      <c r="K785" s="3" t="s">
        <v>30</v>
      </c>
      <c r="L785" s="3" t="s">
        <v>53</v>
      </c>
      <c r="M785" s="3">
        <v>91600</v>
      </c>
      <c r="N785" s="3">
        <v>3</v>
      </c>
      <c r="O785" s="3">
        <v>90.6</v>
      </c>
      <c r="P785" s="3">
        <v>2</v>
      </c>
      <c r="Q785" s="3">
        <v>13</v>
      </c>
      <c r="R785" s="3">
        <v>1</v>
      </c>
      <c r="S785" s="3">
        <v>24</v>
      </c>
      <c r="T785" s="3">
        <v>11</v>
      </c>
      <c r="U785" s="3" t="s">
        <v>74</v>
      </c>
      <c r="V785" s="3">
        <v>7633</v>
      </c>
      <c r="W785" s="3">
        <v>8.1</v>
      </c>
      <c r="X785" s="3" t="s">
        <v>48</v>
      </c>
      <c r="Y785" s="7" t="s">
        <v>42</v>
      </c>
    </row>
    <row r="786" spans="1:25" x14ac:dyDescent="0.3">
      <c r="A786" s="5" t="s">
        <v>1105</v>
      </c>
      <c r="B786" s="3" t="s">
        <v>304</v>
      </c>
      <c r="C786" s="3" t="s">
        <v>24</v>
      </c>
      <c r="D786" s="3">
        <v>43</v>
      </c>
      <c r="E786" s="3" t="s">
        <v>65</v>
      </c>
      <c r="F786" s="3" t="s">
        <v>26</v>
      </c>
      <c r="G786" s="3" t="s">
        <v>39</v>
      </c>
      <c r="H786" s="3" t="s">
        <v>28</v>
      </c>
      <c r="I786" s="3" t="s">
        <v>73</v>
      </c>
      <c r="J786" s="6">
        <v>45871</v>
      </c>
      <c r="K786" s="3" t="s">
        <v>30</v>
      </c>
      <c r="L786" s="3" t="s">
        <v>53</v>
      </c>
      <c r="M786" s="3">
        <v>38600</v>
      </c>
      <c r="N786" s="3">
        <v>21</v>
      </c>
      <c r="O786" s="3">
        <v>94.2</v>
      </c>
      <c r="P786" s="3">
        <v>4</v>
      </c>
      <c r="Q786" s="3">
        <v>12</v>
      </c>
      <c r="R786" s="3">
        <v>3</v>
      </c>
      <c r="S786" s="3">
        <v>22</v>
      </c>
      <c r="T786" s="3">
        <v>5</v>
      </c>
      <c r="U786" s="3" t="s">
        <v>130</v>
      </c>
      <c r="V786" s="3">
        <v>3217</v>
      </c>
      <c r="W786" s="3">
        <v>1</v>
      </c>
      <c r="X786" s="3" t="s">
        <v>62</v>
      </c>
      <c r="Y786" s="7" t="s">
        <v>75</v>
      </c>
    </row>
    <row r="787" spans="1:25" x14ac:dyDescent="0.3">
      <c r="A787" s="5" t="s">
        <v>1106</v>
      </c>
      <c r="B787" s="3" t="s">
        <v>509</v>
      </c>
      <c r="C787" s="3" t="s">
        <v>24</v>
      </c>
      <c r="D787" s="3">
        <v>41</v>
      </c>
      <c r="E787" s="3" t="s">
        <v>71</v>
      </c>
      <c r="F787" s="3" t="s">
        <v>91</v>
      </c>
      <c r="G787" s="3" t="s">
        <v>46</v>
      </c>
      <c r="H787" s="3" t="s">
        <v>28</v>
      </c>
      <c r="I787" s="3" t="s">
        <v>29</v>
      </c>
      <c r="J787" s="6">
        <v>44198</v>
      </c>
      <c r="K787" s="3" t="s">
        <v>30</v>
      </c>
      <c r="L787" s="3" t="s">
        <v>53</v>
      </c>
      <c r="M787" s="3">
        <v>53700</v>
      </c>
      <c r="N787" s="3">
        <v>18</v>
      </c>
      <c r="O787" s="3">
        <v>82</v>
      </c>
      <c r="P787" s="3">
        <v>2</v>
      </c>
      <c r="Q787" s="3">
        <v>13</v>
      </c>
      <c r="R787" s="3">
        <v>4</v>
      </c>
      <c r="S787" s="3">
        <v>9</v>
      </c>
      <c r="T787" s="3">
        <v>12</v>
      </c>
      <c r="U787" s="3" t="s">
        <v>123</v>
      </c>
      <c r="V787" s="3">
        <v>4475</v>
      </c>
      <c r="W787" s="3">
        <v>5.6</v>
      </c>
      <c r="X787" s="3" t="s">
        <v>62</v>
      </c>
      <c r="Y787" s="7" t="s">
        <v>42</v>
      </c>
    </row>
    <row r="788" spans="1:25" x14ac:dyDescent="0.3">
      <c r="A788" s="5" t="s">
        <v>1107</v>
      </c>
      <c r="B788" s="3" t="s">
        <v>166</v>
      </c>
      <c r="C788" s="3" t="s">
        <v>24</v>
      </c>
      <c r="D788" s="3">
        <v>29</v>
      </c>
      <c r="E788" s="3" t="s">
        <v>90</v>
      </c>
      <c r="F788" s="3" t="s">
        <v>52</v>
      </c>
      <c r="G788" s="3" t="s">
        <v>39</v>
      </c>
      <c r="H788" s="3" t="s">
        <v>28</v>
      </c>
      <c r="I788" s="3" t="s">
        <v>47</v>
      </c>
      <c r="J788" s="6">
        <v>44185</v>
      </c>
      <c r="K788" s="3" t="s">
        <v>30</v>
      </c>
      <c r="L788" s="3" t="s">
        <v>31</v>
      </c>
      <c r="M788" s="3">
        <v>33100</v>
      </c>
      <c r="N788" s="3">
        <v>5</v>
      </c>
      <c r="O788" s="3">
        <v>82.5</v>
      </c>
      <c r="P788" s="3">
        <v>6</v>
      </c>
      <c r="Q788" s="3">
        <v>6</v>
      </c>
      <c r="R788" s="3">
        <v>2</v>
      </c>
      <c r="S788" s="3">
        <v>3</v>
      </c>
      <c r="T788" s="3">
        <v>24</v>
      </c>
      <c r="U788" s="3" t="s">
        <v>41</v>
      </c>
      <c r="V788" s="3">
        <v>2758</v>
      </c>
      <c r="W788" s="3">
        <v>5.6</v>
      </c>
      <c r="X788" s="3" t="s">
        <v>95</v>
      </c>
      <c r="Y788" s="7" t="s">
        <v>75</v>
      </c>
    </row>
    <row r="789" spans="1:25" x14ac:dyDescent="0.3">
      <c r="A789" s="5" t="s">
        <v>1108</v>
      </c>
      <c r="B789" s="3" t="s">
        <v>149</v>
      </c>
      <c r="C789" s="3" t="s">
        <v>24</v>
      </c>
      <c r="D789" s="3">
        <v>40</v>
      </c>
      <c r="E789" s="3" t="s">
        <v>25</v>
      </c>
      <c r="F789" s="3" t="s">
        <v>60</v>
      </c>
      <c r="G789" s="3" t="s">
        <v>46</v>
      </c>
      <c r="H789" s="3" t="s">
        <v>28</v>
      </c>
      <c r="I789" s="3" t="s">
        <v>40</v>
      </c>
      <c r="J789" s="6">
        <v>46121</v>
      </c>
      <c r="K789" s="3" t="s">
        <v>30</v>
      </c>
      <c r="L789" s="3" t="s">
        <v>31</v>
      </c>
      <c r="M789" s="3">
        <v>89600</v>
      </c>
      <c r="N789" s="3">
        <v>16</v>
      </c>
      <c r="O789" s="3">
        <v>81.900000000000006</v>
      </c>
      <c r="P789" s="3">
        <v>6</v>
      </c>
      <c r="Q789" s="3">
        <v>13</v>
      </c>
      <c r="R789" s="3">
        <v>3</v>
      </c>
      <c r="S789" s="3">
        <v>11</v>
      </c>
      <c r="T789" s="3">
        <v>18</v>
      </c>
      <c r="U789" s="3" t="s">
        <v>123</v>
      </c>
      <c r="V789" s="3">
        <v>7467</v>
      </c>
      <c r="W789" s="3">
        <v>0.3</v>
      </c>
      <c r="X789" s="3" t="s">
        <v>62</v>
      </c>
      <c r="Y789" s="7" t="s">
        <v>42</v>
      </c>
    </row>
    <row r="790" spans="1:25" x14ac:dyDescent="0.3">
      <c r="A790" s="5" t="s">
        <v>1109</v>
      </c>
      <c r="B790" s="3" t="s">
        <v>227</v>
      </c>
      <c r="C790" s="3" t="s">
        <v>58</v>
      </c>
      <c r="D790" s="3">
        <v>44</v>
      </c>
      <c r="E790" s="3" t="s">
        <v>71</v>
      </c>
      <c r="F790" s="3" t="s">
        <v>66</v>
      </c>
      <c r="G790" s="3" t="s">
        <v>80</v>
      </c>
      <c r="H790" s="3" t="s">
        <v>28</v>
      </c>
      <c r="I790" s="3" t="s">
        <v>92</v>
      </c>
      <c r="J790" s="6">
        <v>44051</v>
      </c>
      <c r="K790" s="3" t="s">
        <v>30</v>
      </c>
      <c r="L790" s="3" t="s">
        <v>31</v>
      </c>
      <c r="M790" s="3">
        <v>45600</v>
      </c>
      <c r="N790" s="3">
        <v>24</v>
      </c>
      <c r="O790" s="3">
        <v>91</v>
      </c>
      <c r="P790" s="3">
        <v>0</v>
      </c>
      <c r="Q790" s="3">
        <v>9</v>
      </c>
      <c r="R790" s="3">
        <v>2</v>
      </c>
      <c r="S790" s="3">
        <v>25</v>
      </c>
      <c r="T790" s="3">
        <v>30</v>
      </c>
      <c r="U790" s="3" t="s">
        <v>41</v>
      </c>
      <c r="V790" s="3">
        <v>3800</v>
      </c>
      <c r="W790" s="3">
        <v>6</v>
      </c>
      <c r="X790" s="3" t="s">
        <v>62</v>
      </c>
      <c r="Y790" s="7" t="s">
        <v>42</v>
      </c>
    </row>
    <row r="791" spans="1:25" x14ac:dyDescent="0.3">
      <c r="A791" s="5" t="s">
        <v>1110</v>
      </c>
      <c r="B791" s="3" t="s">
        <v>528</v>
      </c>
      <c r="C791" s="3" t="s">
        <v>24</v>
      </c>
      <c r="D791" s="3">
        <v>25</v>
      </c>
      <c r="E791" s="3" t="s">
        <v>83</v>
      </c>
      <c r="F791" s="3" t="s">
        <v>52</v>
      </c>
      <c r="G791" s="3" t="s">
        <v>46</v>
      </c>
      <c r="H791" s="3" t="s">
        <v>28</v>
      </c>
      <c r="I791" s="3" t="s">
        <v>73</v>
      </c>
      <c r="J791" s="6">
        <v>45684</v>
      </c>
      <c r="K791" s="3" t="s">
        <v>87</v>
      </c>
      <c r="L791" s="3" t="s">
        <v>31</v>
      </c>
      <c r="M791" s="3">
        <v>67700</v>
      </c>
      <c r="N791" s="3">
        <v>4</v>
      </c>
      <c r="O791" s="3">
        <v>84.8</v>
      </c>
      <c r="P791" s="3">
        <v>5</v>
      </c>
      <c r="Q791" s="3">
        <v>13</v>
      </c>
      <c r="R791" s="3">
        <v>1</v>
      </c>
      <c r="S791" s="3">
        <v>12</v>
      </c>
      <c r="T791" s="3">
        <v>19</v>
      </c>
      <c r="U791" s="3" t="s">
        <v>32</v>
      </c>
      <c r="V791" s="3">
        <v>5642</v>
      </c>
      <c r="W791" s="3">
        <v>1.5</v>
      </c>
      <c r="X791" s="3" t="s">
        <v>95</v>
      </c>
      <c r="Y791" s="7" t="s">
        <v>75</v>
      </c>
    </row>
    <row r="792" spans="1:25" x14ac:dyDescent="0.3">
      <c r="A792" s="5" t="s">
        <v>1111</v>
      </c>
      <c r="B792" s="3" t="s">
        <v>830</v>
      </c>
      <c r="C792" s="3" t="s">
        <v>24</v>
      </c>
      <c r="D792" s="3">
        <v>49</v>
      </c>
      <c r="E792" s="3" t="s">
        <v>45</v>
      </c>
      <c r="F792" s="3" t="s">
        <v>72</v>
      </c>
      <c r="G792" s="3" t="s">
        <v>171</v>
      </c>
      <c r="H792" s="3" t="s">
        <v>28</v>
      </c>
      <c r="I792" s="3" t="s">
        <v>92</v>
      </c>
      <c r="J792" s="6">
        <v>45491</v>
      </c>
      <c r="K792" s="3" t="s">
        <v>61</v>
      </c>
      <c r="L792" s="3" t="s">
        <v>31</v>
      </c>
      <c r="M792" s="3">
        <v>157100</v>
      </c>
      <c r="N792" s="3">
        <v>28</v>
      </c>
      <c r="O792" s="3">
        <v>93.6</v>
      </c>
      <c r="P792" s="3">
        <v>2</v>
      </c>
      <c r="Q792" s="3">
        <v>10</v>
      </c>
      <c r="R792" s="3">
        <v>4</v>
      </c>
      <c r="S792" s="3">
        <v>6</v>
      </c>
      <c r="T792" s="3">
        <v>18</v>
      </c>
      <c r="U792" s="3" t="s">
        <v>123</v>
      </c>
      <c r="V792" s="3">
        <v>13092</v>
      </c>
      <c r="W792" s="3">
        <v>2</v>
      </c>
      <c r="X792" s="3" t="s">
        <v>54</v>
      </c>
      <c r="Y792" s="7" t="s">
        <v>42</v>
      </c>
    </row>
    <row r="793" spans="1:25" x14ac:dyDescent="0.3">
      <c r="A793" s="5" t="s">
        <v>1112</v>
      </c>
      <c r="B793" s="3" t="s">
        <v>57</v>
      </c>
      <c r="C793" s="3" t="s">
        <v>24</v>
      </c>
      <c r="D793" s="3">
        <v>48</v>
      </c>
      <c r="E793" s="3" t="s">
        <v>65</v>
      </c>
      <c r="F793" s="3" t="s">
        <v>38</v>
      </c>
      <c r="G793" s="3" t="s">
        <v>171</v>
      </c>
      <c r="H793" s="3" t="s">
        <v>115</v>
      </c>
      <c r="I793" s="3" t="s">
        <v>107</v>
      </c>
      <c r="J793" s="6">
        <v>45543</v>
      </c>
      <c r="K793" s="3" t="s">
        <v>30</v>
      </c>
      <c r="L793" s="3" t="s">
        <v>31</v>
      </c>
      <c r="M793" s="3">
        <v>128900</v>
      </c>
      <c r="N793" s="3">
        <v>26</v>
      </c>
      <c r="O793" s="3">
        <v>89.4</v>
      </c>
      <c r="P793" s="3">
        <v>6</v>
      </c>
      <c r="Q793" s="3">
        <v>12</v>
      </c>
      <c r="R793" s="3">
        <v>1</v>
      </c>
      <c r="S793" s="3">
        <v>18</v>
      </c>
      <c r="T793" s="3">
        <v>25</v>
      </c>
      <c r="U793" s="3" t="s">
        <v>94</v>
      </c>
      <c r="V793" s="3">
        <v>10742</v>
      </c>
      <c r="W793" s="3">
        <v>1.9</v>
      </c>
      <c r="X793" s="3" t="s">
        <v>54</v>
      </c>
      <c r="Y793" s="7" t="s">
        <v>55</v>
      </c>
    </row>
    <row r="794" spans="1:25" x14ac:dyDescent="0.3">
      <c r="A794" s="5" t="s">
        <v>1113</v>
      </c>
      <c r="B794" s="3" t="s">
        <v>450</v>
      </c>
      <c r="C794" s="3" t="s">
        <v>24</v>
      </c>
      <c r="D794" s="3">
        <v>30</v>
      </c>
      <c r="E794" s="3" t="s">
        <v>51</v>
      </c>
      <c r="F794" s="3" t="s">
        <v>60</v>
      </c>
      <c r="G794" s="3" t="s">
        <v>122</v>
      </c>
      <c r="H794" s="3" t="s">
        <v>115</v>
      </c>
      <c r="I794" s="3" t="s">
        <v>47</v>
      </c>
      <c r="J794" s="6">
        <v>44043</v>
      </c>
      <c r="K794" s="3" t="s">
        <v>30</v>
      </c>
      <c r="L794" s="3" t="s">
        <v>31</v>
      </c>
      <c r="M794" s="3">
        <v>29500</v>
      </c>
      <c r="N794" s="3">
        <v>11</v>
      </c>
      <c r="O794" s="3">
        <v>83.6</v>
      </c>
      <c r="P794" s="3">
        <v>0</v>
      </c>
      <c r="Q794" s="3">
        <v>7</v>
      </c>
      <c r="R794" s="3">
        <v>4</v>
      </c>
      <c r="S794" s="3">
        <v>26</v>
      </c>
      <c r="T794" s="3">
        <v>2</v>
      </c>
      <c r="U794" s="3" t="s">
        <v>74</v>
      </c>
      <c r="V794" s="3">
        <v>2458</v>
      </c>
      <c r="W794" s="3">
        <v>6</v>
      </c>
      <c r="X794" s="3" t="s">
        <v>33</v>
      </c>
      <c r="Y794" s="7" t="s">
        <v>42</v>
      </c>
    </row>
    <row r="795" spans="1:25" x14ac:dyDescent="0.3">
      <c r="A795" s="5" t="s">
        <v>1114</v>
      </c>
      <c r="B795" s="3" t="s">
        <v>610</v>
      </c>
      <c r="C795" s="3" t="s">
        <v>24</v>
      </c>
      <c r="D795" s="3">
        <v>30</v>
      </c>
      <c r="E795" s="3" t="s">
        <v>51</v>
      </c>
      <c r="F795" s="3" t="s">
        <v>79</v>
      </c>
      <c r="G795" s="3" t="s">
        <v>27</v>
      </c>
      <c r="H795" s="3" t="s">
        <v>28</v>
      </c>
      <c r="I795" s="3" t="s">
        <v>86</v>
      </c>
      <c r="J795" s="6">
        <v>43358</v>
      </c>
      <c r="K795" s="3" t="s">
        <v>30</v>
      </c>
      <c r="L795" s="3" t="s">
        <v>53</v>
      </c>
      <c r="M795" s="3">
        <v>100700</v>
      </c>
      <c r="N795" s="3">
        <v>11</v>
      </c>
      <c r="O795" s="3">
        <v>96.5</v>
      </c>
      <c r="P795" s="3">
        <v>2</v>
      </c>
      <c r="Q795" s="3">
        <v>4</v>
      </c>
      <c r="R795" s="3">
        <v>0</v>
      </c>
      <c r="S795" s="3">
        <v>15</v>
      </c>
      <c r="T795" s="3">
        <v>26</v>
      </c>
      <c r="U795" s="3" t="s">
        <v>41</v>
      </c>
      <c r="V795" s="3">
        <v>8392</v>
      </c>
      <c r="W795" s="3">
        <v>7.9</v>
      </c>
      <c r="X795" s="3" t="s">
        <v>33</v>
      </c>
      <c r="Y795" s="7" t="s">
        <v>75</v>
      </c>
    </row>
    <row r="796" spans="1:25" x14ac:dyDescent="0.3">
      <c r="A796" s="5" t="s">
        <v>1115</v>
      </c>
      <c r="B796" s="3" t="s">
        <v>253</v>
      </c>
      <c r="C796" s="3" t="s">
        <v>58</v>
      </c>
      <c r="D796" s="3">
        <v>46</v>
      </c>
      <c r="E796" s="3" t="s">
        <v>101</v>
      </c>
      <c r="F796" s="3" t="s">
        <v>26</v>
      </c>
      <c r="G796" s="3" t="s">
        <v>39</v>
      </c>
      <c r="H796" s="3" t="s">
        <v>115</v>
      </c>
      <c r="I796" s="3" t="s">
        <v>86</v>
      </c>
      <c r="J796" s="6">
        <v>44322</v>
      </c>
      <c r="K796" s="3" t="s">
        <v>30</v>
      </c>
      <c r="L796" s="3" t="s">
        <v>53</v>
      </c>
      <c r="M796" s="3">
        <v>38100</v>
      </c>
      <c r="N796" s="3">
        <v>23</v>
      </c>
      <c r="O796" s="3">
        <v>91.3</v>
      </c>
      <c r="P796" s="3">
        <v>1</v>
      </c>
      <c r="Q796" s="3">
        <v>9</v>
      </c>
      <c r="R796" s="3">
        <v>4</v>
      </c>
      <c r="S796" s="3">
        <v>9</v>
      </c>
      <c r="T796" s="3">
        <v>13</v>
      </c>
      <c r="U796" s="3" t="s">
        <v>74</v>
      </c>
      <c r="V796" s="3">
        <v>3175</v>
      </c>
      <c r="W796" s="3">
        <v>5.2</v>
      </c>
      <c r="X796" s="3" t="s">
        <v>54</v>
      </c>
      <c r="Y796" s="7" t="s">
        <v>55</v>
      </c>
    </row>
    <row r="797" spans="1:25" x14ac:dyDescent="0.3">
      <c r="A797" s="5" t="s">
        <v>1116</v>
      </c>
      <c r="B797" s="3" t="s">
        <v>143</v>
      </c>
      <c r="C797" s="3" t="s">
        <v>24</v>
      </c>
      <c r="D797" s="3">
        <v>35</v>
      </c>
      <c r="E797" s="3" t="s">
        <v>160</v>
      </c>
      <c r="F797" s="3" t="s">
        <v>72</v>
      </c>
      <c r="G797" s="3" t="s">
        <v>171</v>
      </c>
      <c r="H797" s="3" t="s">
        <v>28</v>
      </c>
      <c r="I797" s="3" t="s">
        <v>68</v>
      </c>
      <c r="J797" s="6">
        <v>45201</v>
      </c>
      <c r="K797" s="3" t="s">
        <v>30</v>
      </c>
      <c r="L797" s="3" t="s">
        <v>31</v>
      </c>
      <c r="M797" s="3">
        <v>162300</v>
      </c>
      <c r="N797" s="3">
        <v>14</v>
      </c>
      <c r="O797" s="3">
        <v>96.8</v>
      </c>
      <c r="P797" s="3">
        <v>7</v>
      </c>
      <c r="Q797" s="3">
        <v>7</v>
      </c>
      <c r="R797" s="3">
        <v>4</v>
      </c>
      <c r="S797" s="3">
        <v>29</v>
      </c>
      <c r="T797" s="3">
        <v>24</v>
      </c>
      <c r="U797" s="3" t="s">
        <v>94</v>
      </c>
      <c r="V797" s="3">
        <v>13525</v>
      </c>
      <c r="W797" s="3">
        <v>2.8</v>
      </c>
      <c r="X797" s="3" t="s">
        <v>108</v>
      </c>
      <c r="Y797" s="7" t="s">
        <v>42</v>
      </c>
    </row>
    <row r="798" spans="1:25" x14ac:dyDescent="0.3">
      <c r="A798" s="5" t="s">
        <v>1117</v>
      </c>
      <c r="B798" s="3" t="s">
        <v>394</v>
      </c>
      <c r="C798" s="3" t="s">
        <v>58</v>
      </c>
      <c r="D798" s="3">
        <v>33</v>
      </c>
      <c r="E798" s="3" t="s">
        <v>160</v>
      </c>
      <c r="F798" s="3" t="s">
        <v>52</v>
      </c>
      <c r="G798" s="3" t="s">
        <v>80</v>
      </c>
      <c r="H798" s="3" t="s">
        <v>28</v>
      </c>
      <c r="I798" s="3" t="s">
        <v>86</v>
      </c>
      <c r="J798" s="6">
        <v>43751</v>
      </c>
      <c r="K798" s="3" t="s">
        <v>30</v>
      </c>
      <c r="L798" s="3" t="s">
        <v>31</v>
      </c>
      <c r="M798" s="3">
        <v>48900</v>
      </c>
      <c r="N798" s="3">
        <v>12</v>
      </c>
      <c r="O798" s="3">
        <v>91.6</v>
      </c>
      <c r="P798" s="3">
        <v>7</v>
      </c>
      <c r="Q798" s="3">
        <v>5</v>
      </c>
      <c r="R798" s="3">
        <v>1</v>
      </c>
      <c r="S798" s="3">
        <v>6</v>
      </c>
      <c r="T798" s="3">
        <v>16</v>
      </c>
      <c r="U798" s="3" t="s">
        <v>74</v>
      </c>
      <c r="V798" s="3">
        <v>4075</v>
      </c>
      <c r="W798" s="3">
        <v>6.8</v>
      </c>
      <c r="X798" s="3" t="s">
        <v>33</v>
      </c>
      <c r="Y798" s="7" t="s">
        <v>42</v>
      </c>
    </row>
    <row r="799" spans="1:25" x14ac:dyDescent="0.3">
      <c r="A799" s="5" t="s">
        <v>1118</v>
      </c>
      <c r="B799" s="3" t="s">
        <v>253</v>
      </c>
      <c r="C799" s="3" t="s">
        <v>24</v>
      </c>
      <c r="D799" s="3">
        <v>46</v>
      </c>
      <c r="E799" s="3" t="s">
        <v>59</v>
      </c>
      <c r="F799" s="3" t="s">
        <v>52</v>
      </c>
      <c r="G799" s="3" t="s">
        <v>80</v>
      </c>
      <c r="H799" s="3" t="s">
        <v>28</v>
      </c>
      <c r="I799" s="3" t="s">
        <v>107</v>
      </c>
      <c r="J799" s="6">
        <v>45419</v>
      </c>
      <c r="K799" s="3" t="s">
        <v>30</v>
      </c>
      <c r="L799" s="3" t="s">
        <v>31</v>
      </c>
      <c r="M799" s="3">
        <v>40400</v>
      </c>
      <c r="N799" s="3">
        <v>25</v>
      </c>
      <c r="O799" s="3">
        <v>99.1</v>
      </c>
      <c r="P799" s="3">
        <v>8</v>
      </c>
      <c r="Q799" s="3">
        <v>5</v>
      </c>
      <c r="R799" s="3">
        <v>3</v>
      </c>
      <c r="S799" s="3">
        <v>2</v>
      </c>
      <c r="T799" s="3">
        <v>22</v>
      </c>
      <c r="U799" s="3" t="s">
        <v>41</v>
      </c>
      <c r="V799" s="3">
        <v>3367</v>
      </c>
      <c r="W799" s="3">
        <v>2.2000000000000002</v>
      </c>
      <c r="X799" s="3" t="s">
        <v>54</v>
      </c>
      <c r="Y799" s="7" t="s">
        <v>55</v>
      </c>
    </row>
    <row r="800" spans="1:25" x14ac:dyDescent="0.3">
      <c r="A800" s="5" t="s">
        <v>1119</v>
      </c>
      <c r="B800" s="3" t="s">
        <v>509</v>
      </c>
      <c r="C800" s="3" t="s">
        <v>58</v>
      </c>
      <c r="D800" s="3">
        <v>38</v>
      </c>
      <c r="E800" s="3" t="s">
        <v>83</v>
      </c>
      <c r="F800" s="3" t="s">
        <v>66</v>
      </c>
      <c r="G800" s="3" t="s">
        <v>39</v>
      </c>
      <c r="H800" s="3" t="s">
        <v>28</v>
      </c>
      <c r="I800" s="3" t="s">
        <v>86</v>
      </c>
      <c r="J800" s="6">
        <v>45349</v>
      </c>
      <c r="K800" s="3" t="s">
        <v>30</v>
      </c>
      <c r="L800" s="3" t="s">
        <v>31</v>
      </c>
      <c r="M800" s="3">
        <v>37200</v>
      </c>
      <c r="N800" s="3">
        <v>19</v>
      </c>
      <c r="O800" s="3">
        <v>94.6</v>
      </c>
      <c r="P800" s="3">
        <v>8</v>
      </c>
      <c r="Q800" s="3">
        <v>4</v>
      </c>
      <c r="R800" s="3">
        <v>3</v>
      </c>
      <c r="S800" s="3">
        <v>1</v>
      </c>
      <c r="T800" s="3">
        <v>18</v>
      </c>
      <c r="U800" s="3" t="s">
        <v>41</v>
      </c>
      <c r="V800" s="3">
        <v>3100</v>
      </c>
      <c r="W800" s="3">
        <v>2.4</v>
      </c>
      <c r="X800" s="3" t="s">
        <v>108</v>
      </c>
      <c r="Y800" s="7" t="s">
        <v>42</v>
      </c>
    </row>
    <row r="801" spans="1:25" x14ac:dyDescent="0.3">
      <c r="A801" s="5" t="s">
        <v>1120</v>
      </c>
      <c r="B801" s="3" t="s">
        <v>565</v>
      </c>
      <c r="C801" s="3" t="s">
        <v>58</v>
      </c>
      <c r="D801" s="3">
        <v>41</v>
      </c>
      <c r="E801" s="3" t="s">
        <v>65</v>
      </c>
      <c r="F801" s="3" t="s">
        <v>60</v>
      </c>
      <c r="G801" s="3" t="s">
        <v>39</v>
      </c>
      <c r="H801" s="3" t="s">
        <v>28</v>
      </c>
      <c r="I801" s="3" t="s">
        <v>86</v>
      </c>
      <c r="J801" s="6">
        <v>43496</v>
      </c>
      <c r="K801" s="3" t="s">
        <v>30</v>
      </c>
      <c r="L801" s="3" t="s">
        <v>53</v>
      </c>
      <c r="M801" s="3">
        <v>37400</v>
      </c>
      <c r="N801" s="3">
        <v>17</v>
      </c>
      <c r="O801" s="3">
        <v>84.6</v>
      </c>
      <c r="P801" s="3">
        <v>1</v>
      </c>
      <c r="Q801" s="3">
        <v>10</v>
      </c>
      <c r="R801" s="3">
        <v>2</v>
      </c>
      <c r="S801" s="3">
        <v>0</v>
      </c>
      <c r="T801" s="3">
        <v>21</v>
      </c>
      <c r="U801" s="3" t="s">
        <v>130</v>
      </c>
      <c r="V801" s="3">
        <v>3117</v>
      </c>
      <c r="W801" s="3">
        <v>7.5</v>
      </c>
      <c r="X801" s="3" t="s">
        <v>62</v>
      </c>
      <c r="Y801" s="7" t="s">
        <v>55</v>
      </c>
    </row>
  </sheetData>
  <conditionalFormatting sqref="A2">
    <cfRule type="duplicateValues" dxfId="0" priority="1"/>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438C6-F65A-4003-AEC4-7700BE7CFDAC}">
  <dimension ref="A1:M387"/>
  <sheetViews>
    <sheetView topLeftCell="A349" workbookViewId="0">
      <selection activeCell="H379" sqref="H379"/>
    </sheetView>
  </sheetViews>
  <sheetFormatPr defaultRowHeight="14.4" x14ac:dyDescent="0.3"/>
  <cols>
    <col min="1" max="1" width="12.44140625" bestFit="1" customWidth="1"/>
    <col min="2" max="2" width="27.33203125" bestFit="1" customWidth="1"/>
    <col min="3" max="3" width="8.6640625" bestFit="1" customWidth="1"/>
    <col min="4" max="4" width="5.44140625" bestFit="1" customWidth="1"/>
    <col min="5" max="5" width="4.77734375" bestFit="1" customWidth="1"/>
    <col min="6" max="6" width="10.5546875" bestFit="1" customWidth="1"/>
    <col min="7" max="7" width="9.21875" bestFit="1" customWidth="1"/>
    <col min="8" max="8" width="10.21875" bestFit="1" customWidth="1"/>
    <col min="9" max="9" width="5.5546875" bestFit="1" customWidth="1"/>
    <col min="10" max="10" width="10.5546875" bestFit="1" customWidth="1"/>
    <col min="11" max="12" width="12.44140625" bestFit="1" customWidth="1"/>
    <col min="13" max="13" width="11.6640625" bestFit="1" customWidth="1"/>
    <col min="14" max="15" width="9.77734375" bestFit="1" customWidth="1"/>
    <col min="16" max="16" width="10.77734375" bestFit="1" customWidth="1"/>
    <col min="17" max="17" width="12.109375" bestFit="1" customWidth="1"/>
    <col min="18" max="18" width="10.21875" bestFit="1" customWidth="1"/>
    <col min="19" max="20" width="11" bestFit="1" customWidth="1"/>
    <col min="21" max="21" width="9.77734375" bestFit="1" customWidth="1"/>
    <col min="22" max="22" width="11.88671875" bestFit="1" customWidth="1"/>
    <col min="23" max="23" width="13.21875" bestFit="1" customWidth="1"/>
    <col min="24" max="24" width="12" bestFit="1" customWidth="1"/>
    <col min="25" max="25" width="11.21875" bestFit="1" customWidth="1"/>
    <col min="26" max="27" width="9" bestFit="1" customWidth="1"/>
    <col min="28" max="28" width="10" bestFit="1" customWidth="1"/>
    <col min="29" max="29" width="11.33203125" bestFit="1" customWidth="1"/>
    <col min="30" max="30" width="9.44140625" bestFit="1" customWidth="1"/>
    <col min="31" max="32" width="10.21875" bestFit="1" customWidth="1"/>
    <col min="33" max="33" width="9" bestFit="1" customWidth="1"/>
    <col min="34" max="34" width="11.109375" bestFit="1" customWidth="1"/>
    <col min="35" max="35" width="12.33203125" bestFit="1" customWidth="1"/>
    <col min="36" max="36" width="11.21875" bestFit="1" customWidth="1"/>
    <col min="37" max="39" width="10.44140625" bestFit="1" customWidth="1"/>
    <col min="40" max="40" width="11.44140625" bestFit="1" customWidth="1"/>
    <col min="41" max="41" width="12.77734375" bestFit="1" customWidth="1"/>
    <col min="42" max="42" width="10.88671875" bestFit="1" customWidth="1"/>
    <col min="43" max="44" width="11.6640625" bestFit="1" customWidth="1"/>
    <col min="45" max="45" width="10.44140625" bestFit="1" customWidth="1"/>
    <col min="46" max="46" width="12.5546875" bestFit="1" customWidth="1"/>
    <col min="47" max="47" width="13.88671875" bestFit="1" customWidth="1"/>
    <col min="48" max="48" width="12.6640625" bestFit="1" customWidth="1"/>
    <col min="49" max="49" width="11.88671875" bestFit="1" customWidth="1"/>
    <col min="50" max="51" width="8.77734375" bestFit="1" customWidth="1"/>
    <col min="52" max="52" width="9.77734375" bestFit="1" customWidth="1"/>
    <col min="53" max="53" width="11.109375" bestFit="1" customWidth="1"/>
    <col min="54" max="54" width="9.21875" bestFit="1" customWidth="1"/>
    <col min="55" max="56" width="10" bestFit="1" customWidth="1"/>
    <col min="57" max="57" width="8.77734375" bestFit="1" customWidth="1"/>
    <col min="58" max="58" width="10.88671875" bestFit="1" customWidth="1"/>
    <col min="59" max="59" width="12.109375" bestFit="1" customWidth="1"/>
    <col min="60" max="60" width="11" bestFit="1" customWidth="1"/>
    <col min="61" max="61" width="10.21875" bestFit="1" customWidth="1"/>
    <col min="62" max="63" width="8.109375" bestFit="1" customWidth="1"/>
    <col min="64" max="64" width="9.109375" bestFit="1" customWidth="1"/>
    <col min="65" max="65" width="10.44140625" bestFit="1" customWidth="1"/>
    <col min="66" max="66" width="8.5546875" bestFit="1" customWidth="1"/>
    <col min="67" max="68" width="9.33203125" bestFit="1" customWidth="1"/>
    <col min="69" max="69" width="8.109375" bestFit="1" customWidth="1"/>
    <col min="70" max="70" width="10.21875" bestFit="1" customWidth="1"/>
    <col min="71" max="71" width="11.44140625" bestFit="1" customWidth="1"/>
    <col min="72" max="72" width="10.33203125" bestFit="1" customWidth="1"/>
    <col min="73" max="73" width="9.5546875" bestFit="1" customWidth="1"/>
    <col min="74" max="75" width="9.109375" bestFit="1" customWidth="1"/>
    <col min="76" max="76" width="10.109375" bestFit="1" customWidth="1"/>
    <col min="77" max="77" width="11.44140625" bestFit="1" customWidth="1"/>
    <col min="78" max="78" width="9.5546875" bestFit="1" customWidth="1"/>
    <col min="79" max="80" width="10.33203125" bestFit="1" customWidth="1"/>
    <col min="81" max="81" width="9.109375" bestFit="1" customWidth="1"/>
    <col min="82" max="82" width="11.21875" bestFit="1" customWidth="1"/>
    <col min="83" max="83" width="12.44140625" bestFit="1" customWidth="1"/>
    <col min="84" max="84" width="11.33203125" bestFit="1" customWidth="1"/>
    <col min="85" max="85" width="10.5546875" bestFit="1" customWidth="1"/>
    <col min="86" max="87" width="9.33203125" bestFit="1" customWidth="1"/>
    <col min="88" max="88" width="10.33203125" bestFit="1" customWidth="1"/>
    <col min="89" max="89" width="11.6640625" bestFit="1" customWidth="1"/>
    <col min="90" max="90" width="9.77734375" bestFit="1" customWidth="1"/>
    <col min="91" max="92" width="10.5546875" bestFit="1" customWidth="1"/>
    <col min="93" max="93" width="9.33203125" bestFit="1" customWidth="1"/>
    <col min="94" max="94" width="11.44140625" bestFit="1" customWidth="1"/>
    <col min="95" max="95" width="12.6640625" bestFit="1" customWidth="1"/>
    <col min="96" max="96" width="11.5546875" bestFit="1" customWidth="1"/>
    <col min="97" max="97" width="10.77734375" bestFit="1" customWidth="1"/>
    <col min="98" max="99" width="8.77734375" bestFit="1" customWidth="1"/>
    <col min="100" max="100" width="9.77734375" bestFit="1" customWidth="1"/>
    <col min="101" max="101" width="11.109375" bestFit="1" customWidth="1"/>
    <col min="102" max="102" width="9.21875" bestFit="1" customWidth="1"/>
    <col min="103" max="104" width="10" bestFit="1" customWidth="1"/>
    <col min="105" max="105" width="10.88671875" bestFit="1" customWidth="1"/>
    <col min="106" max="106" width="12.109375" bestFit="1" customWidth="1"/>
    <col min="107" max="107" width="11" bestFit="1" customWidth="1"/>
    <col min="108" max="108" width="10.21875" bestFit="1" customWidth="1"/>
    <col min="109" max="110" width="9.5546875" bestFit="1" customWidth="1"/>
    <col min="111" max="111" width="10.5546875" bestFit="1" customWidth="1"/>
    <col min="112" max="112" width="11.88671875" bestFit="1" customWidth="1"/>
    <col min="113" max="113" width="10" bestFit="1" customWidth="1"/>
    <col min="114" max="115" width="10.77734375" bestFit="1" customWidth="1"/>
    <col min="116" max="116" width="9.5546875" bestFit="1" customWidth="1"/>
    <col min="117" max="117" width="12.88671875" bestFit="1" customWidth="1"/>
    <col min="118" max="118" width="11.77734375" bestFit="1" customWidth="1"/>
    <col min="119" max="119" width="11" bestFit="1" customWidth="1"/>
    <col min="120" max="121" width="8.77734375" bestFit="1" customWidth="1"/>
    <col min="122" max="122" width="9.77734375" bestFit="1" customWidth="1"/>
    <col min="123" max="123" width="11.109375" bestFit="1" customWidth="1"/>
    <col min="124" max="124" width="9.21875" bestFit="1" customWidth="1"/>
    <col min="125" max="125" width="10" bestFit="1" customWidth="1"/>
    <col min="126" max="126" width="8.77734375" bestFit="1" customWidth="1"/>
    <col min="127" max="127" width="12.109375" bestFit="1" customWidth="1"/>
    <col min="128" max="128" width="11" bestFit="1" customWidth="1"/>
    <col min="129" max="129" width="10.21875" bestFit="1" customWidth="1"/>
    <col min="130" max="131" width="9.44140625" bestFit="1" customWidth="1"/>
    <col min="132" max="132" width="10.44140625" bestFit="1" customWidth="1"/>
    <col min="133" max="133" width="11.77734375" bestFit="1" customWidth="1"/>
    <col min="134" max="134" width="9.88671875" bestFit="1" customWidth="1"/>
    <col min="135" max="136" width="10.6640625" bestFit="1" customWidth="1"/>
    <col min="137" max="137" width="9.44140625" bestFit="1" customWidth="1"/>
    <col min="138" max="138" width="11.5546875" bestFit="1" customWidth="1"/>
    <col min="139" max="139" width="12.77734375" bestFit="1" customWidth="1"/>
    <col min="140" max="140" width="11.6640625" bestFit="1" customWidth="1"/>
    <col min="141" max="141" width="10.88671875" bestFit="1" customWidth="1"/>
    <col min="142" max="143" width="9.109375" bestFit="1" customWidth="1"/>
    <col min="144" max="144" width="10.109375" bestFit="1" customWidth="1"/>
    <col min="145" max="145" width="11.44140625" bestFit="1" customWidth="1"/>
    <col min="146" max="146" width="9.5546875" bestFit="1" customWidth="1"/>
    <col min="147" max="148" width="10.33203125" bestFit="1" customWidth="1"/>
    <col min="149" max="149" width="9.109375" bestFit="1" customWidth="1"/>
    <col min="150" max="150" width="11.21875" bestFit="1" customWidth="1"/>
    <col min="151" max="151" width="12.44140625" bestFit="1" customWidth="1"/>
    <col min="152" max="152" width="11.33203125" bestFit="1" customWidth="1"/>
    <col min="153" max="153" width="10.5546875" bestFit="1" customWidth="1"/>
    <col min="154" max="155" width="8.6640625" bestFit="1" customWidth="1"/>
    <col min="156" max="156" width="9.6640625" bestFit="1" customWidth="1"/>
    <col min="157" max="157" width="11" bestFit="1" customWidth="1"/>
    <col min="158" max="158" width="9.109375" bestFit="1" customWidth="1"/>
    <col min="159" max="160" width="9.88671875" bestFit="1" customWidth="1"/>
    <col min="161" max="161" width="8.6640625" bestFit="1" customWidth="1"/>
    <col min="162" max="162" width="12" bestFit="1" customWidth="1"/>
    <col min="163" max="163" width="10.88671875" bestFit="1" customWidth="1"/>
    <col min="164" max="164" width="10.109375" bestFit="1" customWidth="1"/>
    <col min="165" max="166" width="9.109375" bestFit="1" customWidth="1"/>
    <col min="167" max="167" width="10.109375" bestFit="1" customWidth="1"/>
    <col min="168" max="168" width="11.44140625" bestFit="1" customWidth="1"/>
    <col min="169" max="169" width="9.5546875" bestFit="1" customWidth="1"/>
    <col min="170" max="171" width="10.33203125" bestFit="1" customWidth="1"/>
    <col min="172" max="172" width="9.109375" bestFit="1" customWidth="1"/>
    <col min="173" max="173" width="11.21875" bestFit="1" customWidth="1"/>
    <col min="174" max="174" width="12.44140625" bestFit="1" customWidth="1"/>
    <col min="175" max="175" width="11.33203125" bestFit="1" customWidth="1"/>
    <col min="176" max="176" width="10.5546875" bestFit="1" customWidth="1"/>
    <col min="177" max="178" width="9.5546875" bestFit="1" customWidth="1"/>
    <col min="179" max="179" width="10.5546875" bestFit="1" customWidth="1"/>
    <col min="180" max="180" width="11.88671875" bestFit="1" customWidth="1"/>
    <col min="181" max="181" width="10" bestFit="1" customWidth="1"/>
    <col min="182" max="183" width="10.77734375" bestFit="1" customWidth="1"/>
    <col min="184" max="184" width="9.5546875" bestFit="1" customWidth="1"/>
    <col min="185" max="185" width="11.6640625" bestFit="1" customWidth="1"/>
    <col min="186" max="186" width="12.88671875" bestFit="1" customWidth="1"/>
    <col min="187" max="187" width="11.77734375" bestFit="1" customWidth="1"/>
    <col min="188" max="188" width="11" bestFit="1" customWidth="1"/>
    <col min="189" max="190" width="10" bestFit="1" customWidth="1"/>
    <col min="191" max="191" width="11" bestFit="1" customWidth="1"/>
    <col min="192" max="192" width="12.33203125" bestFit="1" customWidth="1"/>
    <col min="193" max="193" width="10.44140625" bestFit="1" customWidth="1"/>
    <col min="194" max="194" width="11.21875" bestFit="1" customWidth="1"/>
    <col min="195" max="195" width="10" bestFit="1" customWidth="1"/>
    <col min="196" max="196" width="12.109375" bestFit="1" customWidth="1"/>
    <col min="197" max="197" width="13.44140625" bestFit="1" customWidth="1"/>
    <col min="198" max="198" width="12.21875" bestFit="1" customWidth="1"/>
    <col min="199" max="199" width="11.44140625" bestFit="1" customWidth="1"/>
    <col min="200" max="201" width="9.5546875" bestFit="1" customWidth="1"/>
    <col min="202" max="202" width="10.5546875" bestFit="1" customWidth="1"/>
    <col min="203" max="203" width="11.88671875" bestFit="1" customWidth="1"/>
    <col min="204" max="204" width="10" bestFit="1" customWidth="1"/>
    <col min="205" max="206" width="10.77734375" bestFit="1" customWidth="1"/>
    <col min="207" max="207" width="9.5546875" bestFit="1" customWidth="1"/>
    <col min="208" max="208" width="11.6640625" bestFit="1" customWidth="1"/>
    <col min="209" max="209" width="12.88671875" bestFit="1" customWidth="1"/>
    <col min="210" max="210" width="11.77734375" bestFit="1" customWidth="1"/>
    <col min="211" max="211" width="11" bestFit="1" customWidth="1"/>
    <col min="212" max="213" width="10.44140625" bestFit="1" customWidth="1"/>
    <col min="214" max="214" width="11.44140625" bestFit="1" customWidth="1"/>
    <col min="215" max="215" width="12.77734375" bestFit="1" customWidth="1"/>
    <col min="216" max="216" width="10.88671875" bestFit="1" customWidth="1"/>
    <col min="217" max="218" width="11.6640625" bestFit="1" customWidth="1"/>
    <col min="219" max="219" width="10.44140625" bestFit="1" customWidth="1"/>
    <col min="220" max="220" width="12.5546875" bestFit="1" customWidth="1"/>
    <col min="221" max="221" width="13.88671875" bestFit="1" customWidth="1"/>
    <col min="222" max="222" width="12.6640625" bestFit="1" customWidth="1"/>
    <col min="223" max="223" width="11.88671875" bestFit="1" customWidth="1"/>
    <col min="224" max="225" width="10" bestFit="1" customWidth="1"/>
    <col min="226" max="226" width="11" bestFit="1" customWidth="1"/>
    <col min="227" max="227" width="12.33203125" bestFit="1" customWidth="1"/>
    <col min="228" max="228" width="10.44140625" bestFit="1" customWidth="1"/>
    <col min="229" max="230" width="11.21875" bestFit="1" customWidth="1"/>
    <col min="231" max="231" width="10" bestFit="1" customWidth="1"/>
    <col min="232" max="232" width="12.109375" bestFit="1" customWidth="1"/>
    <col min="233" max="233" width="13.44140625" bestFit="1" customWidth="1"/>
    <col min="234" max="234" width="12.21875" bestFit="1" customWidth="1"/>
    <col min="235" max="235" width="11.44140625" bestFit="1" customWidth="1"/>
    <col min="236" max="236" width="10.5546875" bestFit="1" customWidth="1"/>
  </cols>
  <sheetData>
    <row r="1" spans="1:13" x14ac:dyDescent="0.3">
      <c r="A1" t="s">
        <v>1124</v>
      </c>
    </row>
    <row r="2" spans="1:13" x14ac:dyDescent="0.3">
      <c r="A2">
        <v>800</v>
      </c>
      <c r="L2" s="10" t="s">
        <v>1129</v>
      </c>
      <c r="M2" t="s">
        <v>1131</v>
      </c>
    </row>
    <row r="3" spans="1:13" x14ac:dyDescent="0.3">
      <c r="L3" s="11" t="s">
        <v>30</v>
      </c>
      <c r="M3">
        <v>702</v>
      </c>
    </row>
    <row r="4" spans="1:13" x14ac:dyDescent="0.3">
      <c r="A4" s="9" t="e" vm="1">
        <v>#VALUE!</v>
      </c>
      <c r="L4" s="11" t="s">
        <v>87</v>
      </c>
      <c r="M4">
        <v>38</v>
      </c>
    </row>
    <row r="5" spans="1:13" x14ac:dyDescent="0.3">
      <c r="L5" s="11" t="s">
        <v>61</v>
      </c>
      <c r="M5">
        <v>60</v>
      </c>
    </row>
    <row r="6" spans="1:13" x14ac:dyDescent="0.3">
      <c r="L6" s="11" t="s">
        <v>1130</v>
      </c>
      <c r="M6">
        <v>800</v>
      </c>
    </row>
    <row r="7" spans="1:13" x14ac:dyDescent="0.3">
      <c r="A7" t="s">
        <v>1126</v>
      </c>
    </row>
    <row r="8" spans="1:13" x14ac:dyDescent="0.3">
      <c r="A8" s="8">
        <v>5442.5</v>
      </c>
    </row>
    <row r="15" spans="1:13" x14ac:dyDescent="0.3">
      <c r="A15" t="s">
        <v>1125</v>
      </c>
    </row>
    <row r="16" spans="1:13" x14ac:dyDescent="0.3">
      <c r="A16" s="12">
        <v>4354000</v>
      </c>
    </row>
    <row r="19" spans="1:2" x14ac:dyDescent="0.3">
      <c r="A19" s="10" t="s">
        <v>1129</v>
      </c>
      <c r="B19" t="s">
        <v>1144</v>
      </c>
    </row>
    <row r="20" spans="1:2" x14ac:dyDescent="0.3">
      <c r="A20" s="11" t="s">
        <v>1135</v>
      </c>
      <c r="B20">
        <v>96</v>
      </c>
    </row>
    <row r="21" spans="1:2" x14ac:dyDescent="0.3">
      <c r="A21" s="11" t="s">
        <v>1136</v>
      </c>
      <c r="B21">
        <v>87</v>
      </c>
    </row>
    <row r="22" spans="1:2" x14ac:dyDescent="0.3">
      <c r="A22" s="11" t="s">
        <v>1137</v>
      </c>
      <c r="B22">
        <v>86</v>
      </c>
    </row>
    <row r="23" spans="1:2" x14ac:dyDescent="0.3">
      <c r="A23" s="11" t="s">
        <v>1138</v>
      </c>
      <c r="B23">
        <v>102</v>
      </c>
    </row>
    <row r="24" spans="1:2" x14ac:dyDescent="0.3">
      <c r="A24" s="11" t="s">
        <v>1139</v>
      </c>
      <c r="B24">
        <v>89</v>
      </c>
    </row>
    <row r="25" spans="1:2" x14ac:dyDescent="0.3">
      <c r="A25" s="11" t="s">
        <v>1140</v>
      </c>
      <c r="B25">
        <v>86</v>
      </c>
    </row>
    <row r="26" spans="1:2" x14ac:dyDescent="0.3">
      <c r="A26" s="11" t="s">
        <v>1141</v>
      </c>
      <c r="B26">
        <v>109</v>
      </c>
    </row>
    <row r="27" spans="1:2" x14ac:dyDescent="0.3">
      <c r="A27" s="11" t="s">
        <v>1142</v>
      </c>
      <c r="B27">
        <v>90</v>
      </c>
    </row>
    <row r="28" spans="1:2" x14ac:dyDescent="0.3">
      <c r="A28" s="11" t="s">
        <v>1143</v>
      </c>
      <c r="B28">
        <v>55</v>
      </c>
    </row>
    <row r="29" spans="1:2" x14ac:dyDescent="0.3">
      <c r="A29" s="11" t="s">
        <v>1130</v>
      </c>
      <c r="B29">
        <v>800</v>
      </c>
    </row>
    <row r="38" spans="1:2" x14ac:dyDescent="0.3">
      <c r="A38" s="10" t="s">
        <v>1129</v>
      </c>
      <c r="B38" t="s">
        <v>1131</v>
      </c>
    </row>
    <row r="39" spans="1:2" x14ac:dyDescent="0.3">
      <c r="A39" s="11" t="s">
        <v>91</v>
      </c>
      <c r="B39">
        <v>77</v>
      </c>
    </row>
    <row r="40" spans="1:2" x14ac:dyDescent="0.3">
      <c r="A40" s="11" t="s">
        <v>60</v>
      </c>
      <c r="B40">
        <v>106</v>
      </c>
    </row>
    <row r="41" spans="1:2" x14ac:dyDescent="0.3">
      <c r="A41" s="11" t="s">
        <v>26</v>
      </c>
      <c r="B41">
        <v>81</v>
      </c>
    </row>
    <row r="42" spans="1:2" x14ac:dyDescent="0.3">
      <c r="A42" s="11" t="s">
        <v>66</v>
      </c>
      <c r="B42">
        <v>70</v>
      </c>
    </row>
    <row r="43" spans="1:2" x14ac:dyDescent="0.3">
      <c r="A43" s="11" t="s">
        <v>72</v>
      </c>
      <c r="B43">
        <v>167</v>
      </c>
    </row>
    <row r="44" spans="1:2" x14ac:dyDescent="0.3">
      <c r="A44" s="11" t="s">
        <v>79</v>
      </c>
      <c r="B44">
        <v>73</v>
      </c>
    </row>
    <row r="45" spans="1:2" x14ac:dyDescent="0.3">
      <c r="A45" s="11" t="s">
        <v>52</v>
      </c>
      <c r="B45">
        <v>136</v>
      </c>
    </row>
    <row r="46" spans="1:2" x14ac:dyDescent="0.3">
      <c r="A46" s="11" t="s">
        <v>38</v>
      </c>
      <c r="B46">
        <v>90</v>
      </c>
    </row>
    <row r="47" spans="1:2" x14ac:dyDescent="0.3">
      <c r="A47" s="11" t="s">
        <v>1130</v>
      </c>
      <c r="B47">
        <v>800</v>
      </c>
    </row>
    <row r="60" spans="1:2" x14ac:dyDescent="0.3">
      <c r="A60" s="10" t="s">
        <v>1129</v>
      </c>
      <c r="B60" t="s">
        <v>1131</v>
      </c>
    </row>
    <row r="61" spans="1:2" x14ac:dyDescent="0.3">
      <c r="A61" s="11" t="s">
        <v>83</v>
      </c>
      <c r="B61">
        <v>19</v>
      </c>
    </row>
    <row r="62" spans="1:2" x14ac:dyDescent="0.3">
      <c r="A62" s="11" t="s">
        <v>45</v>
      </c>
      <c r="B62">
        <v>23</v>
      </c>
    </row>
    <row r="63" spans="1:2" x14ac:dyDescent="0.3">
      <c r="A63" s="11" t="s">
        <v>90</v>
      </c>
      <c r="B63">
        <v>21</v>
      </c>
    </row>
    <row r="64" spans="1:2" x14ac:dyDescent="0.3">
      <c r="A64" s="11" t="s">
        <v>51</v>
      </c>
      <c r="B64">
        <v>22</v>
      </c>
    </row>
    <row r="65" spans="1:2" x14ac:dyDescent="0.3">
      <c r="A65" s="11" t="s">
        <v>59</v>
      </c>
      <c r="B65">
        <v>22</v>
      </c>
    </row>
    <row r="66" spans="1:2" x14ac:dyDescent="0.3">
      <c r="A66" s="11" t="s">
        <v>98</v>
      </c>
      <c r="B66">
        <v>18</v>
      </c>
    </row>
    <row r="67" spans="1:2" x14ac:dyDescent="0.3">
      <c r="A67" s="11" t="s">
        <v>137</v>
      </c>
      <c r="B67">
        <v>30</v>
      </c>
    </row>
    <row r="68" spans="1:2" x14ac:dyDescent="0.3">
      <c r="A68" s="11" t="s">
        <v>37</v>
      </c>
      <c r="B68">
        <v>23</v>
      </c>
    </row>
    <row r="69" spans="1:2" x14ac:dyDescent="0.3">
      <c r="A69" s="11" t="s">
        <v>25</v>
      </c>
      <c r="B69">
        <v>19</v>
      </c>
    </row>
    <row r="70" spans="1:2" x14ac:dyDescent="0.3">
      <c r="A70" s="11" t="s">
        <v>160</v>
      </c>
      <c r="B70">
        <v>34</v>
      </c>
    </row>
    <row r="71" spans="1:2" x14ac:dyDescent="0.3">
      <c r="A71" s="11" t="s">
        <v>65</v>
      </c>
      <c r="B71">
        <v>29</v>
      </c>
    </row>
    <row r="72" spans="1:2" x14ac:dyDescent="0.3">
      <c r="A72" s="11" t="s">
        <v>78</v>
      </c>
      <c r="B72">
        <v>23</v>
      </c>
    </row>
    <row r="73" spans="1:2" x14ac:dyDescent="0.3">
      <c r="A73" s="11" t="s">
        <v>101</v>
      </c>
      <c r="B73">
        <v>29</v>
      </c>
    </row>
    <row r="74" spans="1:2" x14ac:dyDescent="0.3">
      <c r="A74" s="11" t="s">
        <v>71</v>
      </c>
      <c r="B74">
        <v>28</v>
      </c>
    </row>
    <row r="75" spans="1:2" x14ac:dyDescent="0.3">
      <c r="A75" s="11" t="s">
        <v>118</v>
      </c>
      <c r="B75">
        <v>17</v>
      </c>
    </row>
    <row r="76" spans="1:2" x14ac:dyDescent="0.3">
      <c r="A76" s="11" t="s">
        <v>1130</v>
      </c>
      <c r="B76">
        <v>357</v>
      </c>
    </row>
    <row r="78" spans="1:2" x14ac:dyDescent="0.3">
      <c r="A78" s="10" t="s">
        <v>1129</v>
      </c>
    </row>
    <row r="79" spans="1:2" x14ac:dyDescent="0.3">
      <c r="A79" s="11" t="s">
        <v>90</v>
      </c>
    </row>
    <row r="80" spans="1:2" x14ac:dyDescent="0.3">
      <c r="A80" s="11" t="s">
        <v>1130</v>
      </c>
    </row>
    <row r="83" spans="1:4" x14ac:dyDescent="0.3">
      <c r="A83" s="10" t="s">
        <v>1131</v>
      </c>
      <c r="B83" s="10" t="s">
        <v>1145</v>
      </c>
    </row>
    <row r="84" spans="1:4" x14ac:dyDescent="0.3">
      <c r="A84" s="10" t="s">
        <v>1129</v>
      </c>
      <c r="B84" t="s">
        <v>58</v>
      </c>
      <c r="C84" t="s">
        <v>24</v>
      </c>
      <c r="D84" t="s">
        <v>1130</v>
      </c>
    </row>
    <row r="85" spans="1:4" x14ac:dyDescent="0.3">
      <c r="A85" s="11" t="s">
        <v>91</v>
      </c>
      <c r="B85">
        <v>30</v>
      </c>
      <c r="C85">
        <v>47</v>
      </c>
      <c r="D85">
        <v>77</v>
      </c>
    </row>
    <row r="86" spans="1:4" x14ac:dyDescent="0.3">
      <c r="A86" s="11" t="s">
        <v>60</v>
      </c>
      <c r="B86">
        <v>52</v>
      </c>
      <c r="C86">
        <v>54</v>
      </c>
      <c r="D86">
        <v>106</v>
      </c>
    </row>
    <row r="87" spans="1:4" x14ac:dyDescent="0.3">
      <c r="A87" s="11" t="s">
        <v>26</v>
      </c>
      <c r="B87">
        <v>33</v>
      </c>
      <c r="C87">
        <v>48</v>
      </c>
      <c r="D87">
        <v>81</v>
      </c>
    </row>
    <row r="88" spans="1:4" x14ac:dyDescent="0.3">
      <c r="A88" s="11" t="s">
        <v>66</v>
      </c>
      <c r="B88">
        <v>34</v>
      </c>
      <c r="C88">
        <v>36</v>
      </c>
      <c r="D88">
        <v>70</v>
      </c>
    </row>
    <row r="89" spans="1:4" x14ac:dyDescent="0.3">
      <c r="A89" s="11" t="s">
        <v>72</v>
      </c>
      <c r="B89">
        <v>77</v>
      </c>
      <c r="C89">
        <v>90</v>
      </c>
      <c r="D89">
        <v>167</v>
      </c>
    </row>
    <row r="90" spans="1:4" x14ac:dyDescent="0.3">
      <c r="A90" s="11" t="s">
        <v>79</v>
      </c>
      <c r="B90">
        <v>32</v>
      </c>
      <c r="C90">
        <v>41</v>
      </c>
      <c r="D90">
        <v>73</v>
      </c>
    </row>
    <row r="91" spans="1:4" x14ac:dyDescent="0.3">
      <c r="A91" s="11" t="s">
        <v>52</v>
      </c>
      <c r="B91">
        <v>55</v>
      </c>
      <c r="C91">
        <v>81</v>
      </c>
      <c r="D91">
        <v>136</v>
      </c>
    </row>
    <row r="92" spans="1:4" x14ac:dyDescent="0.3">
      <c r="A92" s="11" t="s">
        <v>38</v>
      </c>
      <c r="B92">
        <v>44</v>
      </c>
      <c r="C92">
        <v>46</v>
      </c>
      <c r="D92">
        <v>90</v>
      </c>
    </row>
    <row r="93" spans="1:4" x14ac:dyDescent="0.3">
      <c r="A93" s="11" t="s">
        <v>1130</v>
      </c>
      <c r="B93">
        <v>357</v>
      </c>
      <c r="C93">
        <v>443</v>
      </c>
      <c r="D93">
        <v>800</v>
      </c>
    </row>
    <row r="95" spans="1:4" x14ac:dyDescent="0.3">
      <c r="A95" s="10" t="s">
        <v>1129</v>
      </c>
      <c r="B95" t="s">
        <v>1146</v>
      </c>
    </row>
    <row r="96" spans="1:4" x14ac:dyDescent="0.3">
      <c r="A96" s="11" t="s">
        <v>83</v>
      </c>
      <c r="B96">
        <v>48</v>
      </c>
    </row>
    <row r="97" spans="1:2" x14ac:dyDescent="0.3">
      <c r="A97" s="11" t="s">
        <v>45</v>
      </c>
      <c r="B97">
        <v>52</v>
      </c>
    </row>
    <row r="98" spans="1:2" x14ac:dyDescent="0.3">
      <c r="A98" s="11" t="s">
        <v>90</v>
      </c>
      <c r="B98">
        <v>52</v>
      </c>
    </row>
    <row r="99" spans="1:2" x14ac:dyDescent="0.3">
      <c r="A99" s="11" t="s">
        <v>51</v>
      </c>
      <c r="B99">
        <v>57</v>
      </c>
    </row>
    <row r="100" spans="1:2" x14ac:dyDescent="0.3">
      <c r="A100" s="11" t="s">
        <v>59</v>
      </c>
      <c r="B100">
        <v>56</v>
      </c>
    </row>
    <row r="101" spans="1:2" x14ac:dyDescent="0.3">
      <c r="A101" s="11" t="s">
        <v>98</v>
      </c>
      <c r="B101">
        <v>44</v>
      </c>
    </row>
    <row r="102" spans="1:2" x14ac:dyDescent="0.3">
      <c r="A102" s="11" t="s">
        <v>137</v>
      </c>
      <c r="B102">
        <v>53</v>
      </c>
    </row>
    <row r="103" spans="1:2" x14ac:dyDescent="0.3">
      <c r="A103" s="11" t="s">
        <v>37</v>
      </c>
      <c r="B103">
        <v>46</v>
      </c>
    </row>
    <row r="104" spans="1:2" x14ac:dyDescent="0.3">
      <c r="A104" s="11" t="s">
        <v>25</v>
      </c>
      <c r="B104">
        <v>49</v>
      </c>
    </row>
    <row r="105" spans="1:2" x14ac:dyDescent="0.3">
      <c r="A105" s="11" t="s">
        <v>160</v>
      </c>
      <c r="B105">
        <v>71</v>
      </c>
    </row>
    <row r="106" spans="1:2" x14ac:dyDescent="0.3">
      <c r="A106" s="11" t="s">
        <v>65</v>
      </c>
      <c r="B106">
        <v>64</v>
      </c>
    </row>
    <row r="107" spans="1:2" x14ac:dyDescent="0.3">
      <c r="A107" s="11" t="s">
        <v>78</v>
      </c>
      <c r="B107">
        <v>62</v>
      </c>
    </row>
    <row r="108" spans="1:2" x14ac:dyDescent="0.3">
      <c r="A108" s="11" t="s">
        <v>101</v>
      </c>
      <c r="B108">
        <v>56</v>
      </c>
    </row>
    <row r="109" spans="1:2" x14ac:dyDescent="0.3">
      <c r="A109" s="11" t="s">
        <v>71</v>
      </c>
      <c r="B109">
        <v>56</v>
      </c>
    </row>
    <row r="110" spans="1:2" x14ac:dyDescent="0.3">
      <c r="A110" s="11" t="s">
        <v>118</v>
      </c>
      <c r="B110">
        <v>34</v>
      </c>
    </row>
    <row r="111" spans="1:2" x14ac:dyDescent="0.3">
      <c r="A111" s="11" t="s">
        <v>1130</v>
      </c>
      <c r="B111">
        <v>800</v>
      </c>
    </row>
    <row r="117" spans="1:2" x14ac:dyDescent="0.3">
      <c r="A117" s="10" t="s">
        <v>1129</v>
      </c>
      <c r="B117" t="s">
        <v>1131</v>
      </c>
    </row>
    <row r="118" spans="1:2" x14ac:dyDescent="0.3">
      <c r="A118" s="11" t="s">
        <v>91</v>
      </c>
      <c r="B118">
        <v>77</v>
      </c>
    </row>
    <row r="119" spans="1:2" x14ac:dyDescent="0.3">
      <c r="A119" s="11" t="s">
        <v>60</v>
      </c>
      <c r="B119">
        <v>106</v>
      </c>
    </row>
    <row r="120" spans="1:2" x14ac:dyDescent="0.3">
      <c r="A120" s="11" t="s">
        <v>26</v>
      </c>
      <c r="B120">
        <v>81</v>
      </c>
    </row>
    <row r="121" spans="1:2" x14ac:dyDescent="0.3">
      <c r="A121" s="11" t="s">
        <v>66</v>
      </c>
      <c r="B121">
        <v>70</v>
      </c>
    </row>
    <row r="122" spans="1:2" x14ac:dyDescent="0.3">
      <c r="A122" s="11" t="s">
        <v>72</v>
      </c>
      <c r="B122">
        <v>167</v>
      </c>
    </row>
    <row r="123" spans="1:2" x14ac:dyDescent="0.3">
      <c r="A123" s="11" t="s">
        <v>79</v>
      </c>
      <c r="B123">
        <v>73</v>
      </c>
    </row>
    <row r="124" spans="1:2" x14ac:dyDescent="0.3">
      <c r="A124" s="11" t="s">
        <v>52</v>
      </c>
      <c r="B124">
        <v>136</v>
      </c>
    </row>
    <row r="125" spans="1:2" x14ac:dyDescent="0.3">
      <c r="A125" s="11" t="s">
        <v>38</v>
      </c>
      <c r="B125">
        <v>90</v>
      </c>
    </row>
    <row r="126" spans="1:2" x14ac:dyDescent="0.3">
      <c r="A126" s="11" t="s">
        <v>1130</v>
      </c>
      <c r="B126">
        <v>800</v>
      </c>
    </row>
    <row r="131" spans="1:2" x14ac:dyDescent="0.3">
      <c r="A131" s="10" t="s">
        <v>1129</v>
      </c>
      <c r="B131" t="s">
        <v>1148</v>
      </c>
    </row>
    <row r="132" spans="1:2" x14ac:dyDescent="0.3">
      <c r="A132" s="11" t="s">
        <v>91</v>
      </c>
      <c r="B132">
        <v>45103.896103896106</v>
      </c>
    </row>
    <row r="133" spans="1:2" x14ac:dyDescent="0.3">
      <c r="A133" s="11" t="s">
        <v>60</v>
      </c>
      <c r="B133">
        <v>75052.830188679247</v>
      </c>
    </row>
    <row r="134" spans="1:2" x14ac:dyDescent="0.3">
      <c r="A134" s="11" t="s">
        <v>26</v>
      </c>
      <c r="B134">
        <v>60823.456790123455</v>
      </c>
    </row>
    <row r="135" spans="1:2" x14ac:dyDescent="0.3">
      <c r="A135" s="11" t="s">
        <v>66</v>
      </c>
      <c r="B135">
        <v>52557.142857142855</v>
      </c>
    </row>
    <row r="136" spans="1:2" x14ac:dyDescent="0.3">
      <c r="A136" s="11" t="s">
        <v>72</v>
      </c>
      <c r="B136">
        <v>84931.736526946101</v>
      </c>
    </row>
    <row r="137" spans="1:2" x14ac:dyDescent="0.3">
      <c r="A137" s="11" t="s">
        <v>79</v>
      </c>
      <c r="B137">
        <v>66110.95890410959</v>
      </c>
    </row>
    <row r="138" spans="1:2" x14ac:dyDescent="0.3">
      <c r="A138" s="11" t="s">
        <v>52</v>
      </c>
      <c r="B138">
        <v>56519.852941176468</v>
      </c>
    </row>
    <row r="139" spans="1:2" x14ac:dyDescent="0.3">
      <c r="A139" s="11" t="s">
        <v>38</v>
      </c>
      <c r="B139">
        <v>61303.333333333336</v>
      </c>
    </row>
    <row r="140" spans="1:2" x14ac:dyDescent="0.3">
      <c r="A140" s="11" t="s">
        <v>1130</v>
      </c>
      <c r="B140">
        <v>65310</v>
      </c>
    </row>
    <row r="149" spans="1:2" x14ac:dyDescent="0.3">
      <c r="A149" s="10" t="s">
        <v>1129</v>
      </c>
      <c r="B149" t="s">
        <v>1131</v>
      </c>
    </row>
    <row r="150" spans="1:2" x14ac:dyDescent="0.3">
      <c r="A150" s="11" t="s">
        <v>40</v>
      </c>
      <c r="B150">
        <v>96</v>
      </c>
    </row>
    <row r="151" spans="1:2" x14ac:dyDescent="0.3">
      <c r="A151" s="14" t="s">
        <v>91</v>
      </c>
      <c r="B151">
        <v>8</v>
      </c>
    </row>
    <row r="152" spans="1:2" x14ac:dyDescent="0.3">
      <c r="A152" s="14" t="s">
        <v>60</v>
      </c>
      <c r="B152">
        <v>11</v>
      </c>
    </row>
    <row r="153" spans="1:2" x14ac:dyDescent="0.3">
      <c r="A153" s="14" t="s">
        <v>26</v>
      </c>
      <c r="B153">
        <v>8</v>
      </c>
    </row>
    <row r="154" spans="1:2" x14ac:dyDescent="0.3">
      <c r="A154" s="14" t="s">
        <v>66</v>
      </c>
      <c r="B154">
        <v>7</v>
      </c>
    </row>
    <row r="155" spans="1:2" x14ac:dyDescent="0.3">
      <c r="A155" s="14" t="s">
        <v>72</v>
      </c>
      <c r="B155">
        <v>17</v>
      </c>
    </row>
    <row r="156" spans="1:2" x14ac:dyDescent="0.3">
      <c r="A156" s="14" t="s">
        <v>79</v>
      </c>
      <c r="B156">
        <v>11</v>
      </c>
    </row>
    <row r="157" spans="1:2" x14ac:dyDescent="0.3">
      <c r="A157" s="14" t="s">
        <v>52</v>
      </c>
      <c r="B157">
        <v>21</v>
      </c>
    </row>
    <row r="158" spans="1:2" x14ac:dyDescent="0.3">
      <c r="A158" s="14" t="s">
        <v>38</v>
      </c>
      <c r="B158">
        <v>13</v>
      </c>
    </row>
    <row r="159" spans="1:2" x14ac:dyDescent="0.3">
      <c r="A159" s="11" t="s">
        <v>47</v>
      </c>
      <c r="B159">
        <v>100</v>
      </c>
    </row>
    <row r="160" spans="1:2" x14ac:dyDescent="0.3">
      <c r="A160" s="14" t="s">
        <v>91</v>
      </c>
      <c r="B160">
        <v>8</v>
      </c>
    </row>
    <row r="161" spans="1:2" x14ac:dyDescent="0.3">
      <c r="A161" s="14" t="s">
        <v>60</v>
      </c>
      <c r="B161">
        <v>21</v>
      </c>
    </row>
    <row r="162" spans="1:2" x14ac:dyDescent="0.3">
      <c r="A162" s="14" t="s">
        <v>26</v>
      </c>
      <c r="B162">
        <v>9</v>
      </c>
    </row>
    <row r="163" spans="1:2" x14ac:dyDescent="0.3">
      <c r="A163" s="14" t="s">
        <v>66</v>
      </c>
      <c r="B163">
        <v>8</v>
      </c>
    </row>
    <row r="164" spans="1:2" x14ac:dyDescent="0.3">
      <c r="A164" s="14" t="s">
        <v>72</v>
      </c>
      <c r="B164">
        <v>24</v>
      </c>
    </row>
    <row r="165" spans="1:2" x14ac:dyDescent="0.3">
      <c r="A165" s="14" t="s">
        <v>79</v>
      </c>
      <c r="B165">
        <v>6</v>
      </c>
    </row>
    <row r="166" spans="1:2" x14ac:dyDescent="0.3">
      <c r="A166" s="14" t="s">
        <v>52</v>
      </c>
      <c r="B166">
        <v>13</v>
      </c>
    </row>
    <row r="167" spans="1:2" x14ac:dyDescent="0.3">
      <c r="A167" s="14" t="s">
        <v>38</v>
      </c>
      <c r="B167">
        <v>11</v>
      </c>
    </row>
    <row r="168" spans="1:2" x14ac:dyDescent="0.3">
      <c r="A168" s="11" t="s">
        <v>68</v>
      </c>
      <c r="B168">
        <v>110</v>
      </c>
    </row>
    <row r="169" spans="1:2" x14ac:dyDescent="0.3">
      <c r="A169" s="14" t="s">
        <v>91</v>
      </c>
      <c r="B169">
        <v>13</v>
      </c>
    </row>
    <row r="170" spans="1:2" x14ac:dyDescent="0.3">
      <c r="A170" s="14" t="s">
        <v>60</v>
      </c>
      <c r="B170">
        <v>16</v>
      </c>
    </row>
    <row r="171" spans="1:2" x14ac:dyDescent="0.3">
      <c r="A171" s="14" t="s">
        <v>26</v>
      </c>
      <c r="B171">
        <v>13</v>
      </c>
    </row>
    <row r="172" spans="1:2" x14ac:dyDescent="0.3">
      <c r="A172" s="14" t="s">
        <v>66</v>
      </c>
      <c r="B172">
        <v>13</v>
      </c>
    </row>
    <row r="173" spans="1:2" x14ac:dyDescent="0.3">
      <c r="A173" s="14" t="s">
        <v>72</v>
      </c>
      <c r="B173">
        <v>21</v>
      </c>
    </row>
    <row r="174" spans="1:2" x14ac:dyDescent="0.3">
      <c r="A174" s="14" t="s">
        <v>79</v>
      </c>
      <c r="B174">
        <v>5</v>
      </c>
    </row>
    <row r="175" spans="1:2" x14ac:dyDescent="0.3">
      <c r="A175" s="14" t="s">
        <v>52</v>
      </c>
      <c r="B175">
        <v>19</v>
      </c>
    </row>
    <row r="176" spans="1:2" x14ac:dyDescent="0.3">
      <c r="A176" s="14" t="s">
        <v>38</v>
      </c>
      <c r="B176">
        <v>10</v>
      </c>
    </row>
    <row r="177" spans="1:2" x14ac:dyDescent="0.3">
      <c r="A177" s="11" t="s">
        <v>92</v>
      </c>
      <c r="B177">
        <v>100</v>
      </c>
    </row>
    <row r="178" spans="1:2" x14ac:dyDescent="0.3">
      <c r="A178" s="14" t="s">
        <v>91</v>
      </c>
      <c r="B178">
        <v>8</v>
      </c>
    </row>
    <row r="179" spans="1:2" x14ac:dyDescent="0.3">
      <c r="A179" s="14" t="s">
        <v>60</v>
      </c>
      <c r="B179">
        <v>13</v>
      </c>
    </row>
    <row r="180" spans="1:2" x14ac:dyDescent="0.3">
      <c r="A180" s="14" t="s">
        <v>26</v>
      </c>
      <c r="B180">
        <v>8</v>
      </c>
    </row>
    <row r="181" spans="1:2" x14ac:dyDescent="0.3">
      <c r="A181" s="14" t="s">
        <v>66</v>
      </c>
      <c r="B181">
        <v>11</v>
      </c>
    </row>
    <row r="182" spans="1:2" x14ac:dyDescent="0.3">
      <c r="A182" s="14" t="s">
        <v>72</v>
      </c>
      <c r="B182">
        <v>24</v>
      </c>
    </row>
    <row r="183" spans="1:2" x14ac:dyDescent="0.3">
      <c r="A183" s="14" t="s">
        <v>79</v>
      </c>
      <c r="B183">
        <v>11</v>
      </c>
    </row>
    <row r="184" spans="1:2" x14ac:dyDescent="0.3">
      <c r="A184" s="14" t="s">
        <v>52</v>
      </c>
      <c r="B184">
        <v>17</v>
      </c>
    </row>
    <row r="185" spans="1:2" x14ac:dyDescent="0.3">
      <c r="A185" s="14" t="s">
        <v>38</v>
      </c>
      <c r="B185">
        <v>8</v>
      </c>
    </row>
    <row r="186" spans="1:2" x14ac:dyDescent="0.3">
      <c r="A186" s="11" t="s">
        <v>29</v>
      </c>
      <c r="B186">
        <v>110</v>
      </c>
    </row>
    <row r="187" spans="1:2" x14ac:dyDescent="0.3">
      <c r="A187" s="14" t="s">
        <v>91</v>
      </c>
      <c r="B187">
        <v>15</v>
      </c>
    </row>
    <row r="188" spans="1:2" x14ac:dyDescent="0.3">
      <c r="A188" s="14" t="s">
        <v>60</v>
      </c>
      <c r="B188">
        <v>8</v>
      </c>
    </row>
    <row r="189" spans="1:2" x14ac:dyDescent="0.3">
      <c r="A189" s="14" t="s">
        <v>26</v>
      </c>
      <c r="B189">
        <v>13</v>
      </c>
    </row>
    <row r="190" spans="1:2" x14ac:dyDescent="0.3">
      <c r="A190" s="14" t="s">
        <v>66</v>
      </c>
      <c r="B190">
        <v>8</v>
      </c>
    </row>
    <row r="191" spans="1:2" x14ac:dyDescent="0.3">
      <c r="A191" s="14" t="s">
        <v>72</v>
      </c>
      <c r="B191">
        <v>25</v>
      </c>
    </row>
    <row r="192" spans="1:2" x14ac:dyDescent="0.3">
      <c r="A192" s="14" t="s">
        <v>79</v>
      </c>
      <c r="B192">
        <v>9</v>
      </c>
    </row>
    <row r="193" spans="1:2" x14ac:dyDescent="0.3">
      <c r="A193" s="14" t="s">
        <v>52</v>
      </c>
      <c r="B193">
        <v>14</v>
      </c>
    </row>
    <row r="194" spans="1:2" x14ac:dyDescent="0.3">
      <c r="A194" s="14" t="s">
        <v>38</v>
      </c>
      <c r="B194">
        <v>18</v>
      </c>
    </row>
    <row r="195" spans="1:2" x14ac:dyDescent="0.3">
      <c r="A195" s="11" t="s">
        <v>73</v>
      </c>
      <c r="B195">
        <v>99</v>
      </c>
    </row>
    <row r="196" spans="1:2" x14ac:dyDescent="0.3">
      <c r="A196" s="14" t="s">
        <v>91</v>
      </c>
      <c r="B196">
        <v>6</v>
      </c>
    </row>
    <row r="197" spans="1:2" x14ac:dyDescent="0.3">
      <c r="A197" s="14" t="s">
        <v>60</v>
      </c>
      <c r="B197">
        <v>10</v>
      </c>
    </row>
    <row r="198" spans="1:2" x14ac:dyDescent="0.3">
      <c r="A198" s="14" t="s">
        <v>26</v>
      </c>
      <c r="B198">
        <v>12</v>
      </c>
    </row>
    <row r="199" spans="1:2" x14ac:dyDescent="0.3">
      <c r="A199" s="14" t="s">
        <v>66</v>
      </c>
      <c r="B199">
        <v>9</v>
      </c>
    </row>
    <row r="200" spans="1:2" x14ac:dyDescent="0.3">
      <c r="A200" s="14" t="s">
        <v>72</v>
      </c>
      <c r="B200">
        <v>23</v>
      </c>
    </row>
    <row r="201" spans="1:2" x14ac:dyDescent="0.3">
      <c r="A201" s="14" t="s">
        <v>79</v>
      </c>
      <c r="B201">
        <v>9</v>
      </c>
    </row>
    <row r="202" spans="1:2" x14ac:dyDescent="0.3">
      <c r="A202" s="14" t="s">
        <v>52</v>
      </c>
      <c r="B202">
        <v>21</v>
      </c>
    </row>
    <row r="203" spans="1:2" x14ac:dyDescent="0.3">
      <c r="A203" s="14" t="s">
        <v>38</v>
      </c>
      <c r="B203">
        <v>9</v>
      </c>
    </row>
    <row r="204" spans="1:2" x14ac:dyDescent="0.3">
      <c r="A204" s="11" t="s">
        <v>107</v>
      </c>
      <c r="B204">
        <v>101</v>
      </c>
    </row>
    <row r="205" spans="1:2" x14ac:dyDescent="0.3">
      <c r="A205" s="14" t="s">
        <v>91</v>
      </c>
      <c r="B205">
        <v>12</v>
      </c>
    </row>
    <row r="206" spans="1:2" x14ac:dyDescent="0.3">
      <c r="A206" s="14" t="s">
        <v>60</v>
      </c>
      <c r="B206">
        <v>13</v>
      </c>
    </row>
    <row r="207" spans="1:2" x14ac:dyDescent="0.3">
      <c r="A207" s="14" t="s">
        <v>26</v>
      </c>
      <c r="B207">
        <v>9</v>
      </c>
    </row>
    <row r="208" spans="1:2" x14ac:dyDescent="0.3">
      <c r="A208" s="14" t="s">
        <v>66</v>
      </c>
      <c r="B208">
        <v>6</v>
      </c>
    </row>
    <row r="209" spans="1:2" x14ac:dyDescent="0.3">
      <c r="A209" s="14" t="s">
        <v>72</v>
      </c>
      <c r="B209">
        <v>19</v>
      </c>
    </row>
    <row r="210" spans="1:2" x14ac:dyDescent="0.3">
      <c r="A210" s="14" t="s">
        <v>79</v>
      </c>
      <c r="B210">
        <v>13</v>
      </c>
    </row>
    <row r="211" spans="1:2" x14ac:dyDescent="0.3">
      <c r="A211" s="14" t="s">
        <v>52</v>
      </c>
      <c r="B211">
        <v>17</v>
      </c>
    </row>
    <row r="212" spans="1:2" x14ac:dyDescent="0.3">
      <c r="A212" s="14" t="s">
        <v>38</v>
      </c>
      <c r="B212">
        <v>12</v>
      </c>
    </row>
    <row r="213" spans="1:2" x14ac:dyDescent="0.3">
      <c r="A213" s="11" t="s">
        <v>86</v>
      </c>
      <c r="B213">
        <v>84</v>
      </c>
    </row>
    <row r="214" spans="1:2" x14ac:dyDescent="0.3">
      <c r="A214" s="14" t="s">
        <v>91</v>
      </c>
      <c r="B214">
        <v>7</v>
      </c>
    </row>
    <row r="215" spans="1:2" x14ac:dyDescent="0.3">
      <c r="A215" s="14" t="s">
        <v>60</v>
      </c>
      <c r="B215">
        <v>14</v>
      </c>
    </row>
    <row r="216" spans="1:2" x14ac:dyDescent="0.3">
      <c r="A216" s="14" t="s">
        <v>26</v>
      </c>
      <c r="B216">
        <v>9</v>
      </c>
    </row>
    <row r="217" spans="1:2" x14ac:dyDescent="0.3">
      <c r="A217" s="14" t="s">
        <v>66</v>
      </c>
      <c r="B217">
        <v>8</v>
      </c>
    </row>
    <row r="218" spans="1:2" x14ac:dyDescent="0.3">
      <c r="A218" s="14" t="s">
        <v>72</v>
      </c>
      <c r="B218">
        <v>14</v>
      </c>
    </row>
    <row r="219" spans="1:2" x14ac:dyDescent="0.3">
      <c r="A219" s="14" t="s">
        <v>79</v>
      </c>
      <c r="B219">
        <v>9</v>
      </c>
    </row>
    <row r="220" spans="1:2" x14ac:dyDescent="0.3">
      <c r="A220" s="14" t="s">
        <v>52</v>
      </c>
      <c r="B220">
        <v>14</v>
      </c>
    </row>
    <row r="221" spans="1:2" x14ac:dyDescent="0.3">
      <c r="A221" s="14" t="s">
        <v>38</v>
      </c>
      <c r="B221">
        <v>9</v>
      </c>
    </row>
    <row r="222" spans="1:2" x14ac:dyDescent="0.3">
      <c r="A222" s="11" t="s">
        <v>1130</v>
      </c>
      <c r="B222">
        <v>800</v>
      </c>
    </row>
    <row r="224" spans="1:2" x14ac:dyDescent="0.3">
      <c r="A224" s="10" t="s">
        <v>1129</v>
      </c>
      <c r="B224" t="s">
        <v>1131</v>
      </c>
    </row>
    <row r="225" spans="1:2" x14ac:dyDescent="0.3">
      <c r="A225" s="11" t="s">
        <v>91</v>
      </c>
      <c r="B225">
        <v>77</v>
      </c>
    </row>
    <row r="226" spans="1:2" x14ac:dyDescent="0.3">
      <c r="A226" s="11" t="s">
        <v>60</v>
      </c>
      <c r="B226">
        <v>106</v>
      </c>
    </row>
    <row r="227" spans="1:2" x14ac:dyDescent="0.3">
      <c r="A227" s="11" t="s">
        <v>26</v>
      </c>
      <c r="B227">
        <v>81</v>
      </c>
    </row>
    <row r="228" spans="1:2" x14ac:dyDescent="0.3">
      <c r="A228" s="11" t="s">
        <v>66</v>
      </c>
      <c r="B228">
        <v>70</v>
      </c>
    </row>
    <row r="229" spans="1:2" x14ac:dyDescent="0.3">
      <c r="A229" s="11" t="s">
        <v>72</v>
      </c>
      <c r="B229">
        <v>167</v>
      </c>
    </row>
    <row r="230" spans="1:2" x14ac:dyDescent="0.3">
      <c r="A230" s="11" t="s">
        <v>79</v>
      </c>
      <c r="B230">
        <v>73</v>
      </c>
    </row>
    <row r="231" spans="1:2" x14ac:dyDescent="0.3">
      <c r="A231" s="11" t="s">
        <v>52</v>
      </c>
      <c r="B231">
        <v>136</v>
      </c>
    </row>
    <row r="232" spans="1:2" x14ac:dyDescent="0.3">
      <c r="A232" s="11" t="s">
        <v>38</v>
      </c>
      <c r="B232">
        <v>90</v>
      </c>
    </row>
    <row r="233" spans="1:2" x14ac:dyDescent="0.3">
      <c r="A233" s="11" t="s">
        <v>1130</v>
      </c>
      <c r="B233">
        <v>800</v>
      </c>
    </row>
    <row r="239" spans="1:2" x14ac:dyDescent="0.3">
      <c r="A239" s="10" t="s">
        <v>1129</v>
      </c>
      <c r="B239" t="s">
        <v>1131</v>
      </c>
    </row>
    <row r="240" spans="1:2" x14ac:dyDescent="0.3">
      <c r="A240" s="11" t="s">
        <v>32</v>
      </c>
      <c r="B240">
        <v>119</v>
      </c>
    </row>
    <row r="241" spans="1:2" x14ac:dyDescent="0.3">
      <c r="A241" s="11" t="s">
        <v>94</v>
      </c>
      <c r="B241">
        <v>130</v>
      </c>
    </row>
    <row r="242" spans="1:2" x14ac:dyDescent="0.3">
      <c r="A242" s="11" t="s">
        <v>41</v>
      </c>
      <c r="B242">
        <v>125</v>
      </c>
    </row>
    <row r="243" spans="1:2" x14ac:dyDescent="0.3">
      <c r="A243" s="11" t="s">
        <v>123</v>
      </c>
      <c r="B243">
        <v>107</v>
      </c>
    </row>
    <row r="244" spans="1:2" x14ac:dyDescent="0.3">
      <c r="A244" s="11" t="s">
        <v>130</v>
      </c>
      <c r="B244">
        <v>112</v>
      </c>
    </row>
    <row r="245" spans="1:2" x14ac:dyDescent="0.3">
      <c r="A245" s="11" t="s">
        <v>104</v>
      </c>
      <c r="B245">
        <v>111</v>
      </c>
    </row>
    <row r="246" spans="1:2" x14ac:dyDescent="0.3">
      <c r="A246" s="11" t="s">
        <v>74</v>
      </c>
      <c r="B246">
        <v>96</v>
      </c>
    </row>
    <row r="247" spans="1:2" x14ac:dyDescent="0.3">
      <c r="A247" s="11" t="s">
        <v>1130</v>
      </c>
      <c r="B247">
        <v>800</v>
      </c>
    </row>
    <row r="262" spans="1:2" x14ac:dyDescent="0.3">
      <c r="A262" s="10" t="s">
        <v>1129</v>
      </c>
      <c r="B262" t="s">
        <v>1131</v>
      </c>
    </row>
    <row r="263" spans="1:2" x14ac:dyDescent="0.3">
      <c r="A263" s="11" t="s">
        <v>1149</v>
      </c>
      <c r="B263">
        <v>77</v>
      </c>
    </row>
    <row r="264" spans="1:2" x14ac:dyDescent="0.3">
      <c r="A264" s="11" t="s">
        <v>1150</v>
      </c>
      <c r="B264">
        <v>59</v>
      </c>
    </row>
    <row r="265" spans="1:2" x14ac:dyDescent="0.3">
      <c r="A265" s="11" t="s">
        <v>1151</v>
      </c>
      <c r="B265">
        <v>82</v>
      </c>
    </row>
    <row r="266" spans="1:2" x14ac:dyDescent="0.3">
      <c r="A266" s="11" t="s">
        <v>1152</v>
      </c>
      <c r="B266">
        <v>67</v>
      </c>
    </row>
    <row r="267" spans="1:2" x14ac:dyDescent="0.3">
      <c r="A267" s="11" t="s">
        <v>1153</v>
      </c>
      <c r="B267">
        <v>68</v>
      </c>
    </row>
    <row r="268" spans="1:2" x14ac:dyDescent="0.3">
      <c r="A268" s="11" t="s">
        <v>1154</v>
      </c>
      <c r="B268">
        <v>57</v>
      </c>
    </row>
    <row r="269" spans="1:2" x14ac:dyDescent="0.3">
      <c r="A269" s="11" t="s">
        <v>1155</v>
      </c>
      <c r="B269">
        <v>76</v>
      </c>
    </row>
    <row r="270" spans="1:2" x14ac:dyDescent="0.3">
      <c r="A270" s="11" t="s">
        <v>1156</v>
      </c>
      <c r="B270">
        <v>67</v>
      </c>
    </row>
    <row r="271" spans="1:2" x14ac:dyDescent="0.3">
      <c r="A271" s="11" t="s">
        <v>1157</v>
      </c>
      <c r="B271">
        <v>69</v>
      </c>
    </row>
    <row r="272" spans="1:2" x14ac:dyDescent="0.3">
      <c r="A272" s="11" t="s">
        <v>1158</v>
      </c>
      <c r="B272">
        <v>58</v>
      </c>
    </row>
    <row r="273" spans="1:2" x14ac:dyDescent="0.3">
      <c r="A273" s="11" t="s">
        <v>1159</v>
      </c>
      <c r="B273">
        <v>56</v>
      </c>
    </row>
    <row r="274" spans="1:2" x14ac:dyDescent="0.3">
      <c r="A274" s="11" t="s">
        <v>1160</v>
      </c>
      <c r="B274">
        <v>64</v>
      </c>
    </row>
    <row r="275" spans="1:2" x14ac:dyDescent="0.3">
      <c r="A275" s="11" t="s">
        <v>1130</v>
      </c>
      <c r="B275">
        <v>800</v>
      </c>
    </row>
    <row r="278" spans="1:2" x14ac:dyDescent="0.3">
      <c r="A278" s="10" t="s">
        <v>1129</v>
      </c>
      <c r="B278" t="s">
        <v>1131</v>
      </c>
    </row>
    <row r="279" spans="1:2" x14ac:dyDescent="0.3">
      <c r="A279" s="11" t="s">
        <v>91</v>
      </c>
      <c r="B279">
        <v>77</v>
      </c>
    </row>
    <row r="280" spans="1:2" x14ac:dyDescent="0.3">
      <c r="A280" s="11" t="s">
        <v>60</v>
      </c>
      <c r="B280">
        <v>106</v>
      </c>
    </row>
    <row r="281" spans="1:2" x14ac:dyDescent="0.3">
      <c r="A281" s="11" t="s">
        <v>26</v>
      </c>
      <c r="B281">
        <v>81</v>
      </c>
    </row>
    <row r="282" spans="1:2" x14ac:dyDescent="0.3">
      <c r="A282" s="11" t="s">
        <v>66</v>
      </c>
      <c r="B282">
        <v>70</v>
      </c>
    </row>
    <row r="283" spans="1:2" x14ac:dyDescent="0.3">
      <c r="A283" s="11" t="s">
        <v>72</v>
      </c>
      <c r="B283">
        <v>167</v>
      </c>
    </row>
    <row r="284" spans="1:2" x14ac:dyDescent="0.3">
      <c r="A284" s="11" t="s">
        <v>79</v>
      </c>
      <c r="B284">
        <v>73</v>
      </c>
    </row>
    <row r="285" spans="1:2" x14ac:dyDescent="0.3">
      <c r="A285" s="11" t="s">
        <v>52</v>
      </c>
      <c r="B285">
        <v>136</v>
      </c>
    </row>
    <row r="286" spans="1:2" x14ac:dyDescent="0.3">
      <c r="A286" s="11" t="s">
        <v>38</v>
      </c>
      <c r="B286">
        <v>90</v>
      </c>
    </row>
    <row r="287" spans="1:2" x14ac:dyDescent="0.3">
      <c r="A287" s="11" t="s">
        <v>1130</v>
      </c>
      <c r="B287">
        <v>800</v>
      </c>
    </row>
    <row r="297" spans="1:2" x14ac:dyDescent="0.3">
      <c r="A297" s="10" t="s">
        <v>1129</v>
      </c>
      <c r="B297" t="s">
        <v>1126</v>
      </c>
    </row>
    <row r="298" spans="1:2" x14ac:dyDescent="0.3">
      <c r="A298" s="11" t="s">
        <v>80</v>
      </c>
      <c r="B298">
        <v>4492.8114035087719</v>
      </c>
    </row>
    <row r="299" spans="1:2" x14ac:dyDescent="0.3">
      <c r="A299" s="11" t="s">
        <v>122</v>
      </c>
      <c r="B299">
        <v>1906.081081081081</v>
      </c>
    </row>
    <row r="300" spans="1:2" x14ac:dyDescent="0.3">
      <c r="A300" s="11" t="s">
        <v>39</v>
      </c>
      <c r="B300">
        <v>3118.7045454545455</v>
      </c>
    </row>
    <row r="301" spans="1:2" x14ac:dyDescent="0.3">
      <c r="A301" s="11" t="s">
        <v>27</v>
      </c>
      <c r="B301">
        <v>8172.69</v>
      </c>
    </row>
    <row r="302" spans="1:2" x14ac:dyDescent="0.3">
      <c r="A302" s="11" t="s">
        <v>171</v>
      </c>
      <c r="B302">
        <v>10530.754098360656</v>
      </c>
    </row>
    <row r="303" spans="1:2" x14ac:dyDescent="0.3">
      <c r="A303" s="11" t="s">
        <v>46</v>
      </c>
      <c r="B303">
        <v>6316.045454545455</v>
      </c>
    </row>
    <row r="304" spans="1:2" x14ac:dyDescent="0.3">
      <c r="A304" s="11" t="s">
        <v>1130</v>
      </c>
      <c r="B304">
        <v>5442.5</v>
      </c>
    </row>
    <row r="315" spans="1:2" x14ac:dyDescent="0.3">
      <c r="A315" s="10" t="s">
        <v>1129</v>
      </c>
      <c r="B315" t="s">
        <v>1147</v>
      </c>
    </row>
    <row r="316" spans="1:2" x14ac:dyDescent="0.3">
      <c r="A316" s="11" t="s">
        <v>31</v>
      </c>
      <c r="B316">
        <v>21538100</v>
      </c>
    </row>
    <row r="317" spans="1:2" x14ac:dyDescent="0.3">
      <c r="A317" s="11" t="s">
        <v>53</v>
      </c>
      <c r="B317">
        <v>22555000</v>
      </c>
    </row>
    <row r="318" spans="1:2" x14ac:dyDescent="0.3">
      <c r="A318" s="11" t="s">
        <v>93</v>
      </c>
      <c r="B318">
        <v>8154900</v>
      </c>
    </row>
    <row r="319" spans="1:2" x14ac:dyDescent="0.3">
      <c r="A319" s="11" t="s">
        <v>1130</v>
      </c>
      <c r="B319">
        <v>52248000</v>
      </c>
    </row>
    <row r="336" spans="1:2" x14ac:dyDescent="0.3">
      <c r="A336" s="10" t="s">
        <v>1129</v>
      </c>
      <c r="B336" t="s">
        <v>1161</v>
      </c>
    </row>
    <row r="337" spans="1:2" x14ac:dyDescent="0.3">
      <c r="A337" s="11" t="s">
        <v>91</v>
      </c>
      <c r="B337">
        <v>77</v>
      </c>
    </row>
    <row r="338" spans="1:2" x14ac:dyDescent="0.3">
      <c r="A338" s="11" t="s">
        <v>60</v>
      </c>
      <c r="B338">
        <v>106</v>
      </c>
    </row>
    <row r="339" spans="1:2" x14ac:dyDescent="0.3">
      <c r="A339" s="11" t="s">
        <v>26</v>
      </c>
      <c r="B339">
        <v>81</v>
      </c>
    </row>
    <row r="340" spans="1:2" x14ac:dyDescent="0.3">
      <c r="A340" s="11" t="s">
        <v>66</v>
      </c>
      <c r="B340">
        <v>70</v>
      </c>
    </row>
    <row r="341" spans="1:2" x14ac:dyDescent="0.3">
      <c r="A341" s="11" t="s">
        <v>72</v>
      </c>
      <c r="B341">
        <v>167</v>
      </c>
    </row>
    <row r="342" spans="1:2" x14ac:dyDescent="0.3">
      <c r="A342" s="11" t="s">
        <v>79</v>
      </c>
      <c r="B342">
        <v>73</v>
      </c>
    </row>
    <row r="343" spans="1:2" x14ac:dyDescent="0.3">
      <c r="A343" s="11" t="s">
        <v>52</v>
      </c>
      <c r="B343">
        <v>136</v>
      </c>
    </row>
    <row r="344" spans="1:2" x14ac:dyDescent="0.3">
      <c r="A344" s="11" t="s">
        <v>38</v>
      </c>
      <c r="B344">
        <v>90</v>
      </c>
    </row>
    <row r="345" spans="1:2" x14ac:dyDescent="0.3">
      <c r="A345" s="11" t="s">
        <v>1130</v>
      </c>
      <c r="B345">
        <v>800</v>
      </c>
    </row>
    <row r="356" spans="1:2" x14ac:dyDescent="0.3">
      <c r="A356" s="10" t="s">
        <v>1129</v>
      </c>
      <c r="B356" t="s">
        <v>1146</v>
      </c>
    </row>
    <row r="357" spans="1:2" x14ac:dyDescent="0.3">
      <c r="A357" s="11" t="s">
        <v>91</v>
      </c>
      <c r="B357">
        <v>77</v>
      </c>
    </row>
    <row r="358" spans="1:2" x14ac:dyDescent="0.3">
      <c r="A358" s="11" t="s">
        <v>60</v>
      </c>
      <c r="B358">
        <v>106</v>
      </c>
    </row>
    <row r="359" spans="1:2" x14ac:dyDescent="0.3">
      <c r="A359" s="11" t="s">
        <v>26</v>
      </c>
      <c r="B359">
        <v>81</v>
      </c>
    </row>
    <row r="360" spans="1:2" x14ac:dyDescent="0.3">
      <c r="A360" s="11" t="s">
        <v>66</v>
      </c>
      <c r="B360">
        <v>70</v>
      </c>
    </row>
    <row r="361" spans="1:2" x14ac:dyDescent="0.3">
      <c r="A361" s="11" t="s">
        <v>72</v>
      </c>
      <c r="B361">
        <v>167</v>
      </c>
    </row>
    <row r="362" spans="1:2" x14ac:dyDescent="0.3">
      <c r="A362" s="11" t="s">
        <v>79</v>
      </c>
      <c r="B362">
        <v>73</v>
      </c>
    </row>
    <row r="363" spans="1:2" x14ac:dyDescent="0.3">
      <c r="A363" s="11" t="s">
        <v>52</v>
      </c>
      <c r="B363">
        <v>136</v>
      </c>
    </row>
    <row r="364" spans="1:2" x14ac:dyDescent="0.3">
      <c r="A364" s="11" t="s">
        <v>38</v>
      </c>
      <c r="B364">
        <v>90</v>
      </c>
    </row>
    <row r="365" spans="1:2" x14ac:dyDescent="0.3">
      <c r="A365" s="11" t="s">
        <v>1130</v>
      </c>
      <c r="B365">
        <v>800</v>
      </c>
    </row>
    <row r="370" spans="1:2" x14ac:dyDescent="0.3">
      <c r="A370" s="10" t="s">
        <v>1129</v>
      </c>
      <c r="B370" t="s">
        <v>1146</v>
      </c>
    </row>
    <row r="371" spans="1:2" x14ac:dyDescent="0.3">
      <c r="A371" s="11">
        <v>0</v>
      </c>
      <c r="B371">
        <v>43</v>
      </c>
    </row>
    <row r="372" spans="1:2" x14ac:dyDescent="0.3">
      <c r="A372" s="11">
        <v>1</v>
      </c>
      <c r="B372">
        <v>44</v>
      </c>
    </row>
    <row r="373" spans="1:2" x14ac:dyDescent="0.3">
      <c r="A373" s="11">
        <v>2</v>
      </c>
      <c r="B373">
        <v>42</v>
      </c>
    </row>
    <row r="374" spans="1:2" x14ac:dyDescent="0.3">
      <c r="A374" s="11">
        <v>3</v>
      </c>
      <c r="B374">
        <v>62</v>
      </c>
    </row>
    <row r="375" spans="1:2" x14ac:dyDescent="0.3">
      <c r="A375" s="11">
        <v>4</v>
      </c>
      <c r="B375">
        <v>63</v>
      </c>
    </row>
    <row r="376" spans="1:2" x14ac:dyDescent="0.3">
      <c r="A376" s="11">
        <v>5</v>
      </c>
      <c r="B376">
        <v>50</v>
      </c>
    </row>
    <row r="377" spans="1:2" x14ac:dyDescent="0.3">
      <c r="A377" s="11">
        <v>6</v>
      </c>
      <c r="B377">
        <v>40</v>
      </c>
    </row>
    <row r="378" spans="1:2" x14ac:dyDescent="0.3">
      <c r="A378" s="11">
        <v>7</v>
      </c>
      <c r="B378">
        <v>44</v>
      </c>
    </row>
    <row r="379" spans="1:2" x14ac:dyDescent="0.3">
      <c r="A379" s="11">
        <v>8</v>
      </c>
      <c r="B379">
        <v>51</v>
      </c>
    </row>
    <row r="380" spans="1:2" x14ac:dyDescent="0.3">
      <c r="A380" s="11">
        <v>9</v>
      </c>
      <c r="B380">
        <v>50</v>
      </c>
    </row>
    <row r="381" spans="1:2" x14ac:dyDescent="0.3">
      <c r="A381" s="11">
        <v>10</v>
      </c>
      <c r="B381">
        <v>52</v>
      </c>
    </row>
    <row r="382" spans="1:2" x14ac:dyDescent="0.3">
      <c r="A382" s="11">
        <v>11</v>
      </c>
      <c r="B382">
        <v>51</v>
      </c>
    </row>
    <row r="383" spans="1:2" x14ac:dyDescent="0.3">
      <c r="A383" s="11">
        <v>12</v>
      </c>
      <c r="B383">
        <v>52</v>
      </c>
    </row>
    <row r="384" spans="1:2" x14ac:dyDescent="0.3">
      <c r="A384" s="11">
        <v>13</v>
      </c>
      <c r="B384">
        <v>53</v>
      </c>
    </row>
    <row r="385" spans="1:2" x14ac:dyDescent="0.3">
      <c r="A385" s="11">
        <v>14</v>
      </c>
      <c r="B385">
        <v>54</v>
      </c>
    </row>
    <row r="386" spans="1:2" x14ac:dyDescent="0.3">
      <c r="A386" s="11">
        <v>15</v>
      </c>
      <c r="B386">
        <v>49</v>
      </c>
    </row>
    <row r="387" spans="1:2" x14ac:dyDescent="0.3">
      <c r="A387" s="11" t="s">
        <v>1130</v>
      </c>
      <c r="B387">
        <v>800</v>
      </c>
    </row>
  </sheetData>
  <pageMargins left="0.7" right="0.7" top="0.75" bottom="0.75" header="0.3" footer="0.3"/>
  <drawing r:id="rId24"/>
  <extLst>
    <ext xmlns:x14="http://schemas.microsoft.com/office/spreadsheetml/2009/9/main" uri="{A8765BA9-456A-4dab-B4F3-ACF838C121DE}">
      <x14:slicerList>
        <x14:slicer r:id="rId25"/>
      </x14:slicerList>
    </ext>
    <ext xmlns:x15="http://schemas.microsoft.com/office/spreadsheetml/2010/11/main" uri="{7E03D99C-DC04-49d9-9315-930204A7B6E9}">
      <x15:timelineRefs>
        <x15:timelineRef r:id="rId2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71474-8850-428B-A2D9-795EB47EA550}">
  <sheetPr>
    <tabColor theme="3" tint="9.9978637043366805E-2"/>
  </sheetPr>
  <dimension ref="A5:L8"/>
  <sheetViews>
    <sheetView zoomScale="70" zoomScaleNormal="70" workbookViewId="0"/>
  </sheetViews>
  <sheetFormatPr defaultRowHeight="14.4" x14ac:dyDescent="0.3"/>
  <cols>
    <col min="8" max="8" width="11.88671875" customWidth="1"/>
    <col min="9" max="9" width="8.88671875" customWidth="1"/>
  </cols>
  <sheetData>
    <row r="5" spans="1:12" ht="15" thickBot="1" x14ac:dyDescent="0.35"/>
    <row r="6" spans="1:12" ht="15.6" thickTop="1" thickBot="1" x14ac:dyDescent="0.35">
      <c r="A6" s="15" t="s">
        <v>1124</v>
      </c>
      <c r="B6" s="16"/>
      <c r="C6" s="15" t="s">
        <v>1127</v>
      </c>
      <c r="D6" s="16"/>
      <c r="E6" s="15" t="s">
        <v>1128</v>
      </c>
      <c r="F6" s="16"/>
      <c r="G6" s="15" t="s">
        <v>1132</v>
      </c>
      <c r="H6" s="16"/>
      <c r="I6" s="15" t="s">
        <v>1133</v>
      </c>
      <c r="J6" s="16"/>
      <c r="K6" s="15" t="s">
        <v>1134</v>
      </c>
      <c r="L6" s="16"/>
    </row>
    <row r="7" spans="1:12" ht="15.6" thickTop="1" thickBot="1" x14ac:dyDescent="0.35">
      <c r="A7" s="15">
        <f>GETPIVOTDATA("E_ID",'PIVOT TABLE'!$A$1)</f>
        <v>800</v>
      </c>
      <c r="B7" s="16"/>
      <c r="C7" s="15">
        <f>GETPIVOTDATA("E_ID",'PIVOT TABLE'!$L$2,"E_Status","Active")</f>
        <v>702</v>
      </c>
      <c r="D7" s="16"/>
      <c r="E7" s="15">
        <f>GETPIVOTDATA("E_ID",'PIVOT TABLE'!$L$2,"E_Status","On Leave")</f>
        <v>38</v>
      </c>
      <c r="F7" s="16"/>
      <c r="G7" s="15">
        <f>GETPIVOTDATA("E_ID",'PIVOT TABLE'!$L$2,"E_Status","Resigned")</f>
        <v>60</v>
      </c>
      <c r="H7" s="16"/>
      <c r="I7" s="17">
        <f>GETPIVOTDATA("Monthly_Salary_INR",'PIVOT TABLE'!$A$15)</f>
        <v>4354000</v>
      </c>
      <c r="J7" s="18"/>
      <c r="K7" s="17">
        <f>GETPIVOTDATA("Monthly_Salary_INR",'PIVOT TABLE'!$A$7)</f>
        <v>5442.5</v>
      </c>
      <c r="L7" s="18"/>
    </row>
    <row r="8" spans="1:12" ht="15" thickTop="1" x14ac:dyDescent="0.3">
      <c r="A8" s="13"/>
      <c r="B8" s="13"/>
      <c r="C8" s="13"/>
      <c r="D8" s="13"/>
      <c r="E8" s="13"/>
      <c r="F8" s="13"/>
      <c r="G8" s="13"/>
      <c r="H8" s="13"/>
      <c r="I8" s="13"/>
      <c r="J8" s="13"/>
      <c r="K8" s="13"/>
      <c r="L8" s="13"/>
    </row>
  </sheetData>
  <mergeCells count="12">
    <mergeCell ref="G6:H6"/>
    <mergeCell ref="G7:H7"/>
    <mergeCell ref="I6:J6"/>
    <mergeCell ref="I7:J7"/>
    <mergeCell ref="K6:L6"/>
    <mergeCell ref="K7:L7"/>
    <mergeCell ref="A6:B6"/>
    <mergeCell ref="A7:B7"/>
    <mergeCell ref="C6:D6"/>
    <mergeCell ref="C7:D7"/>
    <mergeCell ref="E6:F6"/>
    <mergeCell ref="E7:F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61F32-0325-4EFC-BBB4-C9C7AB9223E4}">
  <dimension ref="A1"/>
  <sheetViews>
    <sheetView zoomScale="77"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4A53D-BD9C-4B2A-8D86-916A36B0AB37}">
  <dimension ref="A1"/>
  <sheetViews>
    <sheetView zoomScale="60" zoomScaleNormal="25"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DD42A-A88D-43AF-98A9-DAB05D66B442}">
  <dimension ref="A1"/>
  <sheetViews>
    <sheetView zoomScale="53"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04721-0730-43D7-A781-73336B0729B3}">
  <dimension ref="A1"/>
  <sheetViews>
    <sheetView tabSelected="1" zoomScale="53" workbookViewId="0">
      <selection activeCell="AF7" sqref="AF7"/>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2E9BD3-AD55-4BA1-A0BF-A89B72E3C7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MASTERDATA</vt:lpstr>
      <vt:lpstr>PIVOT TABLE</vt:lpstr>
      <vt:lpstr>OVERVIEW</vt:lpstr>
      <vt:lpstr>WORKFORCE</vt:lpstr>
      <vt:lpstr>RECUITMENT</vt:lpstr>
      <vt:lpstr>COMPENSATION</vt:lpstr>
      <vt:lpstr>PRODUCTIVITY</vt:lpstr>
      <vt:lpstr>Column1</vt:lpstr>
      <vt:lpstr>Column10</vt:lpstr>
      <vt:lpstr>Column11</vt:lpstr>
      <vt:lpstr>Column12</vt:lpstr>
      <vt:lpstr>Column2</vt:lpstr>
      <vt:lpstr>Column3</vt:lpstr>
      <vt:lpstr>Column4</vt:lpstr>
      <vt:lpstr>Column5</vt:lpstr>
      <vt:lpstr>Column6</vt:lpstr>
      <vt:lpstr>Column7</vt:lpstr>
      <vt:lpstr>Column8</vt:lpstr>
      <vt:lpstr>Column9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Spoorthi M</dc:creator>
  <cp:lastModifiedBy>Spoorthi M</cp:lastModifiedBy>
  <dcterms:created xsi:type="dcterms:W3CDTF">2026-08-16T10:40:04Z</dcterms:created>
  <dcterms:modified xsi:type="dcterms:W3CDTF">2026-08-24T17:29:21Z</dcterms:modified>
</cp:coreProperties>
</file>